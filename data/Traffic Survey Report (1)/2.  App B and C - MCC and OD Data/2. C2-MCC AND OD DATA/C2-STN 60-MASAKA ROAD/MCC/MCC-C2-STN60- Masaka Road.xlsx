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60-MASAKA ROAD\MCC\"/>
    </mc:Choice>
  </mc:AlternateContent>
  <xr:revisionPtr revIDLastSave="0" documentId="13_ncr:1_{68217B78-4518-4134-8A31-1925C91822CF}" xr6:coauthVersionLast="45" xr6:coauthVersionMax="45" xr10:uidLastSave="{00000000-0000-0000-0000-000000000000}"/>
  <bookViews>
    <workbookView xWindow="-120" yWindow="-120" windowWidth="20730" windowHeight="11160" tabRatio="923" firstSheet="11" activeTab="15" xr2:uid="{00000000-000D-0000-FFFF-FFFF00000000}"/>
  </bookViews>
  <sheets>
    <sheet name="28.10 Masaka-Maya" sheetId="93" r:id="rId1"/>
    <sheet name="28.10 Maya-Masaka" sheetId="94" r:id="rId2"/>
    <sheet name="29.10 Masaka-Maya" sheetId="95" r:id="rId3"/>
    <sheet name="29.10 Maya-Masaka" sheetId="96" r:id="rId4"/>
    <sheet name="30.10 Masaka-Maya" sheetId="97" r:id="rId5"/>
    <sheet name="30.10 Maya-Masaka" sheetId="98" r:id="rId6"/>
    <sheet name="31.10 Masaka-Maya-24h" sheetId="101" r:id="rId7"/>
    <sheet name="31.10 Maya-Masaka-24h" sheetId="109" r:id="rId8"/>
    <sheet name="01.11 Masaka-Maya" sheetId="99" r:id="rId9"/>
    <sheet name="01.11 Maya-Masaka" sheetId="100" r:id="rId10"/>
    <sheet name="02.11 Masaka-Maya-24h" sheetId="105" r:id="rId11"/>
    <sheet name="02.11 Maya-Masaka-24h" sheetId="110" r:id="rId12"/>
    <sheet name="03.11 Masaka-Maya" sheetId="103" r:id="rId13"/>
    <sheet name="03.11 Maya-Masaka" sheetId="104" r:id="rId14"/>
    <sheet name="Avg Week Masaka-Maya" sheetId="107" r:id="rId15"/>
    <sheet name="Avg Week Maya-Masaka" sheetId="108" r:id="rId16"/>
    <sheet name="Avg Week Masaka-Maya-2Dir" sheetId="111" r:id="rId17"/>
  </sheets>
  <definedNames>
    <definedName name="_xlnm.Print_Area" localSheetId="8">'01.11 Masaka-Maya'!$A$1:$AF$60</definedName>
    <definedName name="_xlnm.Print_Area" localSheetId="9">'01.11 Maya-Masaka'!$A$1:$AF$60</definedName>
    <definedName name="_xlnm.Print_Area" localSheetId="10">'02.11 Masaka-Maya-24h'!$A$1:$AF$108</definedName>
    <definedName name="_xlnm.Print_Area" localSheetId="11">'02.11 Maya-Masaka-24h'!$A$1:$AF$108</definedName>
    <definedName name="_xlnm.Print_Area" localSheetId="12">'03.11 Masaka-Maya'!$A$1:$AF$60</definedName>
    <definedName name="_xlnm.Print_Area" localSheetId="13">'03.11 Maya-Masaka'!$A$1:$AF$60</definedName>
    <definedName name="_xlnm.Print_Area" localSheetId="0">'28.10 Masaka-Maya'!$A$1:$AF$60</definedName>
    <definedName name="_xlnm.Print_Area" localSheetId="1">'28.10 Maya-Masaka'!$A$1:$AF$60</definedName>
    <definedName name="_xlnm.Print_Area" localSheetId="2">'29.10 Masaka-Maya'!$A$1:$AF$60</definedName>
    <definedName name="_xlnm.Print_Area" localSheetId="3">'29.10 Maya-Masaka'!$A$1:$AF$60</definedName>
    <definedName name="_xlnm.Print_Area" localSheetId="4">'30.10 Masaka-Maya'!$A$1:$AF$60</definedName>
    <definedName name="_xlnm.Print_Area" localSheetId="5">'30.10 Maya-Masaka'!$A$1:$AF$60</definedName>
    <definedName name="_xlnm.Print_Area" localSheetId="6">'31.10 Masaka-Maya-24h'!$A$1:$AF$108</definedName>
    <definedName name="_xlnm.Print_Area" localSheetId="7">'31.10 Maya-Masaka-24h'!$A$1:$AF$108</definedName>
    <definedName name="_xlnm.Print_Area" localSheetId="14">'Avg Week Masaka-Maya'!$A$1:$AF$108</definedName>
    <definedName name="_xlnm.Print_Area" localSheetId="16">'Avg Week Masaka-Maya-2Dir'!$A$1:$AF$108</definedName>
    <definedName name="_xlnm.Print_Area" localSheetId="15">'Avg Week Maya-Masaka'!$A$1:$AF$108</definedName>
    <definedName name="_xlnm.Print_Titles" localSheetId="8">'01.11 Masaka-Maya'!$1:$8</definedName>
    <definedName name="_xlnm.Print_Titles" localSheetId="9">'01.11 Maya-Masaka'!$1:$8</definedName>
    <definedName name="_xlnm.Print_Titles" localSheetId="10">'02.11 Masaka-Maya-24h'!$1:$8</definedName>
    <definedName name="_xlnm.Print_Titles" localSheetId="11">'02.11 Maya-Masaka-24h'!$1:$8</definedName>
    <definedName name="_xlnm.Print_Titles" localSheetId="12">'03.11 Masaka-Maya'!$1:$8</definedName>
    <definedName name="_xlnm.Print_Titles" localSheetId="13">'03.11 Maya-Masaka'!$1:$8</definedName>
    <definedName name="_xlnm.Print_Titles" localSheetId="0">'28.10 Masaka-Maya'!$1:$8</definedName>
    <definedName name="_xlnm.Print_Titles" localSheetId="1">'28.10 Maya-Masaka'!$1:$8</definedName>
    <definedName name="_xlnm.Print_Titles" localSheetId="2">'29.10 Masaka-Maya'!$1:$8</definedName>
    <definedName name="_xlnm.Print_Titles" localSheetId="3">'29.10 Maya-Masaka'!$1:$8</definedName>
    <definedName name="_xlnm.Print_Titles" localSheetId="4">'30.10 Masaka-Maya'!$1:$8</definedName>
    <definedName name="_xlnm.Print_Titles" localSheetId="5">'30.10 Maya-Masaka'!$1:$8</definedName>
    <definedName name="_xlnm.Print_Titles" localSheetId="6">'31.10 Masaka-Maya-24h'!$1:$8</definedName>
    <definedName name="_xlnm.Print_Titles" localSheetId="7">'31.10 Maya-Masaka-24h'!$1:$8</definedName>
    <definedName name="_xlnm.Print_Titles" localSheetId="14">'Avg Week Masaka-Maya'!$1:$8</definedName>
    <definedName name="_xlnm.Print_Titles" localSheetId="16">'Avg Week Masaka-Maya-2Dir'!$1:$8</definedName>
    <definedName name="_xlnm.Print_Titles" localSheetId="15">'Avg Week Maya-Masaka'!$1:$8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" i="107" l="1"/>
  <c r="P59" i="107"/>
  <c r="P60" i="107"/>
  <c r="P61" i="107"/>
  <c r="P62" i="107"/>
  <c r="P63" i="107"/>
  <c r="P64" i="107"/>
  <c r="P65" i="107"/>
  <c r="P106" i="107" s="1"/>
  <c r="P66" i="107"/>
  <c r="P67" i="107"/>
  <c r="P68" i="107"/>
  <c r="P69" i="107"/>
  <c r="P70" i="107"/>
  <c r="P71" i="107"/>
  <c r="P72" i="107"/>
  <c r="P73" i="107"/>
  <c r="AF25" i="107" s="1"/>
  <c r="P74" i="107"/>
  <c r="P75" i="107"/>
  <c r="P76" i="107"/>
  <c r="P77" i="107"/>
  <c r="P78" i="107"/>
  <c r="P79" i="107"/>
  <c r="P80" i="107"/>
  <c r="P81" i="107"/>
  <c r="AF27" i="107" s="1"/>
  <c r="P82" i="107"/>
  <c r="P83" i="107"/>
  <c r="P84" i="107"/>
  <c r="P85" i="107"/>
  <c r="P86" i="107"/>
  <c r="P87" i="107"/>
  <c r="P88" i="107"/>
  <c r="P89" i="107"/>
  <c r="AF29" i="107" s="1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P105" i="107"/>
  <c r="AF33" i="107" s="1"/>
  <c r="O58" i="107"/>
  <c r="O59" i="107"/>
  <c r="O60" i="107"/>
  <c r="O61" i="107"/>
  <c r="O62" i="107"/>
  <c r="O63" i="107"/>
  <c r="O64" i="107"/>
  <c r="O65" i="107"/>
  <c r="O106" i="107" s="1"/>
  <c r="O66" i="107"/>
  <c r="O67" i="107"/>
  <c r="O68" i="107"/>
  <c r="O69" i="107"/>
  <c r="O70" i="107"/>
  <c r="O71" i="107"/>
  <c r="O72" i="107"/>
  <c r="O73" i="107"/>
  <c r="AE25" i="107" s="1"/>
  <c r="O74" i="107"/>
  <c r="O75" i="107"/>
  <c r="O76" i="107"/>
  <c r="O77" i="107"/>
  <c r="O78" i="107"/>
  <c r="O79" i="107"/>
  <c r="O80" i="107"/>
  <c r="O81" i="107"/>
  <c r="AE27" i="107" s="1"/>
  <c r="O82" i="107"/>
  <c r="O83" i="107"/>
  <c r="O84" i="107"/>
  <c r="O85" i="107"/>
  <c r="O86" i="107"/>
  <c r="O87" i="107"/>
  <c r="O88" i="107"/>
  <c r="O89" i="107"/>
  <c r="AE29" i="107" s="1"/>
  <c r="O90" i="107"/>
  <c r="O91" i="107"/>
  <c r="O92" i="107"/>
  <c r="O93" i="107"/>
  <c r="O94" i="107"/>
  <c r="O95" i="107"/>
  <c r="O96" i="107"/>
  <c r="O97" i="107"/>
  <c r="AE31" i="107" s="1"/>
  <c r="O98" i="107"/>
  <c r="O99" i="107"/>
  <c r="O100" i="107"/>
  <c r="O101" i="107"/>
  <c r="O102" i="107"/>
  <c r="O103" i="107"/>
  <c r="O104" i="107"/>
  <c r="O105" i="107"/>
  <c r="D58" i="107"/>
  <c r="E58" i="107"/>
  <c r="F58" i="107"/>
  <c r="G58" i="107"/>
  <c r="H58" i="107"/>
  <c r="I58" i="107"/>
  <c r="J58" i="107"/>
  <c r="K58" i="107"/>
  <c r="K106" i="107" s="1"/>
  <c r="L58" i="107"/>
  <c r="M58" i="107"/>
  <c r="N58" i="107"/>
  <c r="D59" i="107"/>
  <c r="E59" i="107"/>
  <c r="F59" i="107"/>
  <c r="G59" i="107"/>
  <c r="H59" i="107"/>
  <c r="X22" i="107" s="1"/>
  <c r="I59" i="107"/>
  <c r="J59" i="107"/>
  <c r="K59" i="107"/>
  <c r="L59" i="107"/>
  <c r="M59" i="107"/>
  <c r="N59" i="107"/>
  <c r="D60" i="107"/>
  <c r="E60" i="107"/>
  <c r="U22" i="107" s="1"/>
  <c r="F60" i="107"/>
  <c r="G60" i="107"/>
  <c r="H60" i="107"/>
  <c r="I60" i="107"/>
  <c r="J60" i="107"/>
  <c r="K60" i="107"/>
  <c r="L60" i="107"/>
  <c r="M60" i="107"/>
  <c r="AC22" i="107" s="1"/>
  <c r="N60" i="107"/>
  <c r="D61" i="107"/>
  <c r="E61" i="107"/>
  <c r="F61" i="107"/>
  <c r="G61" i="107"/>
  <c r="H61" i="107"/>
  <c r="I61" i="107"/>
  <c r="J61" i="107"/>
  <c r="Z22" i="107" s="1"/>
  <c r="K61" i="107"/>
  <c r="L61" i="107"/>
  <c r="M61" i="107"/>
  <c r="N61" i="107"/>
  <c r="D62" i="107"/>
  <c r="E62" i="107"/>
  <c r="F62" i="107"/>
  <c r="G62" i="107"/>
  <c r="G106" i="107" s="1"/>
  <c r="H62" i="107"/>
  <c r="I62" i="107"/>
  <c r="J62" i="107"/>
  <c r="K62" i="107"/>
  <c r="L62" i="107"/>
  <c r="M62" i="107"/>
  <c r="N62" i="107"/>
  <c r="D63" i="107"/>
  <c r="T23" i="107" s="1"/>
  <c r="E63" i="107"/>
  <c r="F63" i="107"/>
  <c r="G63" i="107"/>
  <c r="H63" i="107"/>
  <c r="I63" i="107"/>
  <c r="J63" i="107"/>
  <c r="K63" i="107"/>
  <c r="L63" i="107"/>
  <c r="AB23" i="107" s="1"/>
  <c r="M63" i="107"/>
  <c r="N63" i="107"/>
  <c r="D64" i="107"/>
  <c r="E64" i="107"/>
  <c r="F64" i="107"/>
  <c r="G64" i="107"/>
  <c r="H64" i="107"/>
  <c r="I64" i="107"/>
  <c r="I106" i="107" s="1"/>
  <c r="J64" i="107"/>
  <c r="K64" i="107"/>
  <c r="L64" i="107"/>
  <c r="M64" i="107"/>
  <c r="N64" i="107"/>
  <c r="D65" i="107"/>
  <c r="E65" i="107"/>
  <c r="F65" i="107"/>
  <c r="F106" i="107" s="1"/>
  <c r="G65" i="107"/>
  <c r="H65" i="107"/>
  <c r="I65" i="107"/>
  <c r="J65" i="107"/>
  <c r="K65" i="107"/>
  <c r="L65" i="107"/>
  <c r="M65" i="107"/>
  <c r="N65" i="107"/>
  <c r="N106" i="107" s="1"/>
  <c r="D66" i="107"/>
  <c r="E66" i="107"/>
  <c r="F66" i="107"/>
  <c r="G66" i="107"/>
  <c r="H66" i="107"/>
  <c r="I66" i="107"/>
  <c r="J66" i="107"/>
  <c r="K66" i="107"/>
  <c r="AA24" i="107" s="1"/>
  <c r="L66" i="107"/>
  <c r="M66" i="107"/>
  <c r="N66" i="107"/>
  <c r="D67" i="107"/>
  <c r="E67" i="107"/>
  <c r="F67" i="107"/>
  <c r="G67" i="107"/>
  <c r="H67" i="107"/>
  <c r="X24" i="107" s="1"/>
  <c r="I67" i="107"/>
  <c r="J67" i="107"/>
  <c r="K67" i="107"/>
  <c r="L67" i="107"/>
  <c r="M67" i="107"/>
  <c r="N67" i="107"/>
  <c r="D68" i="107"/>
  <c r="E68" i="107"/>
  <c r="U24" i="107" s="1"/>
  <c r="F68" i="107"/>
  <c r="G68" i="107"/>
  <c r="H68" i="107"/>
  <c r="I68" i="107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W25" i="107" s="1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Y25" i="107" s="1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AA26" i="107" s="1"/>
  <c r="L74" i="107"/>
  <c r="M74" i="107"/>
  <c r="N74" i="107"/>
  <c r="D75" i="107"/>
  <c r="E75" i="107"/>
  <c r="F75" i="107"/>
  <c r="G75" i="107"/>
  <c r="H75" i="107"/>
  <c r="X26" i="107" s="1"/>
  <c r="I75" i="107"/>
  <c r="J75" i="107"/>
  <c r="K75" i="107"/>
  <c r="L75" i="107"/>
  <c r="M75" i="107"/>
  <c r="N75" i="107"/>
  <c r="D76" i="107"/>
  <c r="E76" i="107"/>
  <c r="U26" i="107" s="1"/>
  <c r="F76" i="107"/>
  <c r="G76" i="107"/>
  <c r="H76" i="107"/>
  <c r="I76" i="107"/>
  <c r="J76" i="107"/>
  <c r="K76" i="107"/>
  <c r="L76" i="107"/>
  <c r="M76" i="107"/>
  <c r="AC26" i="107" s="1"/>
  <c r="N76" i="107"/>
  <c r="D77" i="107"/>
  <c r="E77" i="107"/>
  <c r="F77" i="107"/>
  <c r="G77" i="107"/>
  <c r="H77" i="107"/>
  <c r="I77" i="107"/>
  <c r="J77" i="107"/>
  <c r="Z26" i="107" s="1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L78" i="107"/>
  <c r="M78" i="107"/>
  <c r="N78" i="107"/>
  <c r="D79" i="107"/>
  <c r="T27" i="107" s="1"/>
  <c r="E79" i="107"/>
  <c r="F79" i="107"/>
  <c r="G79" i="107"/>
  <c r="H79" i="107"/>
  <c r="I79" i="107"/>
  <c r="J79" i="107"/>
  <c r="K79" i="107"/>
  <c r="L79" i="107"/>
  <c r="AB27" i="107" s="1"/>
  <c r="M79" i="107"/>
  <c r="N79" i="107"/>
  <c r="D80" i="107"/>
  <c r="E80" i="107"/>
  <c r="F80" i="107"/>
  <c r="G80" i="107"/>
  <c r="H80" i="107"/>
  <c r="I80" i="107"/>
  <c r="Y27" i="107" s="1"/>
  <c r="J80" i="107"/>
  <c r="K80" i="107"/>
  <c r="L80" i="107"/>
  <c r="M80" i="107"/>
  <c r="N80" i="107"/>
  <c r="D81" i="107"/>
  <c r="E81" i="107"/>
  <c r="F81" i="107"/>
  <c r="V27" i="107" s="1"/>
  <c r="G81" i="107"/>
  <c r="H81" i="107"/>
  <c r="I81" i="107"/>
  <c r="J81" i="107"/>
  <c r="K81" i="107"/>
  <c r="L81" i="107"/>
  <c r="M81" i="107"/>
  <c r="N81" i="107"/>
  <c r="AD27" i="107" s="1"/>
  <c r="D82" i="107"/>
  <c r="E82" i="107"/>
  <c r="F82" i="107"/>
  <c r="G82" i="107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X28" i="107" s="1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Z28" i="107" s="1"/>
  <c r="K85" i="107"/>
  <c r="L85" i="107"/>
  <c r="M85" i="107"/>
  <c r="N85" i="107"/>
  <c r="D86" i="107"/>
  <c r="E86" i="107"/>
  <c r="F86" i="107"/>
  <c r="G86" i="107"/>
  <c r="W29" i="107" s="1"/>
  <c r="H86" i="107"/>
  <c r="I86" i="107"/>
  <c r="J86" i="107"/>
  <c r="K86" i="107"/>
  <c r="L86" i="107"/>
  <c r="M86" i="107"/>
  <c r="N86" i="107"/>
  <c r="D87" i="107"/>
  <c r="T29" i="107" s="1"/>
  <c r="E87" i="107"/>
  <c r="F87" i="107"/>
  <c r="G87" i="107"/>
  <c r="H87" i="107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Y29" i="107" s="1"/>
  <c r="J88" i="107"/>
  <c r="K88" i="107"/>
  <c r="L88" i="107"/>
  <c r="M88" i="107"/>
  <c r="N88" i="107"/>
  <c r="D89" i="107"/>
  <c r="E89" i="107"/>
  <c r="F89" i="107"/>
  <c r="V29" i="107" s="1"/>
  <c r="G89" i="107"/>
  <c r="H89" i="107"/>
  <c r="I89" i="107"/>
  <c r="J89" i="107"/>
  <c r="K89" i="107"/>
  <c r="L89" i="107"/>
  <c r="M89" i="107"/>
  <c r="N89" i="107"/>
  <c r="AD29" i="107" s="1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X30" i="107" s="1"/>
  <c r="I91" i="107"/>
  <c r="J91" i="107"/>
  <c r="K91" i="107"/>
  <c r="L91" i="107"/>
  <c r="M91" i="107"/>
  <c r="N91" i="107"/>
  <c r="D92" i="107"/>
  <c r="E92" i="107"/>
  <c r="U30" i="107" s="1"/>
  <c r="F92" i="107"/>
  <c r="G92" i="107"/>
  <c r="H92" i="107"/>
  <c r="I92" i="107"/>
  <c r="J92" i="107"/>
  <c r="K92" i="107"/>
  <c r="L92" i="107"/>
  <c r="M92" i="107"/>
  <c r="AC30" i="107" s="1"/>
  <c r="N92" i="107"/>
  <c r="D93" i="107"/>
  <c r="E93" i="107"/>
  <c r="F93" i="107"/>
  <c r="G93" i="107"/>
  <c r="H93" i="107"/>
  <c r="I93" i="107"/>
  <c r="J93" i="107"/>
  <c r="Z30" i="107" s="1"/>
  <c r="K93" i="107"/>
  <c r="L93" i="107"/>
  <c r="M93" i="107"/>
  <c r="N93" i="107"/>
  <c r="D94" i="107"/>
  <c r="E94" i="107"/>
  <c r="F94" i="107"/>
  <c r="G94" i="107"/>
  <c r="W31" i="107" s="1"/>
  <c r="H94" i="107"/>
  <c r="I94" i="107"/>
  <c r="J94" i="107"/>
  <c r="K94" i="107"/>
  <c r="L94" i="107"/>
  <c r="M94" i="107"/>
  <c r="N94" i="107"/>
  <c r="D95" i="107"/>
  <c r="T31" i="107" s="1"/>
  <c r="E95" i="107"/>
  <c r="F95" i="107"/>
  <c r="G95" i="107"/>
  <c r="H95" i="107"/>
  <c r="I95" i="107"/>
  <c r="J95" i="107"/>
  <c r="K95" i="107"/>
  <c r="L95" i="107"/>
  <c r="AB31" i="107" s="1"/>
  <c r="M95" i="107"/>
  <c r="N95" i="107"/>
  <c r="D96" i="107"/>
  <c r="E96" i="107"/>
  <c r="F96" i="107"/>
  <c r="G96" i="107"/>
  <c r="H96" i="107"/>
  <c r="I96" i="107"/>
  <c r="Y31" i="107" s="1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X32" i="107" s="1"/>
  <c r="I99" i="107"/>
  <c r="J99" i="107"/>
  <c r="K99" i="107"/>
  <c r="L99" i="107"/>
  <c r="M99" i="107"/>
  <c r="N99" i="107"/>
  <c r="D100" i="107"/>
  <c r="E100" i="107"/>
  <c r="U32" i="107" s="1"/>
  <c r="F100" i="107"/>
  <c r="G100" i="107"/>
  <c r="H100" i="107"/>
  <c r="I100" i="107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Z32" i="107" s="1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Y33" i="107" s="1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K105" i="107"/>
  <c r="L105" i="107"/>
  <c r="M105" i="107"/>
  <c r="N105" i="107"/>
  <c r="AD33" i="107" s="1"/>
  <c r="C59" i="107"/>
  <c r="C60" i="107"/>
  <c r="C61" i="107"/>
  <c r="C62" i="107"/>
  <c r="C63" i="107"/>
  <c r="C64" i="107"/>
  <c r="C64" i="111" s="1"/>
  <c r="C65" i="107"/>
  <c r="C66" i="107"/>
  <c r="S24" i="107" s="1"/>
  <c r="C67" i="107"/>
  <c r="C68" i="107"/>
  <c r="C69" i="107"/>
  <c r="C70" i="107"/>
  <c r="C71" i="107"/>
  <c r="C72" i="107"/>
  <c r="S25" i="107" s="1"/>
  <c r="C73" i="107"/>
  <c r="C74" i="107"/>
  <c r="S26" i="107" s="1"/>
  <c r="C75" i="107"/>
  <c r="C76" i="107"/>
  <c r="C77" i="107"/>
  <c r="C78" i="107"/>
  <c r="C79" i="107"/>
  <c r="C80" i="107"/>
  <c r="S27" i="107" s="1"/>
  <c r="C81" i="107"/>
  <c r="C82" i="107"/>
  <c r="S28" i="107" s="1"/>
  <c r="C83" i="107"/>
  <c r="C84" i="107"/>
  <c r="C85" i="107"/>
  <c r="C86" i="107"/>
  <c r="C87" i="107"/>
  <c r="C88" i="107"/>
  <c r="S29" i="107" s="1"/>
  <c r="C89" i="107"/>
  <c r="C90" i="107"/>
  <c r="S30" i="107" s="1"/>
  <c r="C91" i="107"/>
  <c r="C92" i="107"/>
  <c r="C93" i="107"/>
  <c r="C94" i="107"/>
  <c r="C95" i="107"/>
  <c r="C96" i="107"/>
  <c r="S31" i="107" s="1"/>
  <c r="C97" i="107"/>
  <c r="C98" i="107"/>
  <c r="S32" i="107" s="1"/>
  <c r="C99" i="107"/>
  <c r="C100" i="107"/>
  <c r="C101" i="107"/>
  <c r="C102" i="107"/>
  <c r="C103" i="107"/>
  <c r="C104" i="107"/>
  <c r="C104" i="111" s="1"/>
  <c r="S33" i="111" s="1"/>
  <c r="C105" i="107"/>
  <c r="C58" i="107"/>
  <c r="S22" i="107" s="1"/>
  <c r="C57" i="111"/>
  <c r="P58" i="108"/>
  <c r="P59" i="108"/>
  <c r="P60" i="108"/>
  <c r="P61" i="108"/>
  <c r="P62" i="108"/>
  <c r="P63" i="108"/>
  <c r="P64" i="108"/>
  <c r="P65" i="108"/>
  <c r="AF23" i="108" s="1"/>
  <c r="P66" i="108"/>
  <c r="P67" i="108"/>
  <c r="P68" i="108"/>
  <c r="P69" i="108"/>
  <c r="P70" i="108"/>
  <c r="P71" i="108"/>
  <c r="P72" i="108"/>
  <c r="P73" i="108"/>
  <c r="AF25" i="108" s="1"/>
  <c r="P74" i="108"/>
  <c r="P75" i="108"/>
  <c r="P76" i="108"/>
  <c r="P77" i="108"/>
  <c r="P78" i="108"/>
  <c r="P79" i="108"/>
  <c r="P80" i="108"/>
  <c r="P81" i="108"/>
  <c r="AF27" i="108" s="1"/>
  <c r="P82" i="108"/>
  <c r="P83" i="108"/>
  <c r="P84" i="108"/>
  <c r="P85" i="108"/>
  <c r="P86" i="108"/>
  <c r="P87" i="108"/>
  <c r="P88" i="108"/>
  <c r="P89" i="108"/>
  <c r="AF29" i="108" s="1"/>
  <c r="P90" i="108"/>
  <c r="P91" i="108"/>
  <c r="P92" i="108"/>
  <c r="P93" i="108"/>
  <c r="P94" i="108"/>
  <c r="P95" i="108"/>
  <c r="P96" i="108"/>
  <c r="P97" i="108"/>
  <c r="AF31" i="108" s="1"/>
  <c r="P98" i="108"/>
  <c r="P99" i="108"/>
  <c r="P100" i="108"/>
  <c r="P101" i="108"/>
  <c r="P102" i="108"/>
  <c r="AF33" i="108" s="1"/>
  <c r="P103" i="108"/>
  <c r="P104" i="108"/>
  <c r="P105" i="108"/>
  <c r="O58" i="108"/>
  <c r="O59" i="108"/>
  <c r="O60" i="108"/>
  <c r="O61" i="108"/>
  <c r="O62" i="108"/>
  <c r="O63" i="108"/>
  <c r="O64" i="108"/>
  <c r="O65" i="108"/>
  <c r="AE23" i="108" s="1"/>
  <c r="O66" i="108"/>
  <c r="O67" i="108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O81" i="108"/>
  <c r="AE27" i="108" s="1"/>
  <c r="O82" i="108"/>
  <c r="O83" i="108"/>
  <c r="O84" i="108"/>
  <c r="O85" i="108"/>
  <c r="O86" i="108"/>
  <c r="O87" i="108"/>
  <c r="O88" i="108"/>
  <c r="O89" i="108"/>
  <c r="AE29" i="108" s="1"/>
  <c r="O90" i="108"/>
  <c r="O91" i="108"/>
  <c r="O92" i="108"/>
  <c r="O93" i="108"/>
  <c r="O94" i="108"/>
  <c r="O95" i="108"/>
  <c r="O96" i="108"/>
  <c r="O97" i="108"/>
  <c r="AE31" i="108" s="1"/>
  <c r="O98" i="108"/>
  <c r="O99" i="108"/>
  <c r="O100" i="108"/>
  <c r="O101" i="108"/>
  <c r="O102" i="108"/>
  <c r="O103" i="108"/>
  <c r="O104" i="108"/>
  <c r="O105" i="108"/>
  <c r="AE33" i="108" s="1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S24" i="108" s="1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S28" i="108" s="1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S32" i="108" s="1"/>
  <c r="C99" i="108"/>
  <c r="C100" i="108"/>
  <c r="C101" i="108"/>
  <c r="C102" i="108"/>
  <c r="C103" i="108"/>
  <c r="C104" i="108"/>
  <c r="C105" i="108"/>
  <c r="C58" i="108"/>
  <c r="S22" i="108" s="1"/>
  <c r="D58" i="111"/>
  <c r="E58" i="111"/>
  <c r="F58" i="111"/>
  <c r="G58" i="111"/>
  <c r="H58" i="111"/>
  <c r="I58" i="111"/>
  <c r="J58" i="111"/>
  <c r="L58" i="111"/>
  <c r="M58" i="111"/>
  <c r="N58" i="111"/>
  <c r="D59" i="111"/>
  <c r="E59" i="111"/>
  <c r="F59" i="111"/>
  <c r="V22" i="111" s="1"/>
  <c r="G59" i="111"/>
  <c r="I59" i="111"/>
  <c r="J59" i="111"/>
  <c r="K59" i="111"/>
  <c r="L59" i="111"/>
  <c r="M59" i="111"/>
  <c r="N59" i="111"/>
  <c r="D60" i="111"/>
  <c r="T22" i="111" s="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K61" i="111"/>
  <c r="L61" i="111"/>
  <c r="AB22" i="111" s="1"/>
  <c r="M61" i="111"/>
  <c r="N61" i="111"/>
  <c r="D62" i="111"/>
  <c r="E62" i="111"/>
  <c r="F62" i="111"/>
  <c r="H62" i="111"/>
  <c r="I62" i="111"/>
  <c r="J62" i="111"/>
  <c r="Z23" i="111" s="1"/>
  <c r="K62" i="111"/>
  <c r="L62" i="111"/>
  <c r="M62" i="11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N64" i="111"/>
  <c r="D65" i="111"/>
  <c r="E65" i="111"/>
  <c r="G65" i="111"/>
  <c r="H65" i="111"/>
  <c r="I65" i="111"/>
  <c r="J65" i="111"/>
  <c r="K65" i="111"/>
  <c r="L65" i="111"/>
  <c r="M65" i="111"/>
  <c r="AC23" i="111" s="1"/>
  <c r="D66" i="111"/>
  <c r="E66" i="111"/>
  <c r="F66" i="111"/>
  <c r="G66" i="111"/>
  <c r="H66" i="111"/>
  <c r="I66" i="111"/>
  <c r="J66" i="111"/>
  <c r="L66" i="111"/>
  <c r="M66" i="111"/>
  <c r="N66" i="111"/>
  <c r="D67" i="111"/>
  <c r="E67" i="111"/>
  <c r="F67" i="111"/>
  <c r="G67" i="111"/>
  <c r="I67" i="111"/>
  <c r="J67" i="111"/>
  <c r="K67" i="111"/>
  <c r="L67" i="111"/>
  <c r="M67" i="111"/>
  <c r="N67" i="111"/>
  <c r="D68" i="111"/>
  <c r="F68" i="111"/>
  <c r="G68" i="111"/>
  <c r="W24" i="111" s="1"/>
  <c r="H68" i="111"/>
  <c r="I68" i="111"/>
  <c r="J68" i="111"/>
  <c r="K68" i="111"/>
  <c r="L68" i="111"/>
  <c r="N68" i="111"/>
  <c r="D69" i="111"/>
  <c r="E69" i="111"/>
  <c r="F69" i="111"/>
  <c r="V24" i="111" s="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L70" i="111"/>
  <c r="M70" i="111"/>
  <c r="AC25" i="111" s="1"/>
  <c r="N70" i="111"/>
  <c r="E71" i="111"/>
  <c r="F71" i="111"/>
  <c r="G71" i="111"/>
  <c r="H71" i="111"/>
  <c r="I71" i="111"/>
  <c r="J71" i="11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X25" i="111" s="1"/>
  <c r="I73" i="111"/>
  <c r="J73" i="111"/>
  <c r="K73" i="111"/>
  <c r="L73" i="111"/>
  <c r="M73" i="111"/>
  <c r="D74" i="111"/>
  <c r="E74" i="111"/>
  <c r="F74" i="111"/>
  <c r="V26" i="111" s="1"/>
  <c r="G74" i="111"/>
  <c r="H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J76" i="111"/>
  <c r="K76" i="111"/>
  <c r="L76" i="111"/>
  <c r="N76" i="111"/>
  <c r="D77" i="111"/>
  <c r="E77" i="111"/>
  <c r="F77" i="111"/>
  <c r="G77" i="111"/>
  <c r="H77" i="111"/>
  <c r="I77" i="111"/>
  <c r="Y26" i="111" s="1"/>
  <c r="K77" i="111"/>
  <c r="L77" i="111"/>
  <c r="M77" i="111"/>
  <c r="N77" i="111"/>
  <c r="D78" i="111"/>
  <c r="E78" i="111"/>
  <c r="F78" i="111"/>
  <c r="H78" i="111"/>
  <c r="I78" i="111"/>
  <c r="J78" i="111"/>
  <c r="K78" i="111"/>
  <c r="L78" i="111"/>
  <c r="M78" i="111"/>
  <c r="N78" i="111"/>
  <c r="E79" i="111"/>
  <c r="F79" i="111"/>
  <c r="G79" i="111"/>
  <c r="H79" i="111"/>
  <c r="I79" i="111"/>
  <c r="J79" i="111"/>
  <c r="K79" i="111"/>
  <c r="M79" i="111"/>
  <c r="N79" i="111"/>
  <c r="D80" i="111"/>
  <c r="E80" i="111"/>
  <c r="F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G82" i="111"/>
  <c r="H82" i="111"/>
  <c r="I82" i="111"/>
  <c r="Y28" i="111" s="1"/>
  <c r="J82" i="111"/>
  <c r="L82" i="111"/>
  <c r="M82" i="111"/>
  <c r="N82" i="111"/>
  <c r="D83" i="111"/>
  <c r="E83" i="111"/>
  <c r="F83" i="111"/>
  <c r="G83" i="111"/>
  <c r="I83" i="111"/>
  <c r="J83" i="111"/>
  <c r="K83" i="111"/>
  <c r="L83" i="111"/>
  <c r="M83" i="111"/>
  <c r="N83" i="111"/>
  <c r="D84" i="111"/>
  <c r="F84" i="111"/>
  <c r="G84" i="111"/>
  <c r="H84" i="111"/>
  <c r="I84" i="111"/>
  <c r="J84" i="111"/>
  <c r="K84" i="111"/>
  <c r="L84" i="111"/>
  <c r="N84" i="111"/>
  <c r="D85" i="111"/>
  <c r="T28" i="111" s="1"/>
  <c r="E85" i="111"/>
  <c r="F85" i="111"/>
  <c r="G85" i="111"/>
  <c r="H85" i="111"/>
  <c r="I85" i="111"/>
  <c r="K85" i="111"/>
  <c r="L85" i="111"/>
  <c r="AB28" i="111" s="1"/>
  <c r="M85" i="111"/>
  <c r="N85" i="111"/>
  <c r="D86" i="111"/>
  <c r="E86" i="111"/>
  <c r="F86" i="111"/>
  <c r="H86" i="111"/>
  <c r="I86" i="111"/>
  <c r="J86" i="111"/>
  <c r="K86" i="111"/>
  <c r="L86" i="111"/>
  <c r="M86" i="11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G89" i="111"/>
  <c r="H89" i="111"/>
  <c r="X29" i="111" s="1"/>
  <c r="I89" i="111"/>
  <c r="J89" i="111"/>
  <c r="K89" i="111"/>
  <c r="L89" i="111"/>
  <c r="M89" i="111"/>
  <c r="D90" i="111"/>
  <c r="E90" i="111"/>
  <c r="F90" i="111"/>
  <c r="G90" i="111"/>
  <c r="H90" i="111"/>
  <c r="I90" i="11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H92" i="111"/>
  <c r="I92" i="111"/>
  <c r="J92" i="111"/>
  <c r="K92" i="111"/>
  <c r="L92" i="111"/>
  <c r="N92" i="111"/>
  <c r="D93" i="111"/>
  <c r="E93" i="111"/>
  <c r="F93" i="111"/>
  <c r="G93" i="111"/>
  <c r="H93" i="111"/>
  <c r="I93" i="111"/>
  <c r="K93" i="111"/>
  <c r="L93" i="111"/>
  <c r="M93" i="111"/>
  <c r="N93" i="111"/>
  <c r="D94" i="111"/>
  <c r="E94" i="111"/>
  <c r="U31" i="111" s="1"/>
  <c r="F94" i="111"/>
  <c r="H94" i="111"/>
  <c r="I94" i="111"/>
  <c r="J94" i="111"/>
  <c r="K94" i="111"/>
  <c r="L94" i="111"/>
  <c r="M94" i="111"/>
  <c r="N94" i="111"/>
  <c r="E95" i="111"/>
  <c r="F95" i="111"/>
  <c r="G95" i="111"/>
  <c r="H95" i="111"/>
  <c r="I95" i="111"/>
  <c r="J95" i="111"/>
  <c r="K95" i="111"/>
  <c r="M95" i="111"/>
  <c r="N95" i="111"/>
  <c r="D96" i="111"/>
  <c r="E96" i="111"/>
  <c r="F96" i="111"/>
  <c r="G96" i="111"/>
  <c r="H96" i="111"/>
  <c r="J96" i="111"/>
  <c r="K96" i="111"/>
  <c r="AA31" i="111" s="1"/>
  <c r="L96" i="111"/>
  <c r="M96" i="111"/>
  <c r="N96" i="111"/>
  <c r="D97" i="111"/>
  <c r="E97" i="111"/>
  <c r="G97" i="111"/>
  <c r="H97" i="111"/>
  <c r="X31" i="111" s="1"/>
  <c r="I97" i="111"/>
  <c r="J97" i="111"/>
  <c r="K97" i="111"/>
  <c r="L97" i="111"/>
  <c r="M97" i="111"/>
  <c r="D98" i="111"/>
  <c r="E98" i="111"/>
  <c r="F98" i="111"/>
  <c r="G98" i="111"/>
  <c r="H98" i="111"/>
  <c r="I98" i="111"/>
  <c r="J98" i="111"/>
  <c r="L98" i="111"/>
  <c r="M98" i="111"/>
  <c r="N98" i="111"/>
  <c r="D99" i="111"/>
  <c r="E99" i="111"/>
  <c r="F99" i="111"/>
  <c r="V32" i="111" s="1"/>
  <c r="G99" i="111"/>
  <c r="I99" i="111"/>
  <c r="J99" i="111"/>
  <c r="K99" i="111"/>
  <c r="L99" i="111"/>
  <c r="M99" i="111"/>
  <c r="N99" i="111"/>
  <c r="AD32" i="111" s="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K101" i="111"/>
  <c r="L101" i="111"/>
  <c r="M101" i="111"/>
  <c r="N101" i="111"/>
  <c r="D102" i="111"/>
  <c r="E102" i="111"/>
  <c r="F102" i="111"/>
  <c r="H102" i="111"/>
  <c r="I102" i="111"/>
  <c r="J102" i="111"/>
  <c r="K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U33" i="111" s="1"/>
  <c r="F104" i="111"/>
  <c r="G104" i="111"/>
  <c r="H104" i="111"/>
  <c r="J104" i="111"/>
  <c r="K104" i="111"/>
  <c r="AA33" i="111" s="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S23" i="111" s="1"/>
  <c r="C65" i="111"/>
  <c r="C67" i="111"/>
  <c r="C68" i="111"/>
  <c r="C69" i="111"/>
  <c r="C70" i="111"/>
  <c r="S25" i="111" s="1"/>
  <c r="C71" i="111"/>
  <c r="C72" i="111"/>
  <c r="C73" i="111"/>
  <c r="C75" i="111"/>
  <c r="C76" i="111"/>
  <c r="C77" i="111"/>
  <c r="C78" i="111"/>
  <c r="C79" i="111"/>
  <c r="C81" i="111"/>
  <c r="C83" i="111"/>
  <c r="C84" i="111"/>
  <c r="C85" i="111"/>
  <c r="C86" i="111"/>
  <c r="C87" i="111"/>
  <c r="C88" i="111"/>
  <c r="S29" i="111" s="1"/>
  <c r="C89" i="111"/>
  <c r="C91" i="111"/>
  <c r="C92" i="111"/>
  <c r="C93" i="111"/>
  <c r="C94" i="111"/>
  <c r="C95" i="111"/>
  <c r="C97" i="111"/>
  <c r="C99" i="111"/>
  <c r="C100" i="111"/>
  <c r="C101" i="111"/>
  <c r="C102" i="111"/>
  <c r="C103" i="111"/>
  <c r="C105" i="111"/>
  <c r="AE37" i="108"/>
  <c r="W37" i="108"/>
  <c r="AC33" i="108"/>
  <c r="AA33" i="108"/>
  <c r="Z33" i="108"/>
  <c r="X33" i="108"/>
  <c r="U33" i="108"/>
  <c r="T33" i="108"/>
  <c r="S33" i="108"/>
  <c r="AF32" i="108"/>
  <c r="AE32" i="108"/>
  <c r="AD32" i="108"/>
  <c r="AB32" i="108"/>
  <c r="Y32" i="108"/>
  <c r="W32" i="108"/>
  <c r="V32" i="108"/>
  <c r="T32" i="108"/>
  <c r="AC31" i="108"/>
  <c r="AA31" i="108"/>
  <c r="Z31" i="108"/>
  <c r="X31" i="108"/>
  <c r="U31" i="108"/>
  <c r="S31" i="108"/>
  <c r="AF30" i="108"/>
  <c r="AE30" i="108"/>
  <c r="AD30" i="108"/>
  <c r="AC30" i="108"/>
  <c r="AB30" i="108"/>
  <c r="Y30" i="108"/>
  <c r="W30" i="108"/>
  <c r="V30" i="108"/>
  <c r="U30" i="108"/>
  <c r="T30" i="108"/>
  <c r="S30" i="108"/>
  <c r="AC29" i="108"/>
  <c r="AA29" i="108"/>
  <c r="Z29" i="108"/>
  <c r="X29" i="108"/>
  <c r="U29" i="108"/>
  <c r="S29" i="108"/>
  <c r="AF28" i="108"/>
  <c r="AE28" i="108"/>
  <c r="AD28" i="108"/>
  <c r="AB28" i="108"/>
  <c r="Y28" i="108"/>
  <c r="W28" i="108"/>
  <c r="V28" i="108"/>
  <c r="T28" i="108"/>
  <c r="AC27" i="108"/>
  <c r="AA27" i="108"/>
  <c r="Z27" i="108"/>
  <c r="X27" i="108"/>
  <c r="U27" i="108"/>
  <c r="S27" i="108"/>
  <c r="AF26" i="108"/>
  <c r="AE26" i="108"/>
  <c r="AD26" i="108"/>
  <c r="AB26" i="108"/>
  <c r="Y26" i="108"/>
  <c r="W26" i="108"/>
  <c r="V26" i="108"/>
  <c r="T26" i="108"/>
  <c r="S26" i="108"/>
  <c r="AC25" i="108"/>
  <c r="AA25" i="108"/>
  <c r="Z25" i="108"/>
  <c r="X25" i="108"/>
  <c r="U25" i="108"/>
  <c r="S25" i="108"/>
  <c r="AF24" i="108"/>
  <c r="AE24" i="108"/>
  <c r="AD24" i="108"/>
  <c r="AB24" i="108"/>
  <c r="Y24" i="108"/>
  <c r="X24" i="108"/>
  <c r="W24" i="108"/>
  <c r="V24" i="108"/>
  <c r="T24" i="108"/>
  <c r="AC23" i="108"/>
  <c r="AA23" i="108"/>
  <c r="Z23" i="108"/>
  <c r="X23" i="108"/>
  <c r="U23" i="108"/>
  <c r="S23" i="108"/>
  <c r="AF22" i="108"/>
  <c r="AE22" i="108"/>
  <c r="AD22" i="108"/>
  <c r="AB22" i="108"/>
  <c r="AA22" i="108"/>
  <c r="Y22" i="108"/>
  <c r="W22" i="108"/>
  <c r="V22" i="108"/>
  <c r="T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X20" i="108"/>
  <c r="W20" i="108"/>
  <c r="V20" i="108"/>
  <c r="U20" i="108"/>
  <c r="U36" i="108" s="1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AA35" i="108" s="1"/>
  <c r="Z15" i="108"/>
  <c r="Y15" i="108"/>
  <c r="X15" i="108"/>
  <c r="W15" i="108"/>
  <c r="V15" i="108"/>
  <c r="U15" i="108"/>
  <c r="T15" i="108"/>
  <c r="S15" i="108"/>
  <c r="S35" i="108" s="1"/>
  <c r="AF14" i="108"/>
  <c r="AE14" i="108"/>
  <c r="AD14" i="108"/>
  <c r="AC14" i="108"/>
  <c r="AB14" i="108"/>
  <c r="AA14" i="108"/>
  <c r="Z14" i="108"/>
  <c r="Y14" i="108"/>
  <c r="Y38" i="108" s="1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C40" i="108" s="1"/>
  <c r="AB12" i="108"/>
  <c r="AA12" i="108"/>
  <c r="Z12" i="108"/>
  <c r="Y12" i="108"/>
  <c r="X12" i="108"/>
  <c r="W12" i="108"/>
  <c r="V12" i="108"/>
  <c r="U12" i="108"/>
  <c r="U40" i="108" s="1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40" i="108" s="1"/>
  <c r="X10" i="108"/>
  <c r="X34" i="108" s="1"/>
  <c r="W10" i="108"/>
  <c r="W34" i="108" s="1"/>
  <c r="V10" i="108"/>
  <c r="U10" i="108"/>
  <c r="T10" i="108"/>
  <c r="T40" i="108" s="1"/>
  <c r="S10" i="108"/>
  <c r="S40" i="108" s="1"/>
  <c r="AC33" i="111"/>
  <c r="Y32" i="111"/>
  <c r="T32" i="111"/>
  <c r="AD30" i="111"/>
  <c r="V30" i="111"/>
  <c r="AB26" i="111"/>
  <c r="Z25" i="111"/>
  <c r="U25" i="111"/>
  <c r="AD24" i="111"/>
  <c r="Y24" i="111"/>
  <c r="U23" i="111"/>
  <c r="AD22" i="111"/>
  <c r="Y22" i="111"/>
  <c r="W22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B20" i="111"/>
  <c r="AA20" i="111"/>
  <c r="Z20" i="111"/>
  <c r="Y20" i="111"/>
  <c r="X20" i="111"/>
  <c r="W20" i="111"/>
  <c r="W36" i="111" s="1"/>
  <c r="V20" i="111"/>
  <c r="U20" i="111"/>
  <c r="T20" i="111"/>
  <c r="S20" i="111"/>
  <c r="AF19" i="111"/>
  <c r="AE19" i="11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6" i="111" s="1"/>
  <c r="S19" i="11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C35" i="111" s="1"/>
  <c r="AB15" i="111"/>
  <c r="AA15" i="111"/>
  <c r="Z15" i="111"/>
  <c r="Y15" i="111"/>
  <c r="X15" i="111"/>
  <c r="W15" i="111"/>
  <c r="V15" i="111"/>
  <c r="U15" i="111"/>
  <c r="U35" i="111" s="1"/>
  <c r="T15" i="111"/>
  <c r="S15" i="111"/>
  <c r="AF14" i="111"/>
  <c r="AE14" i="111"/>
  <c r="AD14" i="111"/>
  <c r="AC14" i="111"/>
  <c r="AB14" i="111"/>
  <c r="AA14" i="111"/>
  <c r="AA38" i="111" s="1"/>
  <c r="Z14" i="111"/>
  <c r="Y14" i="111"/>
  <c r="X14" i="111"/>
  <c r="W14" i="111"/>
  <c r="V14" i="111"/>
  <c r="U14" i="111"/>
  <c r="T14" i="111"/>
  <c r="S14" i="111"/>
  <c r="S38" i="111" s="1"/>
  <c r="AF13" i="111"/>
  <c r="AF38" i="111" s="1"/>
  <c r="AE13" i="111"/>
  <c r="AE38" i="111" s="1"/>
  <c r="AD13" i="111"/>
  <c r="AD38" i="111" s="1"/>
  <c r="AC13" i="111"/>
  <c r="AC38" i="111" s="1"/>
  <c r="AB13" i="111"/>
  <c r="AB38" i="111" s="1"/>
  <c r="AA13" i="111"/>
  <c r="Z13" i="111"/>
  <c r="Z35" i="111" s="1"/>
  <c r="Y13" i="111"/>
  <c r="Y35" i="111" s="1"/>
  <c r="X13" i="111"/>
  <c r="X38" i="111" s="1"/>
  <c r="W13" i="111"/>
  <c r="W38" i="111" s="1"/>
  <c r="V13" i="111"/>
  <c r="V38" i="111" s="1"/>
  <c r="U13" i="111"/>
  <c r="U38" i="111" s="1"/>
  <c r="T13" i="111"/>
  <c r="T38" i="111" s="1"/>
  <c r="S13" i="111"/>
  <c r="AF12" i="111"/>
  <c r="AE12" i="111"/>
  <c r="AD12" i="111"/>
  <c r="AC12" i="111"/>
  <c r="AB12" i="111"/>
  <c r="AA12" i="111"/>
  <c r="Z12" i="111"/>
  <c r="Y12" i="111"/>
  <c r="X12" i="111"/>
  <c r="W12" i="111"/>
  <c r="W40" i="111" s="1"/>
  <c r="V12" i="111"/>
  <c r="U12" i="111"/>
  <c r="T12" i="111"/>
  <c r="S12" i="111"/>
  <c r="AF11" i="111"/>
  <c r="AE11" i="111"/>
  <c r="AD11" i="111"/>
  <c r="AC11" i="111"/>
  <c r="AC40" i="111" s="1"/>
  <c r="AB11" i="111"/>
  <c r="AA11" i="111"/>
  <c r="Z11" i="111"/>
  <c r="Y11" i="111"/>
  <c r="X11" i="111"/>
  <c r="W11" i="111"/>
  <c r="V11" i="111"/>
  <c r="U11" i="111"/>
  <c r="U40" i="111" s="1"/>
  <c r="T11" i="111"/>
  <c r="S11" i="111"/>
  <c r="AF10" i="111"/>
  <c r="AF34" i="111" s="1"/>
  <c r="AE10" i="111"/>
  <c r="AE34" i="111" s="1"/>
  <c r="AD10" i="111"/>
  <c r="AC10" i="111"/>
  <c r="AB10" i="111"/>
  <c r="AB40" i="111" s="1"/>
  <c r="AA10" i="111"/>
  <c r="AA40" i="111" s="1"/>
  <c r="Z10" i="111"/>
  <c r="Z40" i="111" s="1"/>
  <c r="Y10" i="111"/>
  <c r="X10" i="111"/>
  <c r="X34" i="111" s="1"/>
  <c r="W10" i="111"/>
  <c r="W34" i="111" s="1"/>
  <c r="V10" i="111"/>
  <c r="U10" i="111"/>
  <c r="T10" i="111"/>
  <c r="T40" i="111" s="1"/>
  <c r="S10" i="111"/>
  <c r="S40" i="111" s="1"/>
  <c r="AE33" i="107"/>
  <c r="AC33" i="107"/>
  <c r="AB33" i="107"/>
  <c r="AA33" i="107"/>
  <c r="Z33" i="107"/>
  <c r="X33" i="107"/>
  <c r="U33" i="107"/>
  <c r="T33" i="107"/>
  <c r="AF32" i="107"/>
  <c r="AE32" i="107"/>
  <c r="AD32" i="107"/>
  <c r="AB32" i="107"/>
  <c r="Y32" i="107"/>
  <c r="W32" i="107"/>
  <c r="V32" i="107"/>
  <c r="T32" i="107"/>
  <c r="AF31" i="107"/>
  <c r="AD31" i="107"/>
  <c r="AC31" i="107"/>
  <c r="AA31" i="107"/>
  <c r="Z31" i="107"/>
  <c r="X31" i="107"/>
  <c r="V31" i="107"/>
  <c r="U31" i="107"/>
  <c r="AF30" i="107"/>
  <c r="AE30" i="107"/>
  <c r="AD30" i="107"/>
  <c r="AB30" i="107"/>
  <c r="AA30" i="107"/>
  <c r="Y30" i="107"/>
  <c r="W30" i="107"/>
  <c r="V30" i="107"/>
  <c r="T30" i="107"/>
  <c r="AC29" i="107"/>
  <c r="AA29" i="107"/>
  <c r="Z29" i="107"/>
  <c r="X29" i="107"/>
  <c r="U29" i="107"/>
  <c r="AF28" i="107"/>
  <c r="AE28" i="107"/>
  <c r="AD28" i="107"/>
  <c r="AC28" i="107"/>
  <c r="AB28" i="107"/>
  <c r="Y28" i="107"/>
  <c r="W28" i="107"/>
  <c r="V28" i="107"/>
  <c r="U28" i="107"/>
  <c r="T28" i="107"/>
  <c r="AC27" i="107"/>
  <c r="AA27" i="107"/>
  <c r="Z27" i="107"/>
  <c r="X27" i="107"/>
  <c r="U27" i="107"/>
  <c r="AF26" i="107"/>
  <c r="AE26" i="107"/>
  <c r="AD26" i="107"/>
  <c r="AB26" i="107"/>
  <c r="Y26" i="107"/>
  <c r="W26" i="107"/>
  <c r="V26" i="107"/>
  <c r="T26" i="107"/>
  <c r="AC25" i="107"/>
  <c r="AB25" i="107"/>
  <c r="AA25" i="107"/>
  <c r="Z25" i="107"/>
  <c r="X25" i="107"/>
  <c r="U25" i="107"/>
  <c r="T25" i="107"/>
  <c r="AF24" i="107"/>
  <c r="AE24" i="107"/>
  <c r="AD24" i="107"/>
  <c r="AB24" i="107"/>
  <c r="Y24" i="107"/>
  <c r="W24" i="107"/>
  <c r="V24" i="107"/>
  <c r="T24" i="107"/>
  <c r="AD23" i="107"/>
  <c r="AC23" i="107"/>
  <c r="AA23" i="107"/>
  <c r="Z23" i="107"/>
  <c r="X23" i="107"/>
  <c r="V23" i="107"/>
  <c r="U23" i="107"/>
  <c r="AF22" i="107"/>
  <c r="AE22" i="107"/>
  <c r="AD22" i="107"/>
  <c r="AB22" i="107"/>
  <c r="AA22" i="107"/>
  <c r="Y22" i="107"/>
  <c r="W22" i="107"/>
  <c r="V22" i="107"/>
  <c r="T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X20" i="107"/>
  <c r="W20" i="107"/>
  <c r="V20" i="107"/>
  <c r="U20" i="107"/>
  <c r="U36" i="107" s="1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B14" i="107"/>
  <c r="AA14" i="107"/>
  <c r="Z14" i="107"/>
  <c r="Y14" i="107"/>
  <c r="Y35" i="107" s="1"/>
  <c r="X14" i="107"/>
  <c r="W14" i="107"/>
  <c r="V14" i="107"/>
  <c r="U14" i="107"/>
  <c r="T14" i="107"/>
  <c r="S14" i="107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AA38" i="107" s="1"/>
  <c r="Z13" i="107"/>
  <c r="Z35" i="107" s="1"/>
  <c r="Y13" i="107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S35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D11" i="107"/>
  <c r="AC11" i="107"/>
  <c r="AB11" i="107"/>
  <c r="AA11" i="107"/>
  <c r="AA40" i="107" s="1"/>
  <c r="Z11" i="107"/>
  <c r="Y11" i="107"/>
  <c r="X11" i="107"/>
  <c r="W11" i="107"/>
  <c r="V11" i="107"/>
  <c r="U11" i="107"/>
  <c r="T11" i="107"/>
  <c r="S11" i="107"/>
  <c r="S40" i="107" s="1"/>
  <c r="AF10" i="107"/>
  <c r="AF34" i="107" s="1"/>
  <c r="AE10" i="107"/>
  <c r="AE34" i="107" s="1"/>
  <c r="AD10" i="107"/>
  <c r="AC10" i="107"/>
  <c r="AB10" i="107"/>
  <c r="AB40" i="107" s="1"/>
  <c r="AA10" i="107"/>
  <c r="AA34" i="107" s="1"/>
  <c r="Z10" i="107"/>
  <c r="Z40" i="107" s="1"/>
  <c r="Y10" i="107"/>
  <c r="Y40" i="107" s="1"/>
  <c r="X10" i="107"/>
  <c r="X34" i="107" s="1"/>
  <c r="W10" i="107"/>
  <c r="W34" i="107" s="1"/>
  <c r="V10" i="107"/>
  <c r="U10" i="107"/>
  <c r="T10" i="107"/>
  <c r="T40" i="107" s="1"/>
  <c r="S10" i="107"/>
  <c r="S34" i="107" s="1"/>
  <c r="Q106" i="111"/>
  <c r="Q106" i="108"/>
  <c r="L106" i="108"/>
  <c r="K106" i="108"/>
  <c r="G106" i="108"/>
  <c r="F106" i="108"/>
  <c r="D106" i="108"/>
  <c r="E106" i="107"/>
  <c r="M106" i="107"/>
  <c r="Q106" i="107"/>
  <c r="AF23" i="107" l="1"/>
  <c r="AE23" i="107"/>
  <c r="N106" i="111"/>
  <c r="L106" i="107"/>
  <c r="D106" i="107"/>
  <c r="W23" i="107"/>
  <c r="AC31" i="111"/>
  <c r="V28" i="111"/>
  <c r="Z31" i="111"/>
  <c r="W30" i="111"/>
  <c r="AD28" i="111"/>
  <c r="AA27" i="111"/>
  <c r="T24" i="111"/>
  <c r="J106" i="107"/>
  <c r="U41" i="107"/>
  <c r="AC41" i="107"/>
  <c r="Y23" i="107"/>
  <c r="T30" i="111"/>
  <c r="Y30" i="111"/>
  <c r="X27" i="111"/>
  <c r="AB24" i="111"/>
  <c r="V41" i="107"/>
  <c r="AD41" i="107"/>
  <c r="X33" i="111"/>
  <c r="AB30" i="111"/>
  <c r="Z27" i="111"/>
  <c r="W26" i="111"/>
  <c r="AA23" i="111"/>
  <c r="H106" i="107"/>
  <c r="Z33" i="111"/>
  <c r="W32" i="111"/>
  <c r="AA29" i="111"/>
  <c r="T26" i="111"/>
  <c r="X23" i="111"/>
  <c r="L103" i="111"/>
  <c r="AB33" i="111" s="1"/>
  <c r="D103" i="111"/>
  <c r="T33" i="111" s="1"/>
  <c r="J101" i="111"/>
  <c r="Z32" i="111" s="1"/>
  <c r="G94" i="111"/>
  <c r="W31" i="111" s="1"/>
  <c r="M92" i="111"/>
  <c r="AC30" i="111" s="1"/>
  <c r="E92" i="111"/>
  <c r="U30" i="111" s="1"/>
  <c r="N81" i="111"/>
  <c r="F81" i="111"/>
  <c r="V27" i="111" s="1"/>
  <c r="H67" i="111"/>
  <c r="X24" i="111" s="1"/>
  <c r="K58" i="111"/>
  <c r="AB32" i="111"/>
  <c r="Z29" i="111"/>
  <c r="W28" i="111"/>
  <c r="AA25" i="111"/>
  <c r="S27" i="111"/>
  <c r="C80" i="111"/>
  <c r="O80" i="111" s="1"/>
  <c r="S33" i="107"/>
  <c r="C96" i="111"/>
  <c r="S31" i="111" s="1"/>
  <c r="O67" i="111"/>
  <c r="C90" i="111"/>
  <c r="O90" i="111" s="1"/>
  <c r="C74" i="111"/>
  <c r="C106" i="107"/>
  <c r="S23" i="107"/>
  <c r="S36" i="111"/>
  <c r="P106" i="108"/>
  <c r="O106" i="108"/>
  <c r="F105" i="111"/>
  <c r="V33" i="111" s="1"/>
  <c r="V33" i="108"/>
  <c r="Y33" i="108"/>
  <c r="I104" i="111"/>
  <c r="Y33" i="111" s="1"/>
  <c r="U32" i="108"/>
  <c r="E100" i="111"/>
  <c r="U32" i="111" s="1"/>
  <c r="K98" i="111"/>
  <c r="AA32" i="111" s="1"/>
  <c r="AA32" i="108"/>
  <c r="V31" i="108"/>
  <c r="V41" i="108" s="1"/>
  <c r="F97" i="111"/>
  <c r="Z30" i="108"/>
  <c r="J93" i="111"/>
  <c r="Z30" i="111" s="1"/>
  <c r="X30" i="108"/>
  <c r="H91" i="111"/>
  <c r="X30" i="111" s="1"/>
  <c r="AA30" i="108"/>
  <c r="K90" i="111"/>
  <c r="AA30" i="111" s="1"/>
  <c r="AD29" i="108"/>
  <c r="N89" i="111"/>
  <c r="AD29" i="111" s="1"/>
  <c r="V29" i="108"/>
  <c r="F89" i="111"/>
  <c r="V29" i="111" s="1"/>
  <c r="Y29" i="108"/>
  <c r="I88" i="111"/>
  <c r="L87" i="111"/>
  <c r="AB29" i="111" s="1"/>
  <c r="AB29" i="108"/>
  <c r="D87" i="111"/>
  <c r="T29" i="111" s="1"/>
  <c r="T29" i="108"/>
  <c r="W29" i="108"/>
  <c r="W41" i="108" s="1"/>
  <c r="G86" i="111"/>
  <c r="W29" i="111" s="1"/>
  <c r="J85" i="111"/>
  <c r="Z28" i="111" s="1"/>
  <c r="Z28" i="108"/>
  <c r="AC28" i="108"/>
  <c r="M84" i="111"/>
  <c r="AC28" i="111" s="1"/>
  <c r="U28" i="108"/>
  <c r="E84" i="111"/>
  <c r="U28" i="111" s="1"/>
  <c r="X28" i="108"/>
  <c r="H83" i="111"/>
  <c r="X28" i="111" s="1"/>
  <c r="AD27" i="111"/>
  <c r="Y27" i="108"/>
  <c r="I80" i="111"/>
  <c r="Y27" i="111" s="1"/>
  <c r="AB27" i="108"/>
  <c r="L79" i="111"/>
  <c r="AB27" i="111" s="1"/>
  <c r="T27" i="108"/>
  <c r="D79" i="111"/>
  <c r="T27" i="111" s="1"/>
  <c r="G78" i="111"/>
  <c r="W27" i="111" s="1"/>
  <c r="W27" i="108"/>
  <c r="Z26" i="108"/>
  <c r="J77" i="111"/>
  <c r="Z26" i="111" s="1"/>
  <c r="M76" i="111"/>
  <c r="AC26" i="111" s="1"/>
  <c r="AC26" i="108"/>
  <c r="E76" i="111"/>
  <c r="U26" i="111" s="1"/>
  <c r="U26" i="108"/>
  <c r="X26" i="108"/>
  <c r="H75" i="111"/>
  <c r="X26" i="111" s="1"/>
  <c r="AA26" i="108"/>
  <c r="AA41" i="108" s="1"/>
  <c r="AA42" i="108" s="1"/>
  <c r="K74" i="111"/>
  <c r="AA26" i="111" s="1"/>
  <c r="AD25" i="108"/>
  <c r="AD41" i="108" s="1"/>
  <c r="AD42" i="108" s="1"/>
  <c r="N73" i="111"/>
  <c r="AD25" i="111" s="1"/>
  <c r="V25" i="108"/>
  <c r="F73" i="111"/>
  <c r="V25" i="111" s="1"/>
  <c r="Y25" i="108"/>
  <c r="I72" i="111"/>
  <c r="Y25" i="111" s="1"/>
  <c r="L71" i="111"/>
  <c r="AB25" i="111" s="1"/>
  <c r="AB25" i="108"/>
  <c r="D71" i="111"/>
  <c r="T25" i="111" s="1"/>
  <c r="T25" i="108"/>
  <c r="T41" i="108" s="1"/>
  <c r="T42" i="108" s="1"/>
  <c r="W25" i="108"/>
  <c r="G70" i="111"/>
  <c r="W25" i="111" s="1"/>
  <c r="J69" i="111"/>
  <c r="Z24" i="111" s="1"/>
  <c r="Z24" i="108"/>
  <c r="AC24" i="108"/>
  <c r="M68" i="111"/>
  <c r="U24" i="108"/>
  <c r="E68" i="111"/>
  <c r="U24" i="111" s="1"/>
  <c r="AA24" i="108"/>
  <c r="K66" i="111"/>
  <c r="AA24" i="111" s="1"/>
  <c r="N65" i="111"/>
  <c r="AD23" i="111" s="1"/>
  <c r="AD23" i="108"/>
  <c r="F65" i="111"/>
  <c r="F106" i="111" s="1"/>
  <c r="V23" i="108"/>
  <c r="Y23" i="108"/>
  <c r="I64" i="111"/>
  <c r="Y23" i="111" s="1"/>
  <c r="AB23" i="108"/>
  <c r="L63" i="111"/>
  <c r="AB23" i="111" s="1"/>
  <c r="T23" i="108"/>
  <c r="D63" i="111"/>
  <c r="O63" i="111" s="1"/>
  <c r="G62" i="111"/>
  <c r="G106" i="111" s="1"/>
  <c r="W23" i="108"/>
  <c r="Z22" i="108"/>
  <c r="J61" i="111"/>
  <c r="Z22" i="111" s="1"/>
  <c r="M60" i="111"/>
  <c r="M106" i="111" s="1"/>
  <c r="AC22" i="108"/>
  <c r="AC41" i="108" s="1"/>
  <c r="AC42" i="108" s="1"/>
  <c r="E60" i="111"/>
  <c r="O60" i="111" s="1"/>
  <c r="U22" i="108"/>
  <c r="U41" i="108" s="1"/>
  <c r="U42" i="108" s="1"/>
  <c r="X22" i="108"/>
  <c r="X41" i="108" s="1"/>
  <c r="X42" i="108" s="1"/>
  <c r="H59" i="111"/>
  <c r="H106" i="111" s="1"/>
  <c r="O87" i="111"/>
  <c r="O69" i="111"/>
  <c r="W33" i="108"/>
  <c r="G102" i="111"/>
  <c r="W33" i="111" s="1"/>
  <c r="AC32" i="108"/>
  <c r="M100" i="111"/>
  <c r="AC32" i="111" s="1"/>
  <c r="X32" i="108"/>
  <c r="H99" i="111"/>
  <c r="X32" i="111" s="1"/>
  <c r="AD31" i="108"/>
  <c r="N97" i="111"/>
  <c r="AD31" i="111" s="1"/>
  <c r="I96" i="111"/>
  <c r="Y31" i="111" s="1"/>
  <c r="Y31" i="108"/>
  <c r="AB31" i="108"/>
  <c r="L95" i="111"/>
  <c r="AB31" i="111" s="1"/>
  <c r="T31" i="108"/>
  <c r="D95" i="111"/>
  <c r="T31" i="111" s="1"/>
  <c r="K82" i="111"/>
  <c r="AA28" i="111" s="1"/>
  <c r="AA28" i="108"/>
  <c r="H106" i="108"/>
  <c r="AB33" i="108"/>
  <c r="V31" i="111"/>
  <c r="O91" i="111"/>
  <c r="AC24" i="111"/>
  <c r="N105" i="111"/>
  <c r="AD33" i="111" s="1"/>
  <c r="AD33" i="108"/>
  <c r="I106" i="108"/>
  <c r="J106" i="108"/>
  <c r="AD27" i="108"/>
  <c r="W31" i="108"/>
  <c r="Y29" i="111"/>
  <c r="O59" i="111"/>
  <c r="E106" i="108"/>
  <c r="M106" i="108"/>
  <c r="V27" i="108"/>
  <c r="Z32" i="108"/>
  <c r="O83" i="111"/>
  <c r="N106" i="108"/>
  <c r="O104" i="111"/>
  <c r="O86" i="111"/>
  <c r="O77" i="111"/>
  <c r="O103" i="111"/>
  <c r="O94" i="111"/>
  <c r="O76" i="111"/>
  <c r="P67" i="111"/>
  <c r="O102" i="111"/>
  <c r="O93" i="111"/>
  <c r="O84" i="111"/>
  <c r="O101" i="111"/>
  <c r="O92" i="111"/>
  <c r="P83" i="111"/>
  <c r="AC29" i="111"/>
  <c r="U29" i="111"/>
  <c r="AC27" i="111"/>
  <c r="U27" i="111"/>
  <c r="AD26" i="111"/>
  <c r="P91" i="111"/>
  <c r="O89" i="111"/>
  <c r="O62" i="111"/>
  <c r="P58" i="111"/>
  <c r="O88" i="111"/>
  <c r="O70" i="111"/>
  <c r="S30" i="111"/>
  <c r="S26" i="111"/>
  <c r="P74" i="111"/>
  <c r="O74" i="111"/>
  <c r="P89" i="111"/>
  <c r="P65" i="111"/>
  <c r="C98" i="111"/>
  <c r="C82" i="111"/>
  <c r="C66" i="111"/>
  <c r="C106" i="111" s="1"/>
  <c r="P104" i="111"/>
  <c r="P88" i="111"/>
  <c r="P80" i="111"/>
  <c r="C106" i="108"/>
  <c r="P103" i="111"/>
  <c r="P102" i="111"/>
  <c r="P94" i="111"/>
  <c r="P86" i="111"/>
  <c r="P78" i="111"/>
  <c r="P62" i="111"/>
  <c r="S22" i="111"/>
  <c r="P101" i="111"/>
  <c r="P93" i="111"/>
  <c r="P77" i="111"/>
  <c r="P69" i="111"/>
  <c r="P92" i="111"/>
  <c r="P84" i="111"/>
  <c r="P76" i="111"/>
  <c r="P60" i="111"/>
  <c r="O58" i="111"/>
  <c r="AA22" i="111"/>
  <c r="AA41" i="111" s="1"/>
  <c r="AA42" i="111" s="1"/>
  <c r="U22" i="111"/>
  <c r="AC22" i="111"/>
  <c r="Y34" i="108"/>
  <c r="Z34" i="108"/>
  <c r="T35" i="108"/>
  <c r="AB35" i="108"/>
  <c r="V36" i="108"/>
  <c r="AD36" i="108"/>
  <c r="X37" i="108"/>
  <c r="AF37" i="108"/>
  <c r="Z38" i="108"/>
  <c r="T39" i="108"/>
  <c r="AB39" i="108"/>
  <c r="V40" i="108"/>
  <c r="AD40" i="108"/>
  <c r="AF41" i="108"/>
  <c r="AE41" i="108"/>
  <c r="S34" i="108"/>
  <c r="AA34" i="108"/>
  <c r="U35" i="108"/>
  <c r="AC35" i="108"/>
  <c r="W36" i="108"/>
  <c r="AE36" i="108"/>
  <c r="Y37" i="108"/>
  <c r="W40" i="108"/>
  <c r="AE40" i="108"/>
  <c r="Y41" i="108"/>
  <c r="Y42" i="108" s="1"/>
  <c r="T34" i="108"/>
  <c r="AB34" i="108"/>
  <c r="V35" i="108"/>
  <c r="AD35" i="108"/>
  <c r="X36" i="108"/>
  <c r="AF36" i="108"/>
  <c r="Z37" i="108"/>
  <c r="X40" i="108"/>
  <c r="AF40" i="108"/>
  <c r="Z41" i="108"/>
  <c r="Z42" i="108" s="1"/>
  <c r="U34" i="108"/>
  <c r="AC34" i="108"/>
  <c r="W35" i="108"/>
  <c r="AE35" i="108"/>
  <c r="Y36" i="108"/>
  <c r="S37" i="108"/>
  <c r="AA37" i="108"/>
  <c r="S41" i="108"/>
  <c r="S42" i="108" s="1"/>
  <c r="AA39" i="108"/>
  <c r="V34" i="108"/>
  <c r="AD34" i="108"/>
  <c r="X35" i="108"/>
  <c r="AF35" i="108"/>
  <c r="Z36" i="108"/>
  <c r="T37" i="108"/>
  <c r="AB37" i="108"/>
  <c r="AB41" i="108"/>
  <c r="AB42" i="108" s="1"/>
  <c r="S39" i="108"/>
  <c r="U37" i="108"/>
  <c r="AC37" i="108"/>
  <c r="V37" i="108"/>
  <c r="AD37" i="108"/>
  <c r="Y34" i="111"/>
  <c r="S35" i="111"/>
  <c r="AA35" i="111"/>
  <c r="U36" i="111"/>
  <c r="AC36" i="111"/>
  <c r="W37" i="111"/>
  <c r="AE37" i="111"/>
  <c r="Y38" i="111"/>
  <c r="S39" i="111"/>
  <c r="AA39" i="111"/>
  <c r="Z34" i="111"/>
  <c r="T35" i="111"/>
  <c r="AB35" i="111"/>
  <c r="V36" i="111"/>
  <c r="AD36" i="111"/>
  <c r="X37" i="111"/>
  <c r="AF37" i="111"/>
  <c r="Z38" i="111"/>
  <c r="T39" i="111"/>
  <c r="AB39" i="111"/>
  <c r="V40" i="111"/>
  <c r="AD40" i="111"/>
  <c r="T34" i="111"/>
  <c r="AB34" i="111"/>
  <c r="V35" i="111"/>
  <c r="AD35" i="111"/>
  <c r="X36" i="111"/>
  <c r="Z37" i="111"/>
  <c r="X40" i="111"/>
  <c r="AA34" i="111"/>
  <c r="Y37" i="111"/>
  <c r="U34" i="111"/>
  <c r="AC34" i="111"/>
  <c r="W35" i="111"/>
  <c r="AE35" i="111"/>
  <c r="Y36" i="111"/>
  <c r="S37" i="111"/>
  <c r="AA37" i="111"/>
  <c r="Y40" i="111"/>
  <c r="S34" i="111"/>
  <c r="V34" i="111"/>
  <c r="AD34" i="111"/>
  <c r="X35" i="111"/>
  <c r="AF35" i="111"/>
  <c r="Z36" i="111"/>
  <c r="T37" i="111"/>
  <c r="AB37" i="111"/>
  <c r="U37" i="111"/>
  <c r="AC37" i="111"/>
  <c r="V37" i="111"/>
  <c r="AD37" i="111"/>
  <c r="Y34" i="107"/>
  <c r="AE37" i="107"/>
  <c r="AA39" i="107"/>
  <c r="AE41" i="107"/>
  <c r="AE42" i="107" s="1"/>
  <c r="Z34" i="107"/>
  <c r="T35" i="107"/>
  <c r="AB35" i="107"/>
  <c r="V36" i="107"/>
  <c r="AD36" i="107"/>
  <c r="X37" i="107"/>
  <c r="AF37" i="107"/>
  <c r="Z38" i="107"/>
  <c r="T39" i="107"/>
  <c r="AB39" i="107"/>
  <c r="V40" i="107"/>
  <c r="V42" i="107" s="1"/>
  <c r="AD40" i="107"/>
  <c r="AD42" i="107" s="1"/>
  <c r="X41" i="107"/>
  <c r="AF41" i="107"/>
  <c r="AF42" i="107" s="1"/>
  <c r="AA35" i="107"/>
  <c r="W37" i="107"/>
  <c r="S39" i="107"/>
  <c r="AC40" i="107"/>
  <c r="AC42" i="107" s="1"/>
  <c r="U35" i="107"/>
  <c r="AC35" i="107"/>
  <c r="W36" i="107"/>
  <c r="AE36" i="107"/>
  <c r="Y37" i="107"/>
  <c r="S38" i="107"/>
  <c r="W40" i="107"/>
  <c r="AE40" i="107"/>
  <c r="Y41" i="107"/>
  <c r="Y42" i="107" s="1"/>
  <c r="Y38" i="107"/>
  <c r="U40" i="107"/>
  <c r="U42" i="107" s="1"/>
  <c r="W41" i="107"/>
  <c r="W42" i="107" s="1"/>
  <c r="T34" i="107"/>
  <c r="AB34" i="107"/>
  <c r="V35" i="107"/>
  <c r="AD35" i="107"/>
  <c r="X36" i="107"/>
  <c r="AF36" i="107"/>
  <c r="Z37" i="107"/>
  <c r="X40" i="107"/>
  <c r="AF40" i="107"/>
  <c r="Z41" i="107"/>
  <c r="Z42" i="107" s="1"/>
  <c r="U34" i="107"/>
  <c r="AC34" i="107"/>
  <c r="W35" i="107"/>
  <c r="AE35" i="107"/>
  <c r="Y36" i="107"/>
  <c r="S37" i="107"/>
  <c r="AA37" i="107"/>
  <c r="S41" i="107"/>
  <c r="S42" i="107" s="1"/>
  <c r="AA41" i="107"/>
  <c r="AA42" i="107" s="1"/>
  <c r="V34" i="107"/>
  <c r="AD34" i="107"/>
  <c r="X35" i="107"/>
  <c r="AF35" i="107"/>
  <c r="Z36" i="107"/>
  <c r="T37" i="107"/>
  <c r="AB37" i="107"/>
  <c r="T41" i="107"/>
  <c r="T42" i="107" s="1"/>
  <c r="AB41" i="107"/>
  <c r="AB42" i="107" s="1"/>
  <c r="U37" i="107"/>
  <c r="AC37" i="107"/>
  <c r="V37" i="107"/>
  <c r="AD37" i="107"/>
  <c r="C3" i="94"/>
  <c r="T23" i="111" l="1"/>
  <c r="T41" i="111" s="1"/>
  <c r="T42" i="111" s="1"/>
  <c r="P97" i="111"/>
  <c r="O97" i="111"/>
  <c r="P75" i="111"/>
  <c r="AF26" i="111" s="1"/>
  <c r="P85" i="111"/>
  <c r="P59" i="111"/>
  <c r="E106" i="111"/>
  <c r="P63" i="111"/>
  <c r="AF23" i="111" s="1"/>
  <c r="Z41" i="111"/>
  <c r="Z42" i="111" s="1"/>
  <c r="Y41" i="111"/>
  <c r="U41" i="111"/>
  <c r="U42" i="111" s="1"/>
  <c r="AD41" i="111"/>
  <c r="AB41" i="111"/>
  <c r="AB42" i="111" s="1"/>
  <c r="P64" i="111"/>
  <c r="O61" i="111"/>
  <c r="AE22" i="111" s="1"/>
  <c r="O72" i="111"/>
  <c r="K106" i="111"/>
  <c r="I106" i="111"/>
  <c r="AC41" i="111"/>
  <c r="AC42" i="111" s="1"/>
  <c r="P100" i="111"/>
  <c r="P72" i="111"/>
  <c r="P81" i="111"/>
  <c r="O81" i="111"/>
  <c r="O85" i="111"/>
  <c r="O75" i="111"/>
  <c r="AE26" i="111" s="1"/>
  <c r="L106" i="111"/>
  <c r="J106" i="111"/>
  <c r="AE30" i="111"/>
  <c r="O105" i="111"/>
  <c r="AE33" i="111" s="1"/>
  <c r="P61" i="111"/>
  <c r="P70" i="111"/>
  <c r="P87" i="111"/>
  <c r="AF29" i="111" s="1"/>
  <c r="P96" i="111"/>
  <c r="P90" i="111"/>
  <c r="AF30" i="111" s="1"/>
  <c r="O65" i="111"/>
  <c r="O95" i="111"/>
  <c r="D106" i="111"/>
  <c r="P79" i="111"/>
  <c r="W23" i="111"/>
  <c r="W41" i="111" s="1"/>
  <c r="W42" i="111" s="1"/>
  <c r="P95" i="111"/>
  <c r="O64" i="111"/>
  <c r="AE23" i="111" s="1"/>
  <c r="AF22" i="111"/>
  <c r="O73" i="111"/>
  <c r="P105" i="111"/>
  <c r="AF33" i="111" s="1"/>
  <c r="V23" i="111"/>
  <c r="V41" i="111" s="1"/>
  <c r="V42" i="111" s="1"/>
  <c r="P68" i="111"/>
  <c r="O71" i="111"/>
  <c r="O100" i="111"/>
  <c r="O99" i="111"/>
  <c r="O96" i="111"/>
  <c r="V42" i="108"/>
  <c r="AE29" i="111"/>
  <c r="O68" i="111"/>
  <c r="P71" i="111"/>
  <c r="P73" i="111"/>
  <c r="O79" i="111"/>
  <c r="P99" i="111"/>
  <c r="X22" i="111"/>
  <c r="X41" i="111" s="1"/>
  <c r="O78" i="111"/>
  <c r="S24" i="111"/>
  <c r="S41" i="111" s="1"/>
  <c r="S42" i="111" s="1"/>
  <c r="P66" i="111"/>
  <c r="O66" i="111"/>
  <c r="S32" i="111"/>
  <c r="P98" i="111"/>
  <c r="O98" i="111"/>
  <c r="AF27" i="111"/>
  <c r="S28" i="111"/>
  <c r="P82" i="111"/>
  <c r="AF28" i="111" s="1"/>
  <c r="O82" i="111"/>
  <c r="AE28" i="111" s="1"/>
  <c r="AD42" i="111"/>
  <c r="Y42" i="111"/>
  <c r="W42" i="108"/>
  <c r="AE42" i="108"/>
  <c r="AF42" i="108"/>
  <c r="X42" i="111"/>
  <c r="X42" i="107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F32" i="111" l="1"/>
  <c r="AE31" i="111"/>
  <c r="AE25" i="111"/>
  <c r="AF25" i="111"/>
  <c r="AE27" i="111"/>
  <c r="P106" i="111"/>
  <c r="AE32" i="111"/>
  <c r="AF31" i="111"/>
  <c r="AE24" i="111"/>
  <c r="AF24" i="111"/>
  <c r="K5" i="104"/>
  <c r="K5" i="108" s="1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Y19" i="103"/>
  <c r="Y27" i="103" s="1"/>
  <c r="X19" i="103"/>
  <c r="X27" i="103" s="1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Z27" i="97" s="1"/>
  <c r="Y19" i="97"/>
  <c r="X19" i="97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Z27" i="103" l="1"/>
  <c r="W27" i="103"/>
  <c r="V27" i="103"/>
  <c r="Z39" i="105"/>
  <c r="V39" i="105"/>
  <c r="AA39" i="105"/>
  <c r="W39" i="105"/>
  <c r="AC39" i="109"/>
  <c r="U39" i="109"/>
  <c r="V27" i="97"/>
  <c r="X27" i="97"/>
  <c r="T27" i="97"/>
  <c r="AB27" i="97"/>
  <c r="AA27" i="99"/>
  <c r="AA39" i="101"/>
  <c r="X39" i="105"/>
  <c r="X26" i="98"/>
  <c r="AD38" i="101"/>
  <c r="Y39" i="109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U38" i="110" s="1"/>
  <c r="W15" i="110"/>
  <c r="W38" i="110" s="1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S38" i="110" l="1"/>
  <c r="Y38" i="105"/>
  <c r="U38" i="109"/>
  <c r="AF33" i="101"/>
  <c r="AF32" i="101"/>
  <c r="Z26" i="95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V22" i="93" l="1"/>
  <c r="AE24" i="98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21" i="111" l="1"/>
  <c r="N107" i="111"/>
  <c r="AE21" i="111"/>
  <c r="O106" i="111"/>
  <c r="K108" i="111" s="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6" i="111" l="1"/>
  <c r="AE40" i="111"/>
  <c r="AE39" i="111"/>
  <c r="AE41" i="111"/>
  <c r="AE42" i="111" s="1"/>
  <c r="AF40" i="111"/>
  <c r="AF36" i="111"/>
  <c r="AF39" i="111"/>
  <c r="AF41" i="111"/>
  <c r="AF42" i="111" s="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<sst xmlns="http://schemas.openxmlformats.org/spreadsheetml/2006/main" count="2328" uniqueCount="179">
  <si>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</si>
  <si>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</si>
  <si>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</si>
  <si>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</si>
  <si>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</si>
  <si>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</si>
  <si>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</si>
  <si>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</si>
  <si>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</si>
  <si>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</si>
  <si>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</si>
  <si>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</si>
  <si>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</si>
  <si>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</si>
  <si>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</si>
  <si>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</si>
  <si>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</si>
  <si>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</si>
  <si>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</si>
  <si>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</si>
  <si>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</si>
  <si>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</si>
  <si>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</si>
  <si>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</si>
  <si>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</si>
  <si>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</si>
  <si>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</si>
  <si>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</si>
  <si>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</si>
  <si>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</si>
  <si>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</si>
  <si>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</si>
  <si>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</si>
  <si>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</si>
  <si>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</si>
  <si>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</si>
  <si>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</si>
  <si>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</si>
  <si>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</si>
  <si>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</si>
  <si>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</si>
  <si>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</si>
  <si>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</si>
  <si>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</si>
  <si>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</si>
  <si>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</si>
  <si>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</si>
  <si>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</si>
  <si>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</si>
  <si>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</si>
  <si>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</si>
  <si>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</si>
  <si>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</si>
  <si>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</si>
  <si>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</si>
  <si>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</si>
  <si>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</si>
  <si>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</si>
  <si>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</si>
  <si>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</si>
  <si>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</si>
  <si>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</si>
  <si>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</si>
  <si>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</si>
  <si>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</si>
  <si>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</si>
  <si>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</si>
  <si>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</si>
  <si>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</si>
  <si>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</si>
  <si>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</si>
  <si>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</si>
  <si>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</si>
  <si>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</si>
  <si>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</si>
  <si>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</si>
  <si>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</si>
  <si>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</si>
  <si>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</si>
  <si>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</si>
  <si>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</si>
  <si>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</si>
  <si>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</si>
  <si>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</si>
  <si>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</si>
  <si>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</si>
  <si>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</si>
  <si>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</si>
  <si>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</si>
  <si>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</si>
  <si>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</si>
  <si>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</si>
  <si>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</si>
  <si>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</si>
  <si>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</si>
  <si>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</si>
  <si>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</si>
  <si>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</si>
  <si>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</si>
  <si>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</si>
  <si>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</si>
  <si>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</si>
  <si>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</si>
  <si>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</si>
  <si>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</si>
  <si>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</si>
  <si>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</si>
  <si>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</si>
  <si>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</si>
  <si>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</si>
  <si>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</si>
  <si>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</si>
  <si>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</si>
  <si>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</si>
  <si>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</si>
  <si>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</si>
  <si>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</si>
  <si>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</si>
  <si>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</si>
  <si>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</si>
  <si>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</si>
  <si>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</si>
  <si>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</si>
  <si>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</si>
  <si>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</si>
  <si>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</si>
  <si>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</si>
  <si>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</si>
  <si>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</si>
  <si>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</si>
  <si>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</si>
  <si>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</si>
  <si>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</si>
  <si>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</si>
  <si>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</si>
  <si>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</si>
  <si>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</si>
  <si>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</si>
  <si>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</si>
  <si>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</si>
  <si>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</si>
  <si>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</si>
  <si>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</si>
  <si>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</si>
  <si>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</si>
  <si>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</si>
  <si>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</si>
  <si>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</si>
  <si>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</si>
  <si>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</si>
  <si>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</si>
  <si>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</si>
  <si>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</si>
  <si>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</si>
  <si>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</si>
  <si>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</si>
  <si>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</si>
  <si>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</si>
  <si>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</si>
  <si>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</si>
  <si>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</si>
  <si>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</si>
  <si>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</si>
  <si>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C2 - STN60 - MASAKA ROAD</t>
  </si>
  <si>
    <t>28.10.19</t>
  </si>
  <si>
    <t>Masaka</t>
  </si>
  <si>
    <t>Maya</t>
  </si>
  <si>
    <t>Kato joseph</t>
  </si>
  <si>
    <t>Mbabazi</t>
  </si>
  <si>
    <t>Florence</t>
  </si>
  <si>
    <t>29.10.19</t>
  </si>
  <si>
    <t>30.10.19</t>
  </si>
  <si>
    <t>31.10.19</t>
  </si>
  <si>
    <t>01.11.19</t>
  </si>
  <si>
    <t>02.11.19</t>
  </si>
  <si>
    <t>03.11.19</t>
  </si>
  <si>
    <t>irene nankinga</t>
  </si>
  <si>
    <t>nobert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</si>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</sst>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Masaka-Maya'!$AE$10:$AE$21</c:f>
              <c:numCache>
                <c:formatCode>0</c:formatCode>
                <c:ptCount val="12"/>
                <c:pt idx="0">
                  <c:v>305</c:v>
                </c:pt>
                <c:pt idx="1">
                  <c:v>263</c:v>
                </c:pt>
                <c:pt idx="2">
                  <c:v>227</c:v>
                </c:pt>
                <c:pt idx="3">
                  <c:v>265</c:v>
                </c:pt>
                <c:pt idx="4">
                  <c:v>215</c:v>
                </c:pt>
                <c:pt idx="5">
                  <c:v>300</c:v>
                </c:pt>
                <c:pt idx="6">
                  <c:v>297</c:v>
                </c:pt>
                <c:pt idx="7">
                  <c:v>300</c:v>
                </c:pt>
                <c:pt idx="8">
                  <c:v>337</c:v>
                </c:pt>
                <c:pt idx="9">
                  <c:v>352</c:v>
                </c:pt>
                <c:pt idx="10">
                  <c:v>421</c:v>
                </c:pt>
                <c:pt idx="11">
                  <c:v>674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'28.10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Masaka-Maya'!$AF$10:$AF$21</c:f>
              <c:numCache>
                <c:formatCode>0</c:formatCode>
                <c:ptCount val="12"/>
                <c:pt idx="0">
                  <c:v>452</c:v>
                </c:pt>
                <c:pt idx="1">
                  <c:v>365</c:v>
                </c:pt>
                <c:pt idx="2">
                  <c:v>329</c:v>
                </c:pt>
                <c:pt idx="3">
                  <c:v>341</c:v>
                </c:pt>
                <c:pt idx="4">
                  <c:v>296</c:v>
                </c:pt>
                <c:pt idx="5">
                  <c:v>387</c:v>
                </c:pt>
                <c:pt idx="6">
                  <c:v>405</c:v>
                </c:pt>
                <c:pt idx="7">
                  <c:v>397</c:v>
                </c:pt>
                <c:pt idx="8">
                  <c:v>419</c:v>
                </c:pt>
                <c:pt idx="9">
                  <c:v>448</c:v>
                </c:pt>
                <c:pt idx="10">
                  <c:v>558</c:v>
                </c:pt>
                <c:pt idx="11">
                  <c:v>813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677648"/>
        <c:axId val="142213648"/>
      </c:lineChart>
      <c:catAx>
        <c:axId val="188677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2213648"/>
        <c:crosses val="autoZero"/>
        <c:auto val="1"/>
        <c:lblAlgn val="ctr"/>
        <c:lblOffset val="100"/>
        <c:noMultiLvlLbl val="0"/>
      </c:catAx>
      <c:valAx>
        <c:axId val="142213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867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Masaka-Maya'!$C$59:$N$59</c:f>
              <c:numCache>
                <c:formatCode>0.0%</c:formatCode>
                <c:ptCount val="12"/>
                <c:pt idx="0">
                  <c:v>0.25105566218809983</c:v>
                </c:pt>
                <c:pt idx="1">
                  <c:v>6.8138195777351251E-2</c:v>
                </c:pt>
                <c:pt idx="2">
                  <c:v>4.2610364683301344E-2</c:v>
                </c:pt>
                <c:pt idx="3">
                  <c:v>0.22322456813819577</c:v>
                </c:pt>
                <c:pt idx="4">
                  <c:v>1.4203454894433781E-2</c:v>
                </c:pt>
                <c:pt idx="5">
                  <c:v>1.2284069097888676E-2</c:v>
                </c:pt>
                <c:pt idx="6">
                  <c:v>0.10057581573896353</c:v>
                </c:pt>
                <c:pt idx="7">
                  <c:v>1.8618042226487524E-2</c:v>
                </c:pt>
                <c:pt idx="8">
                  <c:v>6.9097888675623796E-3</c:v>
                </c:pt>
                <c:pt idx="9">
                  <c:v>2.1689059500959694E-2</c:v>
                </c:pt>
                <c:pt idx="10">
                  <c:v>0.24069097888675625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Masaka-Maya'!$C$60:$N$60</c:f>
              <c:numCache>
                <c:formatCode>0.00%</c:formatCode>
                <c:ptCount val="12"/>
                <c:pt idx="0">
                  <c:v>0.33063700707785643</c:v>
                </c:pt>
                <c:pt idx="1">
                  <c:v>8.9737108190090994E-2</c:v>
                </c:pt>
                <c:pt idx="2">
                  <c:v>5.6117290192113249E-2</c:v>
                </c:pt>
                <c:pt idx="3">
                  <c:v>0.29398382204246715</c:v>
                </c:pt>
                <c:pt idx="4">
                  <c:v>1.8705763397371081E-2</c:v>
                </c:pt>
                <c:pt idx="5">
                  <c:v>1.6177957532861477E-2</c:v>
                </c:pt>
                <c:pt idx="6">
                  <c:v>0.13245702730030334</c:v>
                </c:pt>
                <c:pt idx="7">
                  <c:v>2.4519716885743174E-2</c:v>
                </c:pt>
                <c:pt idx="8">
                  <c:v>9.1001011122345803E-3</c:v>
                </c:pt>
                <c:pt idx="9">
                  <c:v>2.8564206268958545E-2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Maya-Masaka'!$AE$10:$AE$21</c:f>
              <c:numCache>
                <c:formatCode>0</c:formatCode>
                <c:ptCount val="12"/>
                <c:pt idx="0">
                  <c:v>284</c:v>
                </c:pt>
                <c:pt idx="1">
                  <c:v>276</c:v>
                </c:pt>
                <c:pt idx="2">
                  <c:v>315</c:v>
                </c:pt>
                <c:pt idx="3">
                  <c:v>323</c:v>
                </c:pt>
                <c:pt idx="4">
                  <c:v>499</c:v>
                </c:pt>
                <c:pt idx="5">
                  <c:v>472</c:v>
                </c:pt>
                <c:pt idx="6">
                  <c:v>453</c:v>
                </c:pt>
                <c:pt idx="7">
                  <c:v>448</c:v>
                </c:pt>
                <c:pt idx="8">
                  <c:v>454</c:v>
                </c:pt>
                <c:pt idx="9">
                  <c:v>401</c:v>
                </c:pt>
                <c:pt idx="10">
                  <c:v>389</c:v>
                </c:pt>
                <c:pt idx="11">
                  <c:v>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'28.10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Maya-Masaka'!$AF$10:$AF$21</c:f>
              <c:numCache>
                <c:formatCode>0</c:formatCode>
                <c:ptCount val="12"/>
                <c:pt idx="0">
                  <c:v>350</c:v>
                </c:pt>
                <c:pt idx="1">
                  <c:v>330</c:v>
                </c:pt>
                <c:pt idx="2">
                  <c:v>398</c:v>
                </c:pt>
                <c:pt idx="3">
                  <c:v>408</c:v>
                </c:pt>
                <c:pt idx="4">
                  <c:v>581</c:v>
                </c:pt>
                <c:pt idx="5">
                  <c:v>558</c:v>
                </c:pt>
                <c:pt idx="6">
                  <c:v>532</c:v>
                </c:pt>
                <c:pt idx="7">
                  <c:v>526</c:v>
                </c:pt>
                <c:pt idx="8">
                  <c:v>546</c:v>
                </c:pt>
                <c:pt idx="9">
                  <c:v>492</c:v>
                </c:pt>
                <c:pt idx="10">
                  <c:v>488</c:v>
                </c:pt>
                <c:pt idx="11">
                  <c:v>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801256"/>
        <c:axId val="187798904"/>
      </c:lineChart>
      <c:catAx>
        <c:axId val="187801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8904"/>
        <c:crosses val="autoZero"/>
        <c:auto val="1"/>
        <c:lblAlgn val="ctr"/>
        <c:lblOffset val="100"/>
        <c:noMultiLvlLbl val="0"/>
      </c:catAx>
      <c:valAx>
        <c:axId val="187798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801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Maya-Masaka'!$C$59:$N$59</c:f>
              <c:numCache>
                <c:formatCode>0.0%</c:formatCode>
                <c:ptCount val="12"/>
                <c:pt idx="0">
                  <c:v>0.27195013357079251</c:v>
                </c:pt>
                <c:pt idx="1">
                  <c:v>6.7675868210151383E-2</c:v>
                </c:pt>
                <c:pt idx="2">
                  <c:v>4.4345503116651828E-2</c:v>
                </c:pt>
                <c:pt idx="3">
                  <c:v>0.22119323241317898</c:v>
                </c:pt>
                <c:pt idx="4">
                  <c:v>1.7453250222617987E-2</c:v>
                </c:pt>
                <c:pt idx="5">
                  <c:v>1.3891362422083704E-2</c:v>
                </c:pt>
                <c:pt idx="6">
                  <c:v>8.0498664292074806E-2</c:v>
                </c:pt>
                <c:pt idx="7">
                  <c:v>6.7141585040071242E-2</c:v>
                </c:pt>
                <c:pt idx="8">
                  <c:v>2.6892252894033838E-2</c:v>
                </c:pt>
                <c:pt idx="9">
                  <c:v>1.3357079252003561E-2</c:v>
                </c:pt>
                <c:pt idx="10">
                  <c:v>0.17560106856634017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Maya-Masaka'!$S$9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Maya-Masaka'!$S$10:$S$21</c:f>
              <c:numCache>
                <c:formatCode>0</c:formatCode>
                <c:ptCount val="12"/>
                <c:pt idx="0">
                  <c:v>84</c:v>
                </c:pt>
                <c:pt idx="1">
                  <c:v>107</c:v>
                </c:pt>
                <c:pt idx="2">
                  <c:v>108</c:v>
                </c:pt>
                <c:pt idx="3">
                  <c:v>118</c:v>
                </c:pt>
                <c:pt idx="4">
                  <c:v>153</c:v>
                </c:pt>
                <c:pt idx="5">
                  <c:v>157</c:v>
                </c:pt>
                <c:pt idx="6">
                  <c:v>151</c:v>
                </c:pt>
                <c:pt idx="7">
                  <c:v>166</c:v>
                </c:pt>
                <c:pt idx="8">
                  <c:v>168</c:v>
                </c:pt>
                <c:pt idx="9">
                  <c:v>130</c:v>
                </c:pt>
                <c:pt idx="10">
                  <c:v>120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'28.10 Maya-Masaka'!$T$9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'28.10 Maya-Masaka'!$T$10:$T$21</c:f>
              <c:numCache>
                <c:formatCode>0</c:formatCode>
                <c:ptCount val="12"/>
                <c:pt idx="0">
                  <c:v>24</c:v>
                </c:pt>
                <c:pt idx="1">
                  <c:v>20</c:v>
                </c:pt>
                <c:pt idx="2">
                  <c:v>29</c:v>
                </c:pt>
                <c:pt idx="3">
                  <c:v>21</c:v>
                </c:pt>
                <c:pt idx="4">
                  <c:v>46</c:v>
                </c:pt>
                <c:pt idx="5">
                  <c:v>41</c:v>
                </c:pt>
                <c:pt idx="6">
                  <c:v>40</c:v>
                </c:pt>
                <c:pt idx="7">
                  <c:v>36</c:v>
                </c:pt>
                <c:pt idx="8">
                  <c:v>61</c:v>
                </c:pt>
                <c:pt idx="9">
                  <c:v>23</c:v>
                </c:pt>
                <c:pt idx="10">
                  <c:v>22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'28.10 Maya-Masaka'!$U$9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Maya-Masaka'!$U$10:$U$21</c:f>
              <c:numCache>
                <c:formatCode>0</c:formatCode>
                <c:ptCount val="12"/>
                <c:pt idx="0">
                  <c:v>28</c:v>
                </c:pt>
                <c:pt idx="1">
                  <c:v>22</c:v>
                </c:pt>
                <c:pt idx="2">
                  <c:v>19</c:v>
                </c:pt>
                <c:pt idx="3">
                  <c:v>14</c:v>
                </c:pt>
                <c:pt idx="4">
                  <c:v>30</c:v>
                </c:pt>
                <c:pt idx="5">
                  <c:v>21</c:v>
                </c:pt>
                <c:pt idx="6">
                  <c:v>21</c:v>
                </c:pt>
                <c:pt idx="7">
                  <c:v>29</c:v>
                </c:pt>
                <c:pt idx="8">
                  <c:v>20</c:v>
                </c:pt>
                <c:pt idx="9">
                  <c:v>24</c:v>
                </c:pt>
                <c:pt idx="10">
                  <c:v>14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'28.10 Maya-Masaka'!$V$9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Maya-Masaka'!$V$10:$V$21</c:f>
              <c:numCache>
                <c:formatCode>0</c:formatCode>
                <c:ptCount val="12"/>
                <c:pt idx="0">
                  <c:v>69</c:v>
                </c:pt>
                <c:pt idx="1">
                  <c:v>62</c:v>
                </c:pt>
                <c:pt idx="2">
                  <c:v>81</c:v>
                </c:pt>
                <c:pt idx="3">
                  <c:v>83</c:v>
                </c:pt>
                <c:pt idx="4">
                  <c:v>154</c:v>
                </c:pt>
                <c:pt idx="5">
                  <c:v>131</c:v>
                </c:pt>
                <c:pt idx="6">
                  <c:v>125</c:v>
                </c:pt>
                <c:pt idx="7">
                  <c:v>117</c:v>
                </c:pt>
                <c:pt idx="8">
                  <c:v>97</c:v>
                </c:pt>
                <c:pt idx="9">
                  <c:v>107</c:v>
                </c:pt>
                <c:pt idx="10">
                  <c:v>112</c:v>
                </c:pt>
                <c:pt idx="11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'28.10 Maya-Masaka'!$W$9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Maya-Masaka'!$W$10:$W$21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11</c:v>
                </c:pt>
                <c:pt idx="4">
                  <c:v>14</c:v>
                </c:pt>
                <c:pt idx="5">
                  <c:v>8</c:v>
                </c:pt>
                <c:pt idx="6">
                  <c:v>10</c:v>
                </c:pt>
                <c:pt idx="7">
                  <c:v>11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'28.10 Maya-Masaka'!$X$9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Maya-Masaka'!$X$10:$X$21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5</c:v>
                </c:pt>
                <c:pt idx="7">
                  <c:v>7</c:v>
                </c:pt>
                <c:pt idx="8">
                  <c:v>9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'28.10 Maya-Masaka'!$Y$9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Maya-Masaka'!$Y$10:$Y$21</c:f>
              <c:numCache>
                <c:formatCode>0</c:formatCode>
                <c:ptCount val="12"/>
                <c:pt idx="0">
                  <c:v>31</c:v>
                </c:pt>
                <c:pt idx="1">
                  <c:v>24</c:v>
                </c:pt>
                <c:pt idx="2">
                  <c:v>30</c:v>
                </c:pt>
                <c:pt idx="3">
                  <c:v>25</c:v>
                </c:pt>
                <c:pt idx="4">
                  <c:v>39</c:v>
                </c:pt>
                <c:pt idx="5">
                  <c:v>37</c:v>
                </c:pt>
                <c:pt idx="6">
                  <c:v>40</c:v>
                </c:pt>
                <c:pt idx="7">
                  <c:v>37</c:v>
                </c:pt>
                <c:pt idx="8">
                  <c:v>49</c:v>
                </c:pt>
                <c:pt idx="9">
                  <c:v>47</c:v>
                </c:pt>
                <c:pt idx="10">
                  <c:v>47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'28.10 Maya-Masaka'!$Z$9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Maya-Masaka'!$Z$10:$Z$21</c:f>
              <c:numCache>
                <c:formatCode>0</c:formatCode>
                <c:ptCount val="12"/>
                <c:pt idx="0">
                  <c:v>17</c:v>
                </c:pt>
                <c:pt idx="1">
                  <c:v>23</c:v>
                </c:pt>
                <c:pt idx="2">
                  <c:v>23</c:v>
                </c:pt>
                <c:pt idx="3">
                  <c:v>29</c:v>
                </c:pt>
                <c:pt idx="4">
                  <c:v>35</c:v>
                </c:pt>
                <c:pt idx="5">
                  <c:v>45</c:v>
                </c:pt>
                <c:pt idx="6">
                  <c:v>46</c:v>
                </c:pt>
                <c:pt idx="7">
                  <c:v>31</c:v>
                </c:pt>
                <c:pt idx="8">
                  <c:v>39</c:v>
                </c:pt>
                <c:pt idx="9">
                  <c:v>20</c:v>
                </c:pt>
                <c:pt idx="10">
                  <c:v>34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'28.10 Maya-Masaka'!$AA$9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Maya-Masaka'!$AA$10:$AA$21</c:f>
              <c:numCache>
                <c:formatCode>0</c:formatCode>
                <c:ptCount val="12"/>
                <c:pt idx="0">
                  <c:v>12</c:v>
                </c:pt>
                <c:pt idx="1">
                  <c:v>4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12</c:v>
                </c:pt>
                <c:pt idx="7">
                  <c:v>10</c:v>
                </c:pt>
                <c:pt idx="8">
                  <c:v>2</c:v>
                </c:pt>
                <c:pt idx="9">
                  <c:v>27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'28.10 Maya-Masaka'!$AB$9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Maya-Masaka'!$AB$10:$AB$21</c:f>
              <c:numCache>
                <c:formatCode>0</c:formatCode>
                <c:ptCount val="12"/>
                <c:pt idx="0">
                  <c:v>10</c:v>
                </c:pt>
                <c:pt idx="1">
                  <c:v>3</c:v>
                </c:pt>
                <c:pt idx="2">
                  <c:v>7</c:v>
                </c:pt>
                <c:pt idx="3">
                  <c:v>5</c:v>
                </c:pt>
                <c:pt idx="4">
                  <c:v>10</c:v>
                </c:pt>
                <c:pt idx="5">
                  <c:v>7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10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'28.10 Maya-Masaka'!$AC$9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Maya-Masaka'!$AC$10:$AC$21</c:f>
              <c:numCache>
                <c:formatCode>0</c:formatCode>
                <c:ptCount val="12"/>
                <c:pt idx="0">
                  <c:v>66</c:v>
                </c:pt>
                <c:pt idx="1">
                  <c:v>54</c:v>
                </c:pt>
                <c:pt idx="2">
                  <c:v>83</c:v>
                </c:pt>
                <c:pt idx="3">
                  <c:v>85</c:v>
                </c:pt>
                <c:pt idx="4">
                  <c:v>82</c:v>
                </c:pt>
                <c:pt idx="5">
                  <c:v>86</c:v>
                </c:pt>
                <c:pt idx="6">
                  <c:v>79</c:v>
                </c:pt>
                <c:pt idx="7">
                  <c:v>78</c:v>
                </c:pt>
                <c:pt idx="8">
                  <c:v>92</c:v>
                </c:pt>
                <c:pt idx="9">
                  <c:v>91</c:v>
                </c:pt>
                <c:pt idx="10">
                  <c:v>99</c:v>
                </c:pt>
                <c:pt idx="11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'28.10 Maya-Masaka'!$AD$9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'28.10 Maya-Masaka'!$AD$10:$AD$21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96160"/>
        <c:axId val="187799688"/>
      </c:lineChart>
      <c:catAx>
        <c:axId val="1877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9688"/>
        <c:crosses val="autoZero"/>
        <c:auto val="1"/>
        <c:lblAlgn val="ctr"/>
        <c:lblOffset val="100"/>
        <c:noMultiLvlLbl val="0"/>
      </c:catAx>
      <c:valAx>
        <c:axId val="187799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Maya-Masaka'!$C$60:$N$60</c:f>
              <c:numCache>
                <c:formatCode>0.00%</c:formatCode>
                <c:ptCount val="12"/>
                <c:pt idx="0">
                  <c:v>0.32987686325340249</c:v>
                </c:pt>
                <c:pt idx="1">
                  <c:v>8.2091164398358174E-2</c:v>
                </c:pt>
                <c:pt idx="2">
                  <c:v>5.3791315618924175E-2</c:v>
                </c:pt>
                <c:pt idx="3">
                  <c:v>0.26830848995463386</c:v>
                </c:pt>
                <c:pt idx="4">
                  <c:v>2.1170879239576581E-2</c:v>
                </c:pt>
                <c:pt idx="5">
                  <c:v>1.6850291639662993E-2</c:v>
                </c:pt>
                <c:pt idx="6">
                  <c:v>9.7645279758047099E-2</c:v>
                </c:pt>
                <c:pt idx="7">
                  <c:v>8.1443076258371133E-2</c:v>
                </c:pt>
                <c:pt idx="8">
                  <c:v>3.2620436379347591E-2</c:v>
                </c:pt>
                <c:pt idx="9">
                  <c:v>1.6202203499675955E-2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Masaka-Maya'!$AE$10:$AE$21</c:f>
              <c:numCache>
                <c:formatCode>0</c:formatCode>
                <c:ptCount val="12"/>
                <c:pt idx="0">
                  <c:v>240</c:v>
                </c:pt>
                <c:pt idx="1">
                  <c:v>223</c:v>
                </c:pt>
                <c:pt idx="2">
                  <c:v>233</c:v>
                </c:pt>
                <c:pt idx="3">
                  <c:v>269</c:v>
                </c:pt>
                <c:pt idx="4">
                  <c:v>233</c:v>
                </c:pt>
                <c:pt idx="5">
                  <c:v>272</c:v>
                </c:pt>
                <c:pt idx="6">
                  <c:v>251</c:v>
                </c:pt>
                <c:pt idx="7">
                  <c:v>280</c:v>
                </c:pt>
                <c:pt idx="8">
                  <c:v>335</c:v>
                </c:pt>
                <c:pt idx="9">
                  <c:v>386</c:v>
                </c:pt>
                <c:pt idx="10">
                  <c:v>447</c:v>
                </c:pt>
                <c:pt idx="11">
                  <c:v>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'29.10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Masaka-Maya'!$AF$10:$AF$21</c:f>
              <c:numCache>
                <c:formatCode>0</c:formatCode>
                <c:ptCount val="12"/>
                <c:pt idx="0">
                  <c:v>387</c:v>
                </c:pt>
                <c:pt idx="1">
                  <c:v>348</c:v>
                </c:pt>
                <c:pt idx="2">
                  <c:v>335</c:v>
                </c:pt>
                <c:pt idx="3">
                  <c:v>359</c:v>
                </c:pt>
                <c:pt idx="4">
                  <c:v>331</c:v>
                </c:pt>
                <c:pt idx="5">
                  <c:v>360</c:v>
                </c:pt>
                <c:pt idx="6">
                  <c:v>318</c:v>
                </c:pt>
                <c:pt idx="7">
                  <c:v>367</c:v>
                </c:pt>
                <c:pt idx="8">
                  <c:v>420</c:v>
                </c:pt>
                <c:pt idx="9">
                  <c:v>482</c:v>
                </c:pt>
                <c:pt idx="10">
                  <c:v>554</c:v>
                </c:pt>
                <c:pt idx="11">
                  <c:v>558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801648"/>
        <c:axId val="187796552"/>
      </c:lineChart>
      <c:catAx>
        <c:axId val="187801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6552"/>
        <c:crosses val="autoZero"/>
        <c:auto val="1"/>
        <c:lblAlgn val="ctr"/>
        <c:lblOffset val="100"/>
        <c:noMultiLvlLbl val="0"/>
      </c:catAx>
      <c:valAx>
        <c:axId val="187796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80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Masaka-Maya'!$C$59:$N$59</c:f>
              <c:numCache>
                <c:formatCode>0.0%</c:formatCode>
                <c:ptCount val="12"/>
                <c:pt idx="0">
                  <c:v>0.23282838763228886</c:v>
                </c:pt>
                <c:pt idx="1">
                  <c:v>4.7312720481427685E-2</c:v>
                </c:pt>
                <c:pt idx="2">
                  <c:v>3.9427267067856403E-2</c:v>
                </c:pt>
                <c:pt idx="3">
                  <c:v>0.23303589956422494</c:v>
                </c:pt>
                <c:pt idx="4">
                  <c:v>1.2865739780037352E-2</c:v>
                </c:pt>
                <c:pt idx="5">
                  <c:v>1.1620668188420833E-2</c:v>
                </c:pt>
                <c:pt idx="6">
                  <c:v>0.12097945631873833</c:v>
                </c:pt>
                <c:pt idx="7">
                  <c:v>1.7638514214567337E-2</c:v>
                </c:pt>
                <c:pt idx="8">
                  <c:v>6.8478937538908489E-3</c:v>
                </c:pt>
                <c:pt idx="9">
                  <c:v>2.6561527287819051E-2</c:v>
                </c:pt>
                <c:pt idx="10">
                  <c:v>0.25088192571072837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Masaka-Maya'!$S$9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Masaka-Maya'!$S$10:$S$21</c:f>
              <c:numCache>
                <c:formatCode>0</c:formatCode>
                <c:ptCount val="12"/>
                <c:pt idx="0">
                  <c:v>67</c:v>
                </c:pt>
                <c:pt idx="1">
                  <c:v>44</c:v>
                </c:pt>
                <c:pt idx="2">
                  <c:v>58</c:v>
                </c:pt>
                <c:pt idx="3">
                  <c:v>61</c:v>
                </c:pt>
                <c:pt idx="4">
                  <c:v>57</c:v>
                </c:pt>
                <c:pt idx="5">
                  <c:v>79</c:v>
                </c:pt>
                <c:pt idx="6">
                  <c:v>81</c:v>
                </c:pt>
                <c:pt idx="7">
                  <c:v>93</c:v>
                </c:pt>
                <c:pt idx="8">
                  <c:v>120</c:v>
                </c:pt>
                <c:pt idx="9">
                  <c:v>133</c:v>
                </c:pt>
                <c:pt idx="10">
                  <c:v>157</c:v>
                </c:pt>
                <c:pt idx="11">
                  <c:v>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'29.10 Masaka-Maya'!$T$9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Masaka-Maya'!$T$10:$T$21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14</c:v>
                </c:pt>
                <c:pt idx="5">
                  <c:v>21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  <c:pt idx="9">
                  <c:v>22</c:v>
                </c:pt>
                <c:pt idx="10">
                  <c:v>37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'29.10 Masaka-Maya'!$U$9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Masaka-Maya'!$U$10:$U$21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16</c:v>
                </c:pt>
                <c:pt idx="6">
                  <c:v>12</c:v>
                </c:pt>
                <c:pt idx="7">
                  <c:v>15</c:v>
                </c:pt>
                <c:pt idx="8">
                  <c:v>24</c:v>
                </c:pt>
                <c:pt idx="9">
                  <c:v>22</c:v>
                </c:pt>
                <c:pt idx="10">
                  <c:v>16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'29.10 Masaka-Maya'!$V$9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Masaka-Maya'!$V$10:$V$21</c:f>
              <c:numCache>
                <c:formatCode>0</c:formatCode>
                <c:ptCount val="12"/>
                <c:pt idx="0">
                  <c:v>86</c:v>
                </c:pt>
                <c:pt idx="1">
                  <c:v>99</c:v>
                </c:pt>
                <c:pt idx="2">
                  <c:v>89</c:v>
                </c:pt>
                <c:pt idx="3">
                  <c:v>106</c:v>
                </c:pt>
                <c:pt idx="4">
                  <c:v>87</c:v>
                </c:pt>
                <c:pt idx="5">
                  <c:v>91</c:v>
                </c:pt>
                <c:pt idx="6">
                  <c:v>77</c:v>
                </c:pt>
                <c:pt idx="7">
                  <c:v>83</c:v>
                </c:pt>
                <c:pt idx="8">
                  <c:v>78</c:v>
                </c:pt>
                <c:pt idx="9">
                  <c:v>94</c:v>
                </c:pt>
                <c:pt idx="10">
                  <c:v>118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'29.10 Masaka-Maya'!$W$9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Masaka-Maya'!$W$10:$W$21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13</c:v>
                </c:pt>
                <c:pt idx="10">
                  <c:v>18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'29.10 Masaka-Maya'!$X$9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Masaka-Maya'!$X$10:$X$21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'29.10 Masaka-Maya'!$Y$9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Masaka-Maya'!$Y$10:$Y$21</c:f>
              <c:numCache>
                <c:formatCode>0</c:formatCode>
                <c:ptCount val="12"/>
                <c:pt idx="0">
                  <c:v>40</c:v>
                </c:pt>
                <c:pt idx="1">
                  <c:v>33</c:v>
                </c:pt>
                <c:pt idx="2">
                  <c:v>41</c:v>
                </c:pt>
                <c:pt idx="3">
                  <c:v>52</c:v>
                </c:pt>
                <c:pt idx="4">
                  <c:v>39</c:v>
                </c:pt>
                <c:pt idx="5">
                  <c:v>44</c:v>
                </c:pt>
                <c:pt idx="6">
                  <c:v>45</c:v>
                </c:pt>
                <c:pt idx="7">
                  <c:v>52</c:v>
                </c:pt>
                <c:pt idx="8">
                  <c:v>61</c:v>
                </c:pt>
                <c:pt idx="9">
                  <c:v>72</c:v>
                </c:pt>
                <c:pt idx="10">
                  <c:v>55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'29.10 Masaka-Maya'!$Z$9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Masaka-Maya'!$Z$10:$Z$21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8</c:v>
                </c:pt>
                <c:pt idx="9">
                  <c:v>9</c:v>
                </c:pt>
                <c:pt idx="10">
                  <c:v>21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'29.10 Masaka-Maya'!$AA$9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'29.10 Masaka-Maya'!$AB$9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Masaka-Maya'!$AB$10:$AB$21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9</c:v>
                </c:pt>
                <c:pt idx="3">
                  <c:v>12</c:v>
                </c:pt>
                <c:pt idx="4">
                  <c:v>13</c:v>
                </c:pt>
                <c:pt idx="5">
                  <c:v>8</c:v>
                </c:pt>
                <c:pt idx="6">
                  <c:v>7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15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'29.10 Masaka-Maya'!$AC$9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Masaka-Maya'!$AC$10:$AC$21</c:f>
              <c:numCache>
                <c:formatCode>0</c:formatCode>
                <c:ptCount val="12"/>
                <c:pt idx="0">
                  <c:v>147</c:v>
                </c:pt>
                <c:pt idx="1">
                  <c:v>125</c:v>
                </c:pt>
                <c:pt idx="2">
                  <c:v>102</c:v>
                </c:pt>
                <c:pt idx="3">
                  <c:v>90</c:v>
                </c:pt>
                <c:pt idx="4">
                  <c:v>98</c:v>
                </c:pt>
                <c:pt idx="5">
                  <c:v>88</c:v>
                </c:pt>
                <c:pt idx="6">
                  <c:v>67</c:v>
                </c:pt>
                <c:pt idx="7">
                  <c:v>87</c:v>
                </c:pt>
                <c:pt idx="8">
                  <c:v>85</c:v>
                </c:pt>
                <c:pt idx="9">
                  <c:v>96</c:v>
                </c:pt>
                <c:pt idx="10">
                  <c:v>107</c:v>
                </c:pt>
                <c:pt idx="11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'29.10 Masaka-Maya'!$AD$9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Masaka-Maya'!$AD$10:$AD$21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95376"/>
        <c:axId val="187797336"/>
      </c:lineChart>
      <c:catAx>
        <c:axId val="18779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7336"/>
        <c:crosses val="autoZero"/>
        <c:auto val="1"/>
        <c:lblAlgn val="ctr"/>
        <c:lblOffset val="100"/>
        <c:noMultiLvlLbl val="0"/>
      </c:catAx>
      <c:valAx>
        <c:axId val="187797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79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Masaka-Maya'!$C$60:$N$60</c:f>
              <c:numCache>
                <c:formatCode>0.00%</c:formatCode>
                <c:ptCount val="12"/>
                <c:pt idx="0">
                  <c:v>0.310803324099723</c:v>
                </c:pt>
                <c:pt idx="1">
                  <c:v>6.3157894736842107E-2</c:v>
                </c:pt>
                <c:pt idx="2">
                  <c:v>5.2631578947368418E-2</c:v>
                </c:pt>
                <c:pt idx="3">
                  <c:v>0.31108033240997229</c:v>
                </c:pt>
                <c:pt idx="4">
                  <c:v>1.7174515235457065E-2</c:v>
                </c:pt>
                <c:pt idx="5">
                  <c:v>1.5512465373961219E-2</c:v>
                </c:pt>
                <c:pt idx="6">
                  <c:v>0.16149584487534627</c:v>
                </c:pt>
                <c:pt idx="7">
                  <c:v>2.3545706371191136E-2</c:v>
                </c:pt>
                <c:pt idx="8">
                  <c:v>9.1412742382271477E-3</c:v>
                </c:pt>
                <c:pt idx="9">
                  <c:v>3.545706371191136E-2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Maya-Masaka'!$AE$10:$AE$21</c:f>
              <c:numCache>
                <c:formatCode>0</c:formatCode>
                <c:ptCount val="12"/>
                <c:pt idx="0">
                  <c:v>224</c:v>
                </c:pt>
                <c:pt idx="1">
                  <c:v>332</c:v>
                </c:pt>
                <c:pt idx="2">
                  <c:v>355</c:v>
                </c:pt>
                <c:pt idx="3">
                  <c:v>371</c:v>
                </c:pt>
                <c:pt idx="4">
                  <c:v>408</c:v>
                </c:pt>
                <c:pt idx="5">
                  <c:v>402</c:v>
                </c:pt>
                <c:pt idx="6">
                  <c:v>407</c:v>
                </c:pt>
                <c:pt idx="7">
                  <c:v>369</c:v>
                </c:pt>
                <c:pt idx="8">
                  <c:v>330</c:v>
                </c:pt>
                <c:pt idx="9">
                  <c:v>346</c:v>
                </c:pt>
                <c:pt idx="10">
                  <c:v>306</c:v>
                </c:pt>
                <c:pt idx="11">
                  <c:v>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'29.10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Maya-Masaka'!$AF$10:$AF$21</c:f>
              <c:numCache>
                <c:formatCode>0</c:formatCode>
                <c:ptCount val="12"/>
                <c:pt idx="0">
                  <c:v>297</c:v>
                </c:pt>
                <c:pt idx="1">
                  <c:v>418</c:v>
                </c:pt>
                <c:pt idx="2">
                  <c:v>436</c:v>
                </c:pt>
                <c:pt idx="3">
                  <c:v>463</c:v>
                </c:pt>
                <c:pt idx="4">
                  <c:v>494</c:v>
                </c:pt>
                <c:pt idx="5">
                  <c:v>501</c:v>
                </c:pt>
                <c:pt idx="6">
                  <c:v>504</c:v>
                </c:pt>
                <c:pt idx="7">
                  <c:v>474</c:v>
                </c:pt>
                <c:pt idx="8">
                  <c:v>402</c:v>
                </c:pt>
                <c:pt idx="9">
                  <c:v>425</c:v>
                </c:pt>
                <c:pt idx="10">
                  <c:v>379</c:v>
                </c:pt>
                <c:pt idx="11">
                  <c:v>373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05824"/>
        <c:axId val="189106216"/>
      </c:lineChart>
      <c:catAx>
        <c:axId val="189105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6216"/>
        <c:crosses val="autoZero"/>
        <c:auto val="1"/>
        <c:lblAlgn val="ctr"/>
        <c:lblOffset val="100"/>
        <c:noMultiLvlLbl val="0"/>
      </c:catAx>
      <c:valAx>
        <c:axId val="189106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Maya-Masaka'!$C$59:$N$59</c:f>
              <c:numCache>
                <c:formatCode>0.0%</c:formatCode>
                <c:ptCount val="12"/>
                <c:pt idx="0">
                  <c:v>0.23615950445218739</c:v>
                </c:pt>
                <c:pt idx="1">
                  <c:v>5.6523422377080912E-2</c:v>
                </c:pt>
                <c:pt idx="2">
                  <c:v>4.1811846689895474E-2</c:v>
                </c:pt>
                <c:pt idx="3">
                  <c:v>0.21912504839334107</c:v>
                </c:pt>
                <c:pt idx="4">
                  <c:v>1.2388695315524584E-2</c:v>
                </c:pt>
                <c:pt idx="5">
                  <c:v>1.1227255129694155E-2</c:v>
                </c:pt>
                <c:pt idx="6">
                  <c:v>0.11053039101819589</c:v>
                </c:pt>
                <c:pt idx="7">
                  <c:v>7.6655052264808357E-2</c:v>
                </c:pt>
                <c:pt idx="8">
                  <c:v>2.3035230352303523E-2</c:v>
                </c:pt>
                <c:pt idx="9">
                  <c:v>1.4518002322880372E-2</c:v>
                </c:pt>
                <c:pt idx="10">
                  <c:v>0.19802555168408828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Maya-Masaka'!$S$9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Maya-Masaka'!$S$10:$S$21</c:f>
              <c:numCache>
                <c:formatCode>0</c:formatCode>
                <c:ptCount val="12"/>
                <c:pt idx="0">
                  <c:v>81</c:v>
                </c:pt>
                <c:pt idx="1">
                  <c:v>122</c:v>
                </c:pt>
                <c:pt idx="2">
                  <c:v>122</c:v>
                </c:pt>
                <c:pt idx="3">
                  <c:v>115</c:v>
                </c:pt>
                <c:pt idx="4">
                  <c:v>116</c:v>
                </c:pt>
                <c:pt idx="5">
                  <c:v>134</c:v>
                </c:pt>
                <c:pt idx="6">
                  <c:v>128</c:v>
                </c:pt>
                <c:pt idx="7">
                  <c:v>93</c:v>
                </c:pt>
                <c:pt idx="8">
                  <c:v>87</c:v>
                </c:pt>
                <c:pt idx="9">
                  <c:v>84</c:v>
                </c:pt>
                <c:pt idx="10">
                  <c:v>72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'29.10 Maya-Masaka'!$T$9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Maya-Masaka'!$T$10:$T$21</c:f>
              <c:numCache>
                <c:formatCode>0</c:formatCode>
                <c:ptCount val="12"/>
                <c:pt idx="0">
                  <c:v>17</c:v>
                </c:pt>
                <c:pt idx="1">
                  <c:v>21</c:v>
                </c:pt>
                <c:pt idx="2">
                  <c:v>23</c:v>
                </c:pt>
                <c:pt idx="3">
                  <c:v>30</c:v>
                </c:pt>
                <c:pt idx="4">
                  <c:v>36</c:v>
                </c:pt>
                <c:pt idx="5">
                  <c:v>27</c:v>
                </c:pt>
                <c:pt idx="6">
                  <c:v>22</c:v>
                </c:pt>
                <c:pt idx="7">
                  <c:v>26</c:v>
                </c:pt>
                <c:pt idx="8">
                  <c:v>20</c:v>
                </c:pt>
                <c:pt idx="9">
                  <c:v>25</c:v>
                </c:pt>
                <c:pt idx="10">
                  <c:v>24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'29.10 Maya-Masaka'!$U$9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Maya-Masaka'!$U$10:$U$21</c:f>
              <c:numCache>
                <c:formatCode>0</c:formatCode>
                <c:ptCount val="12"/>
                <c:pt idx="0">
                  <c:v>15</c:v>
                </c:pt>
                <c:pt idx="1">
                  <c:v>19</c:v>
                </c:pt>
                <c:pt idx="2">
                  <c:v>25</c:v>
                </c:pt>
                <c:pt idx="3">
                  <c:v>25</c:v>
                </c:pt>
                <c:pt idx="4">
                  <c:v>21</c:v>
                </c:pt>
                <c:pt idx="5">
                  <c:v>25</c:v>
                </c:pt>
                <c:pt idx="6">
                  <c:v>20</c:v>
                </c:pt>
                <c:pt idx="7">
                  <c:v>10</c:v>
                </c:pt>
                <c:pt idx="8">
                  <c:v>7</c:v>
                </c:pt>
                <c:pt idx="9">
                  <c:v>19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'29.10 Maya-Masaka'!$V$9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Maya-Masaka'!$V$10:$V$21</c:f>
              <c:numCache>
                <c:formatCode>0</c:formatCode>
                <c:ptCount val="12"/>
                <c:pt idx="0">
                  <c:v>50</c:v>
                </c:pt>
                <c:pt idx="1">
                  <c:v>82</c:v>
                </c:pt>
                <c:pt idx="2">
                  <c:v>96</c:v>
                </c:pt>
                <c:pt idx="3">
                  <c:v>95</c:v>
                </c:pt>
                <c:pt idx="4">
                  <c:v>108</c:v>
                </c:pt>
                <c:pt idx="5">
                  <c:v>103</c:v>
                </c:pt>
                <c:pt idx="6">
                  <c:v>112</c:v>
                </c:pt>
                <c:pt idx="7">
                  <c:v>109</c:v>
                </c:pt>
                <c:pt idx="8">
                  <c:v>100</c:v>
                </c:pt>
                <c:pt idx="9">
                  <c:v>100</c:v>
                </c:pt>
                <c:pt idx="10">
                  <c:v>91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'29.10 Maya-Masaka'!$W$9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Maya-Masaka'!$W$10:$W$21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10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'29.10 Maya-Masaka'!$X$9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8</c:v>
                </c:pt>
                <c:pt idx="9">
                  <c:v>5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'29.10 Maya-Masaka'!$Y$9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Maya-Masaka'!$Y$10:$Y$21</c:f>
              <c:numCache>
                <c:formatCode>0</c:formatCode>
                <c:ptCount val="12"/>
                <c:pt idx="0">
                  <c:v>31</c:v>
                </c:pt>
                <c:pt idx="1">
                  <c:v>51</c:v>
                </c:pt>
                <c:pt idx="2">
                  <c:v>48</c:v>
                </c:pt>
                <c:pt idx="3">
                  <c:v>46</c:v>
                </c:pt>
                <c:pt idx="4">
                  <c:v>47</c:v>
                </c:pt>
                <c:pt idx="5">
                  <c:v>47</c:v>
                </c:pt>
                <c:pt idx="6">
                  <c:v>48</c:v>
                </c:pt>
                <c:pt idx="7">
                  <c:v>56</c:v>
                </c:pt>
                <c:pt idx="8">
                  <c:v>65</c:v>
                </c:pt>
                <c:pt idx="9">
                  <c:v>46</c:v>
                </c:pt>
                <c:pt idx="10">
                  <c:v>43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'29.10 Maya-Masaka'!$Z$9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Maya-Masaka'!$Z$10:$Z$21</c:f>
              <c:numCache>
                <c:formatCode>0</c:formatCode>
                <c:ptCount val="12"/>
                <c:pt idx="0">
                  <c:v>14</c:v>
                </c:pt>
                <c:pt idx="1">
                  <c:v>16</c:v>
                </c:pt>
                <c:pt idx="2">
                  <c:v>22</c:v>
                </c:pt>
                <c:pt idx="3">
                  <c:v>30</c:v>
                </c:pt>
                <c:pt idx="4">
                  <c:v>43</c:v>
                </c:pt>
                <c:pt idx="5">
                  <c:v>35</c:v>
                </c:pt>
                <c:pt idx="6">
                  <c:v>44</c:v>
                </c:pt>
                <c:pt idx="7">
                  <c:v>45</c:v>
                </c:pt>
                <c:pt idx="8">
                  <c:v>29</c:v>
                </c:pt>
                <c:pt idx="9">
                  <c:v>37</c:v>
                </c:pt>
                <c:pt idx="10">
                  <c:v>39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'29.10 Maya-Masaka'!$AA$9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Maya-Masaka'!$AA$10:$AA$21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16</c:v>
                </c:pt>
                <c:pt idx="5">
                  <c:v>11</c:v>
                </c:pt>
                <c:pt idx="6">
                  <c:v>10</c:v>
                </c:pt>
                <c:pt idx="7">
                  <c:v>10</c:v>
                </c:pt>
                <c:pt idx="8">
                  <c:v>5</c:v>
                </c:pt>
                <c:pt idx="9">
                  <c:v>16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'29.10 Maya-Masaka'!$AB$9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Maya-Masaka'!$AB$10:$AB$21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0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11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'29.10 Maya-Masaka'!$AC$9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Maya-Masaka'!$AC$10:$AC$21</c:f>
              <c:numCache>
                <c:formatCode>0</c:formatCode>
                <c:ptCount val="12"/>
                <c:pt idx="0">
                  <c:v>73</c:v>
                </c:pt>
                <c:pt idx="1">
                  <c:v>86</c:v>
                </c:pt>
                <c:pt idx="2">
                  <c:v>81</c:v>
                </c:pt>
                <c:pt idx="3">
                  <c:v>92</c:v>
                </c:pt>
                <c:pt idx="4">
                  <c:v>86</c:v>
                </c:pt>
                <c:pt idx="5">
                  <c:v>99</c:v>
                </c:pt>
                <c:pt idx="6">
                  <c:v>97</c:v>
                </c:pt>
                <c:pt idx="7">
                  <c:v>105</c:v>
                </c:pt>
                <c:pt idx="8">
                  <c:v>72</c:v>
                </c:pt>
                <c:pt idx="9">
                  <c:v>79</c:v>
                </c:pt>
                <c:pt idx="10">
                  <c:v>73</c:v>
                </c:pt>
                <c:pt idx="11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'29.10 Maya-Masaka'!$AD$9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Maya-Masaka'!$AD$10:$AD$21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07392"/>
        <c:axId val="189107784"/>
      </c:lineChart>
      <c:catAx>
        <c:axId val="18910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7784"/>
        <c:crosses val="autoZero"/>
        <c:auto val="1"/>
        <c:lblAlgn val="ctr"/>
        <c:lblOffset val="100"/>
        <c:noMultiLvlLbl val="0"/>
      </c:catAx>
      <c:valAx>
        <c:axId val="189107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Maya-Masaka'!$C$60:$N$60</c:f>
              <c:numCache>
                <c:formatCode>0.00%</c:formatCode>
                <c:ptCount val="12"/>
                <c:pt idx="0">
                  <c:v>0.29447260439295198</c:v>
                </c:pt>
                <c:pt idx="1">
                  <c:v>7.0480328264542605E-2</c:v>
                </c:pt>
                <c:pt idx="2">
                  <c:v>5.213613323678494E-2</c:v>
                </c:pt>
                <c:pt idx="3">
                  <c:v>0.27323195751870627</c:v>
                </c:pt>
                <c:pt idx="4">
                  <c:v>1.5447743181269612E-2</c:v>
                </c:pt>
                <c:pt idx="5">
                  <c:v>1.3999517258025585E-2</c:v>
                </c:pt>
                <c:pt idx="6">
                  <c:v>0.13782283369538981</c:v>
                </c:pt>
                <c:pt idx="7">
                  <c:v>9.5582910934105716E-2</c:v>
                </c:pt>
                <c:pt idx="8">
                  <c:v>2.8723147477673183E-2</c:v>
                </c:pt>
                <c:pt idx="9">
                  <c:v>1.8102824040550327E-2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Masaka-Maya'!$AE$10:$AE$21</c:f>
              <c:numCache>
                <c:formatCode>0</c:formatCode>
                <c:ptCount val="12"/>
                <c:pt idx="0">
                  <c:v>217</c:v>
                </c:pt>
                <c:pt idx="1">
                  <c:v>209</c:v>
                </c:pt>
                <c:pt idx="2">
                  <c:v>246</c:v>
                </c:pt>
                <c:pt idx="3">
                  <c:v>226</c:v>
                </c:pt>
                <c:pt idx="4">
                  <c:v>240</c:v>
                </c:pt>
                <c:pt idx="5">
                  <c:v>236</c:v>
                </c:pt>
                <c:pt idx="6">
                  <c:v>227</c:v>
                </c:pt>
                <c:pt idx="7">
                  <c:v>246</c:v>
                </c:pt>
                <c:pt idx="8">
                  <c:v>300</c:v>
                </c:pt>
                <c:pt idx="9">
                  <c:v>375</c:v>
                </c:pt>
                <c:pt idx="10">
                  <c:v>447</c:v>
                </c:pt>
                <c:pt idx="11">
                  <c:v>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'30.10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Masaka-Maya'!$AF$10:$AF$21</c:f>
              <c:numCache>
                <c:formatCode>0</c:formatCode>
                <c:ptCount val="12"/>
                <c:pt idx="0">
                  <c:v>323</c:v>
                </c:pt>
                <c:pt idx="1">
                  <c:v>300</c:v>
                </c:pt>
                <c:pt idx="2">
                  <c:v>349</c:v>
                </c:pt>
                <c:pt idx="3">
                  <c:v>325</c:v>
                </c:pt>
                <c:pt idx="4">
                  <c:v>329</c:v>
                </c:pt>
                <c:pt idx="5">
                  <c:v>306</c:v>
                </c:pt>
                <c:pt idx="6">
                  <c:v>276</c:v>
                </c:pt>
                <c:pt idx="7">
                  <c:v>295</c:v>
                </c:pt>
                <c:pt idx="8">
                  <c:v>388</c:v>
                </c:pt>
                <c:pt idx="9">
                  <c:v>478</c:v>
                </c:pt>
                <c:pt idx="10">
                  <c:v>573</c:v>
                </c:pt>
                <c:pt idx="11">
                  <c:v>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08176"/>
        <c:axId val="189105040"/>
      </c:lineChart>
      <c:catAx>
        <c:axId val="189108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5040"/>
        <c:crosses val="autoZero"/>
        <c:auto val="1"/>
        <c:lblAlgn val="ctr"/>
        <c:lblOffset val="100"/>
        <c:noMultiLvlLbl val="0"/>
      </c:catAx>
      <c:valAx>
        <c:axId val="189105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Masaka-Maya'!$C$59:$N$59</c:f>
              <c:numCache>
                <c:formatCode>0.0%</c:formatCode>
                <c:ptCount val="12"/>
                <c:pt idx="0">
                  <c:v>0.24012944983818771</c:v>
                </c:pt>
                <c:pt idx="1">
                  <c:v>4.8975188781014027E-2</c:v>
                </c:pt>
                <c:pt idx="2">
                  <c:v>4.983818770226537E-2</c:v>
                </c:pt>
                <c:pt idx="3">
                  <c:v>0.2168284789644013</c:v>
                </c:pt>
                <c:pt idx="4">
                  <c:v>1.0787486515641856E-2</c:v>
                </c:pt>
                <c:pt idx="5">
                  <c:v>1.3807982740021575E-2</c:v>
                </c:pt>
                <c:pt idx="6">
                  <c:v>0.12988133764832793</c:v>
                </c:pt>
                <c:pt idx="7">
                  <c:v>1.5102481121898598E-2</c:v>
                </c:pt>
                <c:pt idx="8">
                  <c:v>7.7669902912621356E-3</c:v>
                </c:pt>
                <c:pt idx="9">
                  <c:v>2.9773462783171521E-2</c:v>
                </c:pt>
                <c:pt idx="10">
                  <c:v>0.23710895361380799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Masaka-Maya'!$S$9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Masaka-Maya'!$S$10:$S$21</c:f>
              <c:numCache>
                <c:formatCode>0</c:formatCode>
                <c:ptCount val="12"/>
                <c:pt idx="0">
                  <c:v>55</c:v>
                </c:pt>
                <c:pt idx="1">
                  <c:v>47</c:v>
                </c:pt>
                <c:pt idx="2">
                  <c:v>57</c:v>
                </c:pt>
                <c:pt idx="3">
                  <c:v>57</c:v>
                </c:pt>
                <c:pt idx="4">
                  <c:v>65</c:v>
                </c:pt>
                <c:pt idx="5">
                  <c:v>78</c:v>
                </c:pt>
                <c:pt idx="6">
                  <c:v>59</c:v>
                </c:pt>
                <c:pt idx="7">
                  <c:v>83</c:v>
                </c:pt>
                <c:pt idx="8">
                  <c:v>95</c:v>
                </c:pt>
                <c:pt idx="9">
                  <c:v>120</c:v>
                </c:pt>
                <c:pt idx="10">
                  <c:v>172</c:v>
                </c:pt>
                <c:pt idx="11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'30.10 Masaka-Maya'!$T$9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Masaka-Maya'!$T$10:$T$21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13</c:v>
                </c:pt>
                <c:pt idx="4">
                  <c:v>14</c:v>
                </c:pt>
                <c:pt idx="5">
                  <c:v>8</c:v>
                </c:pt>
                <c:pt idx="6">
                  <c:v>18</c:v>
                </c:pt>
                <c:pt idx="7">
                  <c:v>13</c:v>
                </c:pt>
                <c:pt idx="8">
                  <c:v>25</c:v>
                </c:pt>
                <c:pt idx="9">
                  <c:v>29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'30.10 Masaka-Maya'!$U$9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Masaka-Maya'!$U$10:$U$21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13</c:v>
                </c:pt>
                <c:pt idx="4">
                  <c:v>8</c:v>
                </c:pt>
                <c:pt idx="5">
                  <c:v>21</c:v>
                </c:pt>
                <c:pt idx="6">
                  <c:v>29</c:v>
                </c:pt>
                <c:pt idx="7">
                  <c:v>20</c:v>
                </c:pt>
                <c:pt idx="8">
                  <c:v>24</c:v>
                </c:pt>
                <c:pt idx="9">
                  <c:v>30</c:v>
                </c:pt>
                <c:pt idx="10">
                  <c:v>24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'30.10 Masaka-Maya'!$V$9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Masaka-Maya'!$V$10:$V$21</c:f>
              <c:numCache>
                <c:formatCode>0</c:formatCode>
                <c:ptCount val="12"/>
                <c:pt idx="0">
                  <c:v>80</c:v>
                </c:pt>
                <c:pt idx="1">
                  <c:v>83</c:v>
                </c:pt>
                <c:pt idx="2">
                  <c:v>104</c:v>
                </c:pt>
                <c:pt idx="3">
                  <c:v>79</c:v>
                </c:pt>
                <c:pt idx="4">
                  <c:v>86</c:v>
                </c:pt>
                <c:pt idx="5">
                  <c:v>63</c:v>
                </c:pt>
                <c:pt idx="6">
                  <c:v>59</c:v>
                </c:pt>
                <c:pt idx="7">
                  <c:v>62</c:v>
                </c:pt>
                <c:pt idx="8">
                  <c:v>76</c:v>
                </c:pt>
                <c:pt idx="9">
                  <c:v>83</c:v>
                </c:pt>
                <c:pt idx="10">
                  <c:v>92</c:v>
                </c:pt>
                <c:pt idx="11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'30.10 Masaka-Maya'!$W$9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11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'30.10 Masaka-Maya'!$X$9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Masaka-Maya'!$X$10:$X$21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10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'30.10 Masaka-Maya'!$Y$9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Masaka-Maya'!$Y$10:$Y$21</c:f>
              <c:numCache>
                <c:formatCode>0</c:formatCode>
                <c:ptCount val="12"/>
                <c:pt idx="0">
                  <c:v>32</c:v>
                </c:pt>
                <c:pt idx="1">
                  <c:v>42</c:v>
                </c:pt>
                <c:pt idx="2">
                  <c:v>41</c:v>
                </c:pt>
                <c:pt idx="3">
                  <c:v>48</c:v>
                </c:pt>
                <c:pt idx="4">
                  <c:v>48</c:v>
                </c:pt>
                <c:pt idx="5">
                  <c:v>45</c:v>
                </c:pt>
                <c:pt idx="6">
                  <c:v>36</c:v>
                </c:pt>
                <c:pt idx="7">
                  <c:v>46</c:v>
                </c:pt>
                <c:pt idx="8">
                  <c:v>48</c:v>
                </c:pt>
                <c:pt idx="9">
                  <c:v>72</c:v>
                </c:pt>
                <c:pt idx="10">
                  <c:v>71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'30.10 Masaka-Maya'!$Z$9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Masaka-Maya'!$Z$10:$Z$21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7</c:v>
                </c:pt>
                <c:pt idx="3">
                  <c:v>3</c:v>
                </c:pt>
                <c:pt idx="4">
                  <c:v>6</c:v>
                </c:pt>
                <c:pt idx="5">
                  <c:v>1</c:v>
                </c:pt>
                <c:pt idx="6">
                  <c:v>5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'30.10 Masaka-Maya'!$AA$9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7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'30.10 Masaka-Maya'!$AB$9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Masaka-Maya'!$AB$10:$AB$21</c:f>
              <c:numCache>
                <c:formatCode>0</c:formatCode>
                <c:ptCount val="12"/>
                <c:pt idx="0">
                  <c:v>17</c:v>
                </c:pt>
                <c:pt idx="1">
                  <c:v>12</c:v>
                </c:pt>
                <c:pt idx="2">
                  <c:v>14</c:v>
                </c:pt>
                <c:pt idx="3">
                  <c:v>5</c:v>
                </c:pt>
                <c:pt idx="4">
                  <c:v>7</c:v>
                </c:pt>
                <c:pt idx="5">
                  <c:v>7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16</c:v>
                </c:pt>
                <c:pt idx="10">
                  <c:v>15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'30.10 Masaka-Maya'!$AC$9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Masaka-Maya'!$AC$10:$AC$21</c:f>
              <c:numCache>
                <c:formatCode>0</c:formatCode>
                <c:ptCount val="12"/>
                <c:pt idx="0">
                  <c:v>106</c:v>
                </c:pt>
                <c:pt idx="1">
                  <c:v>91</c:v>
                </c:pt>
                <c:pt idx="2">
                  <c:v>103</c:v>
                </c:pt>
                <c:pt idx="3">
                  <c:v>99</c:v>
                </c:pt>
                <c:pt idx="4">
                  <c:v>89</c:v>
                </c:pt>
                <c:pt idx="5">
                  <c:v>70</c:v>
                </c:pt>
                <c:pt idx="6">
                  <c:v>49</c:v>
                </c:pt>
                <c:pt idx="7">
                  <c:v>49</c:v>
                </c:pt>
                <c:pt idx="8">
                  <c:v>88</c:v>
                </c:pt>
                <c:pt idx="9">
                  <c:v>103</c:v>
                </c:pt>
                <c:pt idx="10">
                  <c:v>126</c:v>
                </c:pt>
                <c:pt idx="11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'30.10 Masaka-Maya'!$AD$9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Masaka-Maya'!$AD$10:$AD$21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04648"/>
        <c:axId val="189101120"/>
      </c:lineChart>
      <c:catAx>
        <c:axId val="189104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1120"/>
        <c:crosses val="autoZero"/>
        <c:auto val="1"/>
        <c:lblAlgn val="ctr"/>
        <c:lblOffset val="100"/>
        <c:noMultiLvlLbl val="0"/>
      </c:catAx>
      <c:valAx>
        <c:axId val="18910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4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Masaka-Maya'!$C$60:$N$60</c:f>
              <c:numCache>
                <c:formatCode>0.00%</c:formatCode>
                <c:ptCount val="12"/>
                <c:pt idx="0">
                  <c:v>0.31476244343891402</c:v>
                </c:pt>
                <c:pt idx="1">
                  <c:v>6.4196832579185514E-2</c:v>
                </c:pt>
                <c:pt idx="2">
                  <c:v>6.5328054298642538E-2</c:v>
                </c:pt>
                <c:pt idx="3">
                  <c:v>0.28421945701357465</c:v>
                </c:pt>
                <c:pt idx="4">
                  <c:v>1.414027149321267E-2</c:v>
                </c:pt>
                <c:pt idx="5">
                  <c:v>1.8099547511312219E-2</c:v>
                </c:pt>
                <c:pt idx="6">
                  <c:v>0.17024886877828055</c:v>
                </c:pt>
                <c:pt idx="7">
                  <c:v>1.9796380090497737E-2</c:v>
                </c:pt>
                <c:pt idx="8">
                  <c:v>1.0180995475113122E-2</c:v>
                </c:pt>
                <c:pt idx="9">
                  <c:v>3.9027149321266968E-2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Maya-Masaka'!$AE$10:$AE$21</c:f>
              <c:numCache>
                <c:formatCode>0</c:formatCode>
                <c:ptCount val="12"/>
                <c:pt idx="0">
                  <c:v>476</c:v>
                </c:pt>
                <c:pt idx="1">
                  <c:v>286</c:v>
                </c:pt>
                <c:pt idx="2">
                  <c:v>134</c:v>
                </c:pt>
                <c:pt idx="3">
                  <c:v>388</c:v>
                </c:pt>
                <c:pt idx="4">
                  <c:v>433</c:v>
                </c:pt>
                <c:pt idx="5">
                  <c:v>326</c:v>
                </c:pt>
                <c:pt idx="6">
                  <c:v>398</c:v>
                </c:pt>
                <c:pt idx="7">
                  <c:v>310</c:v>
                </c:pt>
                <c:pt idx="8">
                  <c:v>308</c:v>
                </c:pt>
                <c:pt idx="9">
                  <c:v>335</c:v>
                </c:pt>
                <c:pt idx="10">
                  <c:v>283</c:v>
                </c:pt>
                <c:pt idx="11">
                  <c:v>305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'30.10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Maya-Masaka'!$AF$10:$AF$21</c:f>
              <c:numCache>
                <c:formatCode>0</c:formatCode>
                <c:ptCount val="12"/>
                <c:pt idx="0">
                  <c:v>539</c:v>
                </c:pt>
                <c:pt idx="1">
                  <c:v>355</c:v>
                </c:pt>
                <c:pt idx="2">
                  <c:v>195</c:v>
                </c:pt>
                <c:pt idx="3">
                  <c:v>478</c:v>
                </c:pt>
                <c:pt idx="4">
                  <c:v>538</c:v>
                </c:pt>
                <c:pt idx="5">
                  <c:v>391</c:v>
                </c:pt>
                <c:pt idx="6">
                  <c:v>455</c:v>
                </c:pt>
                <c:pt idx="7">
                  <c:v>385</c:v>
                </c:pt>
                <c:pt idx="8">
                  <c:v>374</c:v>
                </c:pt>
                <c:pt idx="9">
                  <c:v>416</c:v>
                </c:pt>
                <c:pt idx="10">
                  <c:v>342</c:v>
                </c:pt>
                <c:pt idx="11">
                  <c:v>390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04256"/>
        <c:axId val="142214432"/>
      </c:lineChart>
      <c:catAx>
        <c:axId val="189104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2214432"/>
        <c:crosses val="autoZero"/>
        <c:auto val="1"/>
        <c:lblAlgn val="ctr"/>
        <c:lblOffset val="100"/>
        <c:noMultiLvlLbl val="0"/>
      </c:catAx>
      <c:valAx>
        <c:axId val="142214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10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Maya-Masaka'!$C$59:$N$59</c:f>
              <c:numCache>
                <c:formatCode>0.0%</c:formatCode>
                <c:ptCount val="12"/>
                <c:pt idx="0">
                  <c:v>0.24598600247015232</c:v>
                </c:pt>
                <c:pt idx="1">
                  <c:v>6.5459036640592841E-2</c:v>
                </c:pt>
                <c:pt idx="2">
                  <c:v>4.4462741869081925E-2</c:v>
                </c:pt>
                <c:pt idx="3">
                  <c:v>0.21305063812268424</c:v>
                </c:pt>
                <c:pt idx="4">
                  <c:v>1.4615067929188966E-2</c:v>
                </c:pt>
                <c:pt idx="5">
                  <c:v>1.2762453684643887E-2</c:v>
                </c:pt>
                <c:pt idx="6">
                  <c:v>0.12062577192260189</c:v>
                </c:pt>
                <c:pt idx="7">
                  <c:v>4.9608892548373813E-2</c:v>
                </c:pt>
                <c:pt idx="8">
                  <c:v>3.2317826265953066E-2</c:v>
                </c:pt>
                <c:pt idx="9">
                  <c:v>2.0790448744339236E-2</c:v>
                </c:pt>
                <c:pt idx="10">
                  <c:v>0.18032111980238782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Maya-Masaka'!$C$60:$N$60</c:f>
              <c:numCache>
                <c:formatCode>0.00%</c:formatCode>
                <c:ptCount val="12"/>
                <c:pt idx="0">
                  <c:v>0.3001004520341537</c:v>
                </c:pt>
                <c:pt idx="1">
                  <c:v>7.9859367152184835E-2</c:v>
                </c:pt>
                <c:pt idx="2">
                  <c:v>5.4244098442993473E-2</c:v>
                </c:pt>
                <c:pt idx="3">
                  <c:v>0.25991963837267706</c:v>
                </c:pt>
                <c:pt idx="4">
                  <c:v>1.783023606228026E-2</c:v>
                </c:pt>
                <c:pt idx="5">
                  <c:v>1.55700652938222E-2</c:v>
                </c:pt>
                <c:pt idx="6">
                  <c:v>0.14716223003515821</c:v>
                </c:pt>
                <c:pt idx="7">
                  <c:v>6.0522350577599193E-2</c:v>
                </c:pt>
                <c:pt idx="8">
                  <c:v>3.9427423405323958E-2</c:v>
                </c:pt>
                <c:pt idx="9">
                  <c:v>2.5364138623807132E-2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Masaka-Maya-24h'!$AE$9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Masaka-Maya-24h'!$R$10:$R$33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Masaka-Maya-24h'!$AE$10:$AE$33</c:f>
              <c:numCache>
                <c:formatCode>0</c:formatCode>
                <c:ptCount val="24"/>
                <c:pt idx="0">
                  <c:v>205</c:v>
                </c:pt>
                <c:pt idx="1">
                  <c:v>217</c:v>
                </c:pt>
                <c:pt idx="2">
                  <c:v>247</c:v>
                </c:pt>
                <c:pt idx="3">
                  <c:v>258</c:v>
                </c:pt>
                <c:pt idx="4">
                  <c:v>264</c:v>
                </c:pt>
                <c:pt idx="5">
                  <c:v>276</c:v>
                </c:pt>
                <c:pt idx="6">
                  <c:v>268</c:v>
                </c:pt>
                <c:pt idx="7">
                  <c:v>283</c:v>
                </c:pt>
                <c:pt idx="8">
                  <c:v>339</c:v>
                </c:pt>
                <c:pt idx="9">
                  <c:v>376</c:v>
                </c:pt>
                <c:pt idx="10">
                  <c:v>442</c:v>
                </c:pt>
                <c:pt idx="11">
                  <c:v>462</c:v>
                </c:pt>
                <c:pt idx="12">
                  <c:v>289</c:v>
                </c:pt>
                <c:pt idx="13">
                  <c:v>417</c:v>
                </c:pt>
                <c:pt idx="14">
                  <c:v>356</c:v>
                </c:pt>
                <c:pt idx="15">
                  <c:v>288</c:v>
                </c:pt>
                <c:pt idx="16">
                  <c:v>302</c:v>
                </c:pt>
                <c:pt idx="17">
                  <c:v>171</c:v>
                </c:pt>
                <c:pt idx="18">
                  <c:v>206</c:v>
                </c:pt>
                <c:pt idx="19">
                  <c:v>245</c:v>
                </c:pt>
                <c:pt idx="20">
                  <c:v>153</c:v>
                </c:pt>
                <c:pt idx="21">
                  <c:v>142</c:v>
                </c:pt>
                <c:pt idx="22">
                  <c:v>187</c:v>
                </c:pt>
                <c:pt idx="23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'31.10 Masaka-Maya-24h'!$AF$9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Masaka-Maya-24h'!$R$10:$R$33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Masaka-Maya-24h'!$AF$10:$AF$33</c:f>
              <c:numCache>
                <c:formatCode>0</c:formatCode>
                <c:ptCount val="24"/>
                <c:pt idx="0">
                  <c:v>311</c:v>
                </c:pt>
                <c:pt idx="1">
                  <c:v>347</c:v>
                </c:pt>
                <c:pt idx="2">
                  <c:v>347</c:v>
                </c:pt>
                <c:pt idx="3">
                  <c:v>352</c:v>
                </c:pt>
                <c:pt idx="4">
                  <c:v>350</c:v>
                </c:pt>
                <c:pt idx="5">
                  <c:v>382</c:v>
                </c:pt>
                <c:pt idx="6">
                  <c:v>346</c:v>
                </c:pt>
                <c:pt idx="7">
                  <c:v>351</c:v>
                </c:pt>
                <c:pt idx="8">
                  <c:v>416</c:v>
                </c:pt>
                <c:pt idx="9">
                  <c:v>465</c:v>
                </c:pt>
                <c:pt idx="10">
                  <c:v>566</c:v>
                </c:pt>
                <c:pt idx="11">
                  <c:v>588</c:v>
                </c:pt>
                <c:pt idx="12">
                  <c:v>355</c:v>
                </c:pt>
                <c:pt idx="13">
                  <c:v>500</c:v>
                </c:pt>
                <c:pt idx="14">
                  <c:v>401</c:v>
                </c:pt>
                <c:pt idx="15">
                  <c:v>330</c:v>
                </c:pt>
                <c:pt idx="16">
                  <c:v>325</c:v>
                </c:pt>
                <c:pt idx="17">
                  <c:v>183</c:v>
                </c:pt>
                <c:pt idx="18">
                  <c:v>210</c:v>
                </c:pt>
                <c:pt idx="19">
                  <c:v>250</c:v>
                </c:pt>
                <c:pt idx="20">
                  <c:v>164</c:v>
                </c:pt>
                <c:pt idx="21">
                  <c:v>144</c:v>
                </c:pt>
                <c:pt idx="22">
                  <c:v>205</c:v>
                </c:pt>
                <c:pt idx="23">
                  <c:v>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394584"/>
        <c:axId val="190401640"/>
      </c:lineChart>
      <c:catAx>
        <c:axId val="1903945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401640"/>
        <c:crosses val="autoZero"/>
        <c:auto val="1"/>
        <c:lblAlgn val="ctr"/>
        <c:lblOffset val="100"/>
        <c:noMultiLvlLbl val="0"/>
      </c:catAx>
      <c:valAx>
        <c:axId val="190401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94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Masaka-Maya-24h'!$C$9:$N$9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Masaka-Maya-24h'!$C$107:$N$107</c:f>
              <c:numCache>
                <c:formatCode>0.0%</c:formatCode>
                <c:ptCount val="12"/>
                <c:pt idx="0">
                  <c:v>0.19587881761314854</c:v>
                </c:pt>
                <c:pt idx="1">
                  <c:v>5.8506071384766344E-2</c:v>
                </c:pt>
                <c:pt idx="2">
                  <c:v>4.4768796761928124E-2</c:v>
                </c:pt>
                <c:pt idx="3">
                  <c:v>0.1964920888016681</c:v>
                </c:pt>
                <c:pt idx="4">
                  <c:v>1.8275481417882988E-2</c:v>
                </c:pt>
                <c:pt idx="5">
                  <c:v>2.109652888507298E-2</c:v>
                </c:pt>
                <c:pt idx="6">
                  <c:v>0.13663682080215872</c:v>
                </c:pt>
                <c:pt idx="7">
                  <c:v>5.5439715442168525E-2</c:v>
                </c:pt>
                <c:pt idx="8">
                  <c:v>4.5627376425855515E-2</c:v>
                </c:pt>
                <c:pt idx="9">
                  <c:v>3.8022813688212927E-2</c:v>
                </c:pt>
                <c:pt idx="10">
                  <c:v>0.18913283453943333</c:v>
                </c:pt>
                <c:pt idx="11">
                  <c:v>1.2265423770391266E-4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Masaka-Maya-24h'!$C$9:$N$9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Masaka-Maya-24h'!$C$108:$N$108</c:f>
              <c:numCache>
                <c:formatCode>0.00%</c:formatCode>
                <c:ptCount val="12"/>
                <c:pt idx="0">
                  <c:v>0.24156708516109515</c:v>
                </c:pt>
                <c:pt idx="1">
                  <c:v>7.2152473150809263E-2</c:v>
                </c:pt>
                <c:pt idx="2">
                  <c:v>5.5211011949780668E-2</c:v>
                </c:pt>
                <c:pt idx="3">
                  <c:v>0.24232340039328393</c:v>
                </c:pt>
                <c:pt idx="4">
                  <c:v>2.2538193919225534E-2</c:v>
                </c:pt>
                <c:pt idx="5">
                  <c:v>2.6017243987293905E-2</c:v>
                </c:pt>
                <c:pt idx="6">
                  <c:v>0.16850703373165934</c:v>
                </c:pt>
                <c:pt idx="7">
                  <c:v>6.8370896989865371E-2</c:v>
                </c:pt>
                <c:pt idx="8">
                  <c:v>5.6269853274844954E-2</c:v>
                </c:pt>
                <c:pt idx="9">
                  <c:v>4.6891544395704129E-2</c:v>
                </c:pt>
                <c:pt idx="11">
                  <c:v>1.5126304643775526E-4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Maya-Masaka-24h'!$AE$9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Maya-Masaka-24h'!$R$10:$R$33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Maya-Masaka-24h'!$AE$10:$AE$33</c:f>
              <c:numCache>
                <c:formatCode>0</c:formatCode>
                <c:ptCount val="24"/>
                <c:pt idx="0">
                  <c:v>191</c:v>
                </c:pt>
                <c:pt idx="1">
                  <c:v>413</c:v>
                </c:pt>
                <c:pt idx="2">
                  <c:v>486</c:v>
                </c:pt>
                <c:pt idx="3">
                  <c:v>555</c:v>
                </c:pt>
                <c:pt idx="4">
                  <c:v>386</c:v>
                </c:pt>
                <c:pt idx="5">
                  <c:v>433</c:v>
                </c:pt>
                <c:pt idx="6">
                  <c:v>394</c:v>
                </c:pt>
                <c:pt idx="7">
                  <c:v>403</c:v>
                </c:pt>
                <c:pt idx="8">
                  <c:v>367</c:v>
                </c:pt>
                <c:pt idx="9">
                  <c:v>379</c:v>
                </c:pt>
                <c:pt idx="10">
                  <c:v>357</c:v>
                </c:pt>
                <c:pt idx="11">
                  <c:v>326</c:v>
                </c:pt>
                <c:pt idx="12">
                  <c:v>206</c:v>
                </c:pt>
                <c:pt idx="13">
                  <c:v>261</c:v>
                </c:pt>
                <c:pt idx="14">
                  <c:v>241</c:v>
                </c:pt>
                <c:pt idx="15">
                  <c:v>203</c:v>
                </c:pt>
                <c:pt idx="16">
                  <c:v>176</c:v>
                </c:pt>
                <c:pt idx="17">
                  <c:v>116</c:v>
                </c:pt>
                <c:pt idx="18">
                  <c:v>60</c:v>
                </c:pt>
                <c:pt idx="19">
                  <c:v>69</c:v>
                </c:pt>
                <c:pt idx="20">
                  <c:v>50</c:v>
                </c:pt>
                <c:pt idx="21">
                  <c:v>62</c:v>
                </c:pt>
                <c:pt idx="22">
                  <c:v>115</c:v>
                </c:pt>
                <c:pt idx="23">
                  <c:v>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'31.10 Maya-Masaka-24h'!$AF$9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Maya-Masaka-24h'!$R$10:$R$33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Maya-Masaka-24h'!$AF$10:$AF$33</c:f>
              <c:numCache>
                <c:formatCode>0</c:formatCode>
                <c:ptCount val="24"/>
                <c:pt idx="0">
                  <c:v>260</c:v>
                </c:pt>
                <c:pt idx="1">
                  <c:v>497</c:v>
                </c:pt>
                <c:pt idx="2">
                  <c:v>596</c:v>
                </c:pt>
                <c:pt idx="3">
                  <c:v>691</c:v>
                </c:pt>
                <c:pt idx="4">
                  <c:v>507</c:v>
                </c:pt>
                <c:pt idx="5">
                  <c:v>560</c:v>
                </c:pt>
                <c:pt idx="6">
                  <c:v>499</c:v>
                </c:pt>
                <c:pt idx="7">
                  <c:v>495</c:v>
                </c:pt>
                <c:pt idx="8">
                  <c:v>439</c:v>
                </c:pt>
                <c:pt idx="9">
                  <c:v>492</c:v>
                </c:pt>
                <c:pt idx="10">
                  <c:v>444</c:v>
                </c:pt>
                <c:pt idx="11">
                  <c:v>426</c:v>
                </c:pt>
                <c:pt idx="12">
                  <c:v>238</c:v>
                </c:pt>
                <c:pt idx="13">
                  <c:v>298</c:v>
                </c:pt>
                <c:pt idx="14">
                  <c:v>268</c:v>
                </c:pt>
                <c:pt idx="15">
                  <c:v>217</c:v>
                </c:pt>
                <c:pt idx="16">
                  <c:v>183</c:v>
                </c:pt>
                <c:pt idx="17">
                  <c:v>121</c:v>
                </c:pt>
                <c:pt idx="18">
                  <c:v>65</c:v>
                </c:pt>
                <c:pt idx="19">
                  <c:v>72</c:v>
                </c:pt>
                <c:pt idx="20">
                  <c:v>52</c:v>
                </c:pt>
                <c:pt idx="21">
                  <c:v>63</c:v>
                </c:pt>
                <c:pt idx="22">
                  <c:v>122</c:v>
                </c:pt>
                <c:pt idx="23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398112"/>
        <c:axId val="190398504"/>
      </c:lineChart>
      <c:catAx>
        <c:axId val="190398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98504"/>
        <c:crosses val="autoZero"/>
        <c:auto val="1"/>
        <c:lblAlgn val="ctr"/>
        <c:lblOffset val="100"/>
        <c:noMultiLvlLbl val="0"/>
      </c:catAx>
      <c:valAx>
        <c:axId val="190398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9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Maya-Masaka-24h'!$C$9:$N$9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Maya-Masaka-24h'!$C$107:$N$107</c:f>
              <c:numCache>
                <c:formatCode>0.0%</c:formatCode>
                <c:ptCount val="12"/>
                <c:pt idx="0">
                  <c:v>0.2012970498474059</c:v>
                </c:pt>
                <c:pt idx="1">
                  <c:v>9.0793489318413023E-2</c:v>
                </c:pt>
                <c:pt idx="2">
                  <c:v>3.2680569684638859E-2</c:v>
                </c:pt>
                <c:pt idx="3">
                  <c:v>0.20498474059003052</c:v>
                </c:pt>
                <c:pt idx="4">
                  <c:v>9.7914547304170912E-3</c:v>
                </c:pt>
                <c:pt idx="5">
                  <c:v>1.5513733468972533E-2</c:v>
                </c:pt>
                <c:pt idx="6">
                  <c:v>0.15284842319430314</c:v>
                </c:pt>
                <c:pt idx="7">
                  <c:v>4.0310274669379448E-2</c:v>
                </c:pt>
                <c:pt idx="8">
                  <c:v>4.5523906408952187E-2</c:v>
                </c:pt>
                <c:pt idx="9">
                  <c:v>3.1281790437436417E-2</c:v>
                </c:pt>
                <c:pt idx="10">
                  <c:v>0.17497456765005087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Maya-Masaka-24h'!$C$9:$N$9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Maya-Masaka-24h'!$C$108:$N$108</c:f>
              <c:numCache>
                <c:formatCode>0.00%</c:formatCode>
                <c:ptCount val="12"/>
                <c:pt idx="0">
                  <c:v>0.24398890258939582</c:v>
                </c:pt>
                <c:pt idx="1">
                  <c:v>0.11004932182490752</c:v>
                </c:pt>
                <c:pt idx="2">
                  <c:v>3.961159062885327E-2</c:v>
                </c:pt>
                <c:pt idx="3">
                  <c:v>0.24845869297163994</c:v>
                </c:pt>
                <c:pt idx="4">
                  <c:v>1.1868064118372379E-2</c:v>
                </c:pt>
                <c:pt idx="5">
                  <c:v>1.88039457459926E-2</c:v>
                </c:pt>
                <c:pt idx="6">
                  <c:v>0.18526510480887792</c:v>
                </c:pt>
                <c:pt idx="7">
                  <c:v>4.8859432799013565E-2</c:v>
                </c:pt>
                <c:pt idx="8">
                  <c:v>5.5178791615289768E-2</c:v>
                </c:pt>
                <c:pt idx="9">
                  <c:v>3.7916152897657214E-2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'01.11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Masaka-Maya'!$AE$10:$AE$21</c:f>
              <c:numCache>
                <c:formatCode>0</c:formatCode>
                <c:ptCount val="12"/>
                <c:pt idx="0">
                  <c:v>210</c:v>
                </c:pt>
                <c:pt idx="1">
                  <c:v>249</c:v>
                </c:pt>
                <c:pt idx="2">
                  <c:v>267</c:v>
                </c:pt>
                <c:pt idx="3">
                  <c:v>244</c:v>
                </c:pt>
                <c:pt idx="4">
                  <c:v>243</c:v>
                </c:pt>
                <c:pt idx="5">
                  <c:v>301</c:v>
                </c:pt>
                <c:pt idx="6">
                  <c:v>283</c:v>
                </c:pt>
                <c:pt idx="7">
                  <c:v>347</c:v>
                </c:pt>
                <c:pt idx="8">
                  <c:v>377</c:v>
                </c:pt>
                <c:pt idx="9">
                  <c:v>454</c:v>
                </c:pt>
                <c:pt idx="10">
                  <c:v>510</c:v>
                </c:pt>
                <c:pt idx="11">
                  <c:v>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'01.11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Masaka-Maya'!$AF$10:$AF$21</c:f>
              <c:numCache>
                <c:formatCode>0</c:formatCode>
                <c:ptCount val="12"/>
                <c:pt idx="0">
                  <c:v>317</c:v>
                </c:pt>
                <c:pt idx="1">
                  <c:v>362</c:v>
                </c:pt>
                <c:pt idx="2">
                  <c:v>367</c:v>
                </c:pt>
                <c:pt idx="3">
                  <c:v>322</c:v>
                </c:pt>
                <c:pt idx="4">
                  <c:v>310</c:v>
                </c:pt>
                <c:pt idx="5">
                  <c:v>387</c:v>
                </c:pt>
                <c:pt idx="6">
                  <c:v>356</c:v>
                </c:pt>
                <c:pt idx="7">
                  <c:v>413</c:v>
                </c:pt>
                <c:pt idx="8">
                  <c:v>453</c:v>
                </c:pt>
                <c:pt idx="9">
                  <c:v>567</c:v>
                </c:pt>
                <c:pt idx="10">
                  <c:v>630</c:v>
                </c:pt>
                <c:pt idx="11">
                  <c:v>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214040"/>
        <c:axId val="190572968"/>
      </c:lineChart>
      <c:catAx>
        <c:axId val="142214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2968"/>
        <c:crosses val="autoZero"/>
        <c:auto val="1"/>
        <c:lblAlgn val="ctr"/>
        <c:lblOffset val="100"/>
        <c:noMultiLvlLbl val="0"/>
      </c:catAx>
      <c:valAx>
        <c:axId val="190572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2214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'01.11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'01.11 Masaka-Maya'!$C$59:$N$59</c:f>
              <c:numCache>
                <c:formatCode>0.0%</c:formatCode>
                <c:ptCount val="12"/>
                <c:pt idx="0">
                  <c:v>0.26535341830822712</c:v>
                </c:pt>
                <c:pt idx="1">
                  <c:v>4.9246813441483198E-2</c:v>
                </c:pt>
                <c:pt idx="2">
                  <c:v>5.7164928543839318E-2</c:v>
                </c:pt>
                <c:pt idx="3">
                  <c:v>0.21668597914252608</c:v>
                </c:pt>
                <c:pt idx="4">
                  <c:v>1.0428736964078795E-2</c:v>
                </c:pt>
                <c:pt idx="5">
                  <c:v>1.2166859791425261E-2</c:v>
                </c:pt>
                <c:pt idx="6">
                  <c:v>0.12340672074159907</c:v>
                </c:pt>
                <c:pt idx="7">
                  <c:v>1.2939358825801467E-2</c:v>
                </c:pt>
                <c:pt idx="8">
                  <c:v>6.3731170336037077E-3</c:v>
                </c:pt>
                <c:pt idx="9">
                  <c:v>2.4913093858632676E-2</c:v>
                </c:pt>
                <c:pt idx="10">
                  <c:v>0.22132097334878331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'01.11 Masaka-Maya'!$S$9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Masaka-Maya'!$S$10:$S$21</c:f>
              <c:numCache>
                <c:formatCode>0</c:formatCode>
                <c:ptCount val="12"/>
                <c:pt idx="0">
                  <c:v>48</c:v>
                </c:pt>
                <c:pt idx="1">
                  <c:v>56</c:v>
                </c:pt>
                <c:pt idx="2">
                  <c:v>81</c:v>
                </c:pt>
                <c:pt idx="3">
                  <c:v>63</c:v>
                </c:pt>
                <c:pt idx="4">
                  <c:v>79</c:v>
                </c:pt>
                <c:pt idx="5">
                  <c:v>78</c:v>
                </c:pt>
                <c:pt idx="6">
                  <c:v>93</c:v>
                </c:pt>
                <c:pt idx="7">
                  <c:v>133</c:v>
                </c:pt>
                <c:pt idx="8">
                  <c:v>120</c:v>
                </c:pt>
                <c:pt idx="9">
                  <c:v>195</c:v>
                </c:pt>
                <c:pt idx="10">
                  <c:v>205</c:v>
                </c:pt>
                <c:pt idx="11">
                  <c:v>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'01.11 Masaka-Maya'!$T$9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Masaka-Maya'!$T$10:$T$21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11</c:v>
                </c:pt>
                <c:pt idx="3">
                  <c:v>11</c:v>
                </c:pt>
                <c:pt idx="4">
                  <c:v>9</c:v>
                </c:pt>
                <c:pt idx="5">
                  <c:v>23</c:v>
                </c:pt>
                <c:pt idx="6">
                  <c:v>14</c:v>
                </c:pt>
                <c:pt idx="7">
                  <c:v>19</c:v>
                </c:pt>
                <c:pt idx="8">
                  <c:v>26</c:v>
                </c:pt>
                <c:pt idx="9">
                  <c:v>30</c:v>
                </c:pt>
                <c:pt idx="10">
                  <c:v>41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'01.11 Masaka-Maya'!$U$9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Masaka-Maya'!$U$10:$U$21</c:f>
              <c:numCache>
                <c:formatCode>0</c:formatCode>
                <c:ptCount val="12"/>
                <c:pt idx="0">
                  <c:v>14</c:v>
                </c:pt>
                <c:pt idx="1">
                  <c:v>7</c:v>
                </c:pt>
                <c:pt idx="2">
                  <c:v>9</c:v>
                </c:pt>
                <c:pt idx="3">
                  <c:v>10</c:v>
                </c:pt>
                <c:pt idx="4">
                  <c:v>30</c:v>
                </c:pt>
                <c:pt idx="5">
                  <c:v>18</c:v>
                </c:pt>
                <c:pt idx="6">
                  <c:v>24</c:v>
                </c:pt>
                <c:pt idx="7">
                  <c:v>38</c:v>
                </c:pt>
                <c:pt idx="8">
                  <c:v>37</c:v>
                </c:pt>
                <c:pt idx="9">
                  <c:v>33</c:v>
                </c:pt>
                <c:pt idx="10">
                  <c:v>47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'01.11 Masaka-Maya'!$V$9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Masaka-Maya'!$V$10:$V$21</c:f>
              <c:numCache>
                <c:formatCode>0</c:formatCode>
                <c:ptCount val="12"/>
                <c:pt idx="0">
                  <c:v>85</c:v>
                </c:pt>
                <c:pt idx="1">
                  <c:v>103</c:v>
                </c:pt>
                <c:pt idx="2">
                  <c:v>102</c:v>
                </c:pt>
                <c:pt idx="3">
                  <c:v>100</c:v>
                </c:pt>
                <c:pt idx="4">
                  <c:v>77</c:v>
                </c:pt>
                <c:pt idx="5">
                  <c:v>91</c:v>
                </c:pt>
                <c:pt idx="6">
                  <c:v>73</c:v>
                </c:pt>
                <c:pt idx="7">
                  <c:v>75</c:v>
                </c:pt>
                <c:pt idx="8">
                  <c:v>87</c:v>
                </c:pt>
                <c:pt idx="9">
                  <c:v>90</c:v>
                </c:pt>
                <c:pt idx="10">
                  <c:v>114</c:v>
                </c:pt>
                <c:pt idx="11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'01.11 Masaka-Maya'!$W$9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Masaka-Maya'!$W$10:$W$21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'01.11 Masaka-Maya'!$X$9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Masaka-Maya'!$X$10:$X$21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7</c:v>
                </c:pt>
                <c:pt idx="8">
                  <c:v>11</c:v>
                </c:pt>
                <c:pt idx="9">
                  <c:v>4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'01.11 Masaka-Maya'!$Y$9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Masaka-Maya'!$Y$10:$Y$21</c:f>
              <c:numCache>
                <c:formatCode>0</c:formatCode>
                <c:ptCount val="12"/>
                <c:pt idx="0">
                  <c:v>34</c:v>
                </c:pt>
                <c:pt idx="1">
                  <c:v>46</c:v>
                </c:pt>
                <c:pt idx="2">
                  <c:v>45</c:v>
                </c:pt>
                <c:pt idx="3">
                  <c:v>37</c:v>
                </c:pt>
                <c:pt idx="4">
                  <c:v>26</c:v>
                </c:pt>
                <c:pt idx="5">
                  <c:v>64</c:v>
                </c:pt>
                <c:pt idx="6">
                  <c:v>59</c:v>
                </c:pt>
                <c:pt idx="7">
                  <c:v>53</c:v>
                </c:pt>
                <c:pt idx="8">
                  <c:v>69</c:v>
                </c:pt>
                <c:pt idx="9">
                  <c:v>76</c:v>
                </c:pt>
                <c:pt idx="10">
                  <c:v>55</c:v>
                </c:pt>
                <c:pt idx="1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'01.11 Masaka-Maya'!$Z$9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Masaka-Maya'!$Z$10:$Z$21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14</c:v>
                </c:pt>
                <c:pt idx="9">
                  <c:v>8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'01.11 Masaka-Maya'!$AA$9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'01.11 Masaka-Maya'!$AB$9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Masaka-Maya'!$AB$10:$AB$21</c:f>
              <c:numCache>
                <c:formatCode>0</c:formatCode>
                <c:ptCount val="12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13</c:v>
                </c:pt>
                <c:pt idx="4">
                  <c:v>14</c:v>
                </c:pt>
                <c:pt idx="5">
                  <c:v>13</c:v>
                </c:pt>
                <c:pt idx="6">
                  <c:v>8</c:v>
                </c:pt>
                <c:pt idx="7">
                  <c:v>12</c:v>
                </c:pt>
                <c:pt idx="8">
                  <c:v>6</c:v>
                </c:pt>
                <c:pt idx="9">
                  <c:v>10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'01.11 Masaka-Maya'!$AC$9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Masaka-Maya'!$AC$10:$AC$21</c:f>
              <c:numCache>
                <c:formatCode>0</c:formatCode>
                <c:ptCount val="12"/>
                <c:pt idx="0">
                  <c:v>107</c:v>
                </c:pt>
                <c:pt idx="1">
                  <c:v>113</c:v>
                </c:pt>
                <c:pt idx="2">
                  <c:v>100</c:v>
                </c:pt>
                <c:pt idx="3">
                  <c:v>78</c:v>
                </c:pt>
                <c:pt idx="4">
                  <c:v>67</c:v>
                </c:pt>
                <c:pt idx="5">
                  <c:v>86</c:v>
                </c:pt>
                <c:pt idx="6">
                  <c:v>73</c:v>
                </c:pt>
                <c:pt idx="7">
                  <c:v>66</c:v>
                </c:pt>
                <c:pt idx="8">
                  <c:v>76</c:v>
                </c:pt>
                <c:pt idx="9">
                  <c:v>113</c:v>
                </c:pt>
                <c:pt idx="10">
                  <c:v>120</c:v>
                </c:pt>
                <c:pt idx="11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'01.11 Masaka-Maya'!$AD$9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Masaka-Maya'!$AD$10:$AD$21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573360"/>
        <c:axId val="190571792"/>
      </c:lineChart>
      <c:catAx>
        <c:axId val="190573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1792"/>
        <c:crosses val="autoZero"/>
        <c:auto val="1"/>
        <c:lblAlgn val="ctr"/>
        <c:lblOffset val="100"/>
        <c:noMultiLvlLbl val="0"/>
      </c:catAx>
      <c:valAx>
        <c:axId val="19057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'01.11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'01.11 Masaka-Maya'!$C$60:$N$60</c:f>
              <c:numCache>
                <c:formatCode>0.00%</c:formatCode>
                <c:ptCount val="12"/>
                <c:pt idx="0">
                  <c:v>0.34077380952380953</c:v>
                </c:pt>
                <c:pt idx="1">
                  <c:v>6.3244047619047616E-2</c:v>
                </c:pt>
                <c:pt idx="2">
                  <c:v>7.3412698412698416E-2</c:v>
                </c:pt>
                <c:pt idx="3">
                  <c:v>0.27827380952380953</c:v>
                </c:pt>
                <c:pt idx="4">
                  <c:v>1.3392857142857142E-2</c:v>
                </c:pt>
                <c:pt idx="5">
                  <c:v>1.5625E-2</c:v>
                </c:pt>
                <c:pt idx="6">
                  <c:v>0.15848214285714285</c:v>
                </c:pt>
                <c:pt idx="7">
                  <c:v>1.6617063492063492E-2</c:v>
                </c:pt>
                <c:pt idx="8">
                  <c:v>8.1845238095238099E-3</c:v>
                </c:pt>
                <c:pt idx="9">
                  <c:v>3.1994047619047616E-2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'01.11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Maya-Masaka'!$AE$10:$AE$21</c:f>
              <c:numCache>
                <c:formatCode>0</c:formatCode>
                <c:ptCount val="12"/>
                <c:pt idx="0">
                  <c:v>201</c:v>
                </c:pt>
                <c:pt idx="1">
                  <c:v>329</c:v>
                </c:pt>
                <c:pt idx="2">
                  <c:v>364</c:v>
                </c:pt>
                <c:pt idx="3">
                  <c:v>305</c:v>
                </c:pt>
                <c:pt idx="4">
                  <c:v>435</c:v>
                </c:pt>
                <c:pt idx="5">
                  <c:v>422</c:v>
                </c:pt>
                <c:pt idx="6">
                  <c:v>457</c:v>
                </c:pt>
                <c:pt idx="7">
                  <c:v>473</c:v>
                </c:pt>
                <c:pt idx="8">
                  <c:v>372</c:v>
                </c:pt>
                <c:pt idx="9">
                  <c:v>402</c:v>
                </c:pt>
                <c:pt idx="10">
                  <c:v>374</c:v>
                </c:pt>
                <c:pt idx="11">
                  <c:v>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'01.11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Maya-Masaka'!$AF$10:$AF$21</c:f>
              <c:numCache>
                <c:formatCode>0</c:formatCode>
                <c:ptCount val="12"/>
                <c:pt idx="0">
                  <c:v>244</c:v>
                </c:pt>
                <c:pt idx="1">
                  <c:v>406</c:v>
                </c:pt>
                <c:pt idx="2">
                  <c:v>444</c:v>
                </c:pt>
                <c:pt idx="3">
                  <c:v>384</c:v>
                </c:pt>
                <c:pt idx="4">
                  <c:v>532</c:v>
                </c:pt>
                <c:pt idx="5">
                  <c:v>531</c:v>
                </c:pt>
                <c:pt idx="6">
                  <c:v>543</c:v>
                </c:pt>
                <c:pt idx="7">
                  <c:v>568</c:v>
                </c:pt>
                <c:pt idx="8">
                  <c:v>434</c:v>
                </c:pt>
                <c:pt idx="9">
                  <c:v>487</c:v>
                </c:pt>
                <c:pt idx="10">
                  <c:v>445</c:v>
                </c:pt>
                <c:pt idx="11">
                  <c:v>426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575712"/>
        <c:axId val="190577280"/>
      </c:lineChart>
      <c:catAx>
        <c:axId val="190575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7280"/>
        <c:crosses val="autoZero"/>
        <c:auto val="1"/>
        <c:lblAlgn val="ctr"/>
        <c:lblOffset val="100"/>
        <c:noMultiLvlLbl val="0"/>
      </c:catAx>
      <c:valAx>
        <c:axId val="19057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'01.11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'01.11 Maya-Masaka'!$C$59:$N$59</c:f>
              <c:numCache>
                <c:formatCode>0.0%</c:formatCode>
                <c:ptCount val="12"/>
                <c:pt idx="0">
                  <c:v>0.27700220426157235</c:v>
                </c:pt>
                <c:pt idx="1">
                  <c:v>6.2637766348273324E-2</c:v>
                </c:pt>
                <c:pt idx="2">
                  <c:v>4.5738427626745043E-2</c:v>
                </c:pt>
                <c:pt idx="3">
                  <c:v>0.21473181484202791</c:v>
                </c:pt>
                <c:pt idx="4">
                  <c:v>1.2858192505510653E-2</c:v>
                </c:pt>
                <c:pt idx="5">
                  <c:v>1.3409257898603968E-2</c:v>
                </c:pt>
                <c:pt idx="6">
                  <c:v>0.15374724467303452</c:v>
                </c:pt>
                <c:pt idx="7">
                  <c:v>1.230712711241734E-2</c:v>
                </c:pt>
                <c:pt idx="8">
                  <c:v>8.6333578251285813E-3</c:v>
                </c:pt>
                <c:pt idx="9">
                  <c:v>1.7083027185892725E-2</c:v>
                </c:pt>
                <c:pt idx="10">
                  <c:v>0.1816678912564291</c:v>
                </c:pt>
                <c:pt idx="11">
                  <c:v>1.836884643644379E-4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'01.11 Maya-Masaka'!$S$9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Maya-Masaka'!$S$10:$S$21</c:f>
              <c:numCache>
                <c:formatCode>0</c:formatCode>
                <c:ptCount val="12"/>
                <c:pt idx="0">
                  <c:v>80</c:v>
                </c:pt>
                <c:pt idx="1">
                  <c:v>120</c:v>
                </c:pt>
                <c:pt idx="2">
                  <c:v>140</c:v>
                </c:pt>
                <c:pt idx="3">
                  <c:v>103</c:v>
                </c:pt>
                <c:pt idx="4">
                  <c:v>123</c:v>
                </c:pt>
                <c:pt idx="5">
                  <c:v>133</c:v>
                </c:pt>
                <c:pt idx="6">
                  <c:v>144</c:v>
                </c:pt>
                <c:pt idx="7">
                  <c:v>178</c:v>
                </c:pt>
                <c:pt idx="8">
                  <c:v>111</c:v>
                </c:pt>
                <c:pt idx="9">
                  <c:v>144</c:v>
                </c:pt>
                <c:pt idx="10">
                  <c:v>127</c:v>
                </c:pt>
                <c:pt idx="11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'01.11 Maya-Masaka'!$T$9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'01.11 Maya-Masaka'!$T$10:$T$21</c:f>
              <c:numCache>
                <c:formatCode>0</c:formatCode>
                <c:ptCount val="12"/>
                <c:pt idx="0">
                  <c:v>20</c:v>
                </c:pt>
                <c:pt idx="1">
                  <c:v>33</c:v>
                </c:pt>
                <c:pt idx="2">
                  <c:v>25</c:v>
                </c:pt>
                <c:pt idx="3">
                  <c:v>27</c:v>
                </c:pt>
                <c:pt idx="4">
                  <c:v>34</c:v>
                </c:pt>
                <c:pt idx="5">
                  <c:v>50</c:v>
                </c:pt>
                <c:pt idx="6">
                  <c:v>34</c:v>
                </c:pt>
                <c:pt idx="7">
                  <c:v>33</c:v>
                </c:pt>
                <c:pt idx="8">
                  <c:v>30</c:v>
                </c:pt>
                <c:pt idx="9">
                  <c:v>18</c:v>
                </c:pt>
                <c:pt idx="10">
                  <c:v>20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'01.11 Maya-Masaka'!$U$9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Maya-Masaka'!$U$10:$U$21</c:f>
              <c:numCache>
                <c:formatCode>0</c:formatCode>
                <c:ptCount val="12"/>
                <c:pt idx="0">
                  <c:v>11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27</c:v>
                </c:pt>
                <c:pt idx="5">
                  <c:v>21</c:v>
                </c:pt>
                <c:pt idx="6">
                  <c:v>29</c:v>
                </c:pt>
                <c:pt idx="7">
                  <c:v>29</c:v>
                </c:pt>
                <c:pt idx="8">
                  <c:v>8</c:v>
                </c:pt>
                <c:pt idx="9">
                  <c:v>23</c:v>
                </c:pt>
                <c:pt idx="10">
                  <c:v>18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'01.11 Maya-Masaka'!$V$9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Maya-Masaka'!$V$10:$V$21</c:f>
              <c:numCache>
                <c:formatCode>0</c:formatCode>
                <c:ptCount val="12"/>
                <c:pt idx="0">
                  <c:v>42</c:v>
                </c:pt>
                <c:pt idx="1">
                  <c:v>88</c:v>
                </c:pt>
                <c:pt idx="2">
                  <c:v>88</c:v>
                </c:pt>
                <c:pt idx="3">
                  <c:v>73</c:v>
                </c:pt>
                <c:pt idx="4">
                  <c:v>137</c:v>
                </c:pt>
                <c:pt idx="5">
                  <c:v>117</c:v>
                </c:pt>
                <c:pt idx="6">
                  <c:v>105</c:v>
                </c:pt>
                <c:pt idx="7">
                  <c:v>114</c:v>
                </c:pt>
                <c:pt idx="8">
                  <c:v>93</c:v>
                </c:pt>
                <c:pt idx="9">
                  <c:v>112</c:v>
                </c:pt>
                <c:pt idx="10">
                  <c:v>106</c:v>
                </c:pt>
                <c:pt idx="1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'01.11 Maya-Masaka'!$W$9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Maya-Masaka'!$W$10:$W$21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6</c:v>
                </c:pt>
                <c:pt idx="6">
                  <c:v>11</c:v>
                </c:pt>
                <c:pt idx="7">
                  <c:v>9</c:v>
                </c:pt>
                <c:pt idx="8">
                  <c:v>2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'01.11 Maya-Masaka'!$X$9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Maya-Masaka'!$X$10:$X$21</c:f>
              <c:numCache>
                <c:formatCode>0</c:formatCode>
                <c:ptCount val="12"/>
                <c:pt idx="0">
                  <c:v>13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8</c:v>
                </c:pt>
                <c:pt idx="6">
                  <c:v>10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'01.11 Maya-Masaka'!$Y$9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Maya-Masaka'!$Y$10:$Y$21</c:f>
              <c:numCache>
                <c:formatCode>0</c:formatCode>
                <c:ptCount val="12"/>
                <c:pt idx="0">
                  <c:v>24</c:v>
                </c:pt>
                <c:pt idx="1">
                  <c:v>49</c:v>
                </c:pt>
                <c:pt idx="2">
                  <c:v>61</c:v>
                </c:pt>
                <c:pt idx="3">
                  <c:v>60</c:v>
                </c:pt>
                <c:pt idx="4">
                  <c:v>85</c:v>
                </c:pt>
                <c:pt idx="5">
                  <c:v>75</c:v>
                </c:pt>
                <c:pt idx="6">
                  <c:v>101</c:v>
                </c:pt>
                <c:pt idx="7">
                  <c:v>80</c:v>
                </c:pt>
                <c:pt idx="8">
                  <c:v>85</c:v>
                </c:pt>
                <c:pt idx="9">
                  <c:v>70</c:v>
                </c:pt>
                <c:pt idx="10">
                  <c:v>81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'01.11 Maya-Masaka'!$Z$9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Maya-Masaka'!$Z$10:$Z$21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9</c:v>
                </c:pt>
                <c:pt idx="8">
                  <c:v>14</c:v>
                </c:pt>
                <c:pt idx="9">
                  <c:v>7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'01.11 Maya-Masaka'!$AA$9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  <c:pt idx="4">
                  <c:v>5</c:v>
                </c:pt>
                <c:pt idx="5">
                  <c:v>3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'01.11 Maya-Masaka'!$AB$9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6</c:v>
                </c:pt>
                <c:pt idx="6">
                  <c:v>9</c:v>
                </c:pt>
                <c:pt idx="7">
                  <c:v>11</c:v>
                </c:pt>
                <c:pt idx="8">
                  <c:v>18</c:v>
                </c:pt>
                <c:pt idx="9">
                  <c:v>11</c:v>
                </c:pt>
                <c:pt idx="10">
                  <c:v>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'01.11 Maya-Masaka'!$AC$9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Maya-Masaka'!$AC$10:$AC$21</c:f>
              <c:numCache>
                <c:formatCode>0</c:formatCode>
                <c:ptCount val="12"/>
                <c:pt idx="0">
                  <c:v>43</c:v>
                </c:pt>
                <c:pt idx="1">
                  <c:v>77</c:v>
                </c:pt>
                <c:pt idx="2">
                  <c:v>80</c:v>
                </c:pt>
                <c:pt idx="3">
                  <c:v>79</c:v>
                </c:pt>
                <c:pt idx="4">
                  <c:v>97</c:v>
                </c:pt>
                <c:pt idx="5">
                  <c:v>109</c:v>
                </c:pt>
                <c:pt idx="6">
                  <c:v>86</c:v>
                </c:pt>
                <c:pt idx="7">
                  <c:v>95</c:v>
                </c:pt>
                <c:pt idx="8">
                  <c:v>62</c:v>
                </c:pt>
                <c:pt idx="9">
                  <c:v>85</c:v>
                </c:pt>
                <c:pt idx="10">
                  <c:v>71</c:v>
                </c:pt>
                <c:pt idx="11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'01.11 Maya-Masaka'!$AD$9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'01.11 Maya-Masaka'!$AD$10:$AD$21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577672"/>
        <c:axId val="190574144"/>
      </c:lineChart>
      <c:catAx>
        <c:axId val="190577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4144"/>
        <c:crosses val="autoZero"/>
        <c:auto val="1"/>
        <c:lblAlgn val="ctr"/>
        <c:lblOffset val="100"/>
        <c:noMultiLvlLbl val="0"/>
      </c:catAx>
      <c:valAx>
        <c:axId val="1905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7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'01.11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'01.11 Maya-Masaka'!$C$60:$N$60</c:f>
              <c:numCache>
                <c:formatCode>0.00%</c:formatCode>
                <c:ptCount val="12"/>
                <c:pt idx="0">
                  <c:v>0.33849607182940517</c:v>
                </c:pt>
                <c:pt idx="1">
                  <c:v>7.6543209876543214E-2</c:v>
                </c:pt>
                <c:pt idx="2">
                  <c:v>5.5892255892255889E-2</c:v>
                </c:pt>
                <c:pt idx="3">
                  <c:v>0.26240179573512906</c:v>
                </c:pt>
                <c:pt idx="4">
                  <c:v>1.5712682379349047E-2</c:v>
                </c:pt>
                <c:pt idx="5">
                  <c:v>1.638608305274972E-2</c:v>
                </c:pt>
                <c:pt idx="6">
                  <c:v>0.18787878787878787</c:v>
                </c:pt>
                <c:pt idx="7">
                  <c:v>1.5039281705948373E-2</c:v>
                </c:pt>
                <c:pt idx="8">
                  <c:v>1.0549943883277216E-2</c:v>
                </c:pt>
                <c:pt idx="9">
                  <c:v>2.0875420875420877E-2</c:v>
                </c:pt>
                <c:pt idx="11">
                  <c:v>2.244668911335578E-4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'02.11 Masaka-Maya-24h'!$AE$9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'02.11 Masaka-Maya-24h'!$R$10:$R$33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'02.11 Masaka-Maya-24h'!$AE$10:$AE$33</c:f>
              <c:numCache>
                <c:formatCode>0</c:formatCode>
                <c:ptCount val="24"/>
                <c:pt idx="0">
                  <c:v>205</c:v>
                </c:pt>
                <c:pt idx="1">
                  <c:v>235</c:v>
                </c:pt>
                <c:pt idx="2">
                  <c:v>297</c:v>
                </c:pt>
                <c:pt idx="3">
                  <c:v>311</c:v>
                </c:pt>
                <c:pt idx="4">
                  <c:v>302</c:v>
                </c:pt>
                <c:pt idx="5">
                  <c:v>303</c:v>
                </c:pt>
                <c:pt idx="6">
                  <c:v>301</c:v>
                </c:pt>
                <c:pt idx="7">
                  <c:v>350</c:v>
                </c:pt>
                <c:pt idx="8">
                  <c:v>343</c:v>
                </c:pt>
                <c:pt idx="9">
                  <c:v>430</c:v>
                </c:pt>
                <c:pt idx="10">
                  <c:v>548</c:v>
                </c:pt>
                <c:pt idx="11">
                  <c:v>597</c:v>
                </c:pt>
                <c:pt idx="12">
                  <c:v>728</c:v>
                </c:pt>
                <c:pt idx="13">
                  <c:v>393</c:v>
                </c:pt>
                <c:pt idx="14">
                  <c:v>476</c:v>
                </c:pt>
                <c:pt idx="15">
                  <c:v>293</c:v>
                </c:pt>
                <c:pt idx="16">
                  <c:v>230</c:v>
                </c:pt>
                <c:pt idx="17">
                  <c:v>153</c:v>
                </c:pt>
                <c:pt idx="18">
                  <c:v>122</c:v>
                </c:pt>
                <c:pt idx="19">
                  <c:v>78</c:v>
                </c:pt>
                <c:pt idx="20">
                  <c:v>105</c:v>
                </c:pt>
                <c:pt idx="21">
                  <c:v>80</c:v>
                </c:pt>
                <c:pt idx="22">
                  <c:v>114</c:v>
                </c:pt>
                <c:pt idx="2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'02.11 Masaka-Maya-24h'!$AF$9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'02.11 Masaka-Maya-24h'!$R$10:$R$33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'02.11 Masaka-Maya-24h'!$AF$10:$AF$33</c:f>
              <c:numCache>
                <c:formatCode>0</c:formatCode>
                <c:ptCount val="24"/>
                <c:pt idx="0">
                  <c:v>311</c:v>
                </c:pt>
                <c:pt idx="1">
                  <c:v>358</c:v>
                </c:pt>
                <c:pt idx="2">
                  <c:v>401</c:v>
                </c:pt>
                <c:pt idx="3">
                  <c:v>406</c:v>
                </c:pt>
                <c:pt idx="4">
                  <c:v>395</c:v>
                </c:pt>
                <c:pt idx="5">
                  <c:v>390</c:v>
                </c:pt>
                <c:pt idx="6">
                  <c:v>375</c:v>
                </c:pt>
                <c:pt idx="7">
                  <c:v>425</c:v>
                </c:pt>
                <c:pt idx="8">
                  <c:v>437</c:v>
                </c:pt>
                <c:pt idx="9">
                  <c:v>522</c:v>
                </c:pt>
                <c:pt idx="10">
                  <c:v>680</c:v>
                </c:pt>
                <c:pt idx="11">
                  <c:v>694</c:v>
                </c:pt>
                <c:pt idx="12">
                  <c:v>842</c:v>
                </c:pt>
                <c:pt idx="13">
                  <c:v>466</c:v>
                </c:pt>
                <c:pt idx="14">
                  <c:v>525</c:v>
                </c:pt>
                <c:pt idx="15">
                  <c:v>329</c:v>
                </c:pt>
                <c:pt idx="16">
                  <c:v>248</c:v>
                </c:pt>
                <c:pt idx="17">
                  <c:v>157</c:v>
                </c:pt>
                <c:pt idx="18">
                  <c:v>126</c:v>
                </c:pt>
                <c:pt idx="19">
                  <c:v>79</c:v>
                </c:pt>
                <c:pt idx="20">
                  <c:v>106</c:v>
                </c:pt>
                <c:pt idx="21">
                  <c:v>82</c:v>
                </c:pt>
                <c:pt idx="22">
                  <c:v>119</c:v>
                </c:pt>
                <c:pt idx="23">
                  <c:v>183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584680"/>
        <c:axId val="190589384"/>
      </c:lineChart>
      <c:catAx>
        <c:axId val="190584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9384"/>
        <c:crosses val="autoZero"/>
        <c:auto val="1"/>
        <c:lblAlgn val="ctr"/>
        <c:lblOffset val="100"/>
        <c:noMultiLvlLbl val="0"/>
      </c:catAx>
      <c:valAx>
        <c:axId val="190589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4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'02.11 Masaka-Maya-24h'!$C$9:$N$9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'02.11 Masaka-Maya-24h'!$C$107:$N$107</c:f>
              <c:numCache>
                <c:formatCode>0.0%</c:formatCode>
                <c:ptCount val="12"/>
                <c:pt idx="0">
                  <c:v>0.28431146025878001</c:v>
                </c:pt>
                <c:pt idx="1">
                  <c:v>4.2744916820702403E-2</c:v>
                </c:pt>
                <c:pt idx="2">
                  <c:v>4.2398336414048061E-2</c:v>
                </c:pt>
                <c:pt idx="3">
                  <c:v>0.21187615526802217</c:v>
                </c:pt>
                <c:pt idx="4">
                  <c:v>1.1668207024029575E-2</c:v>
                </c:pt>
                <c:pt idx="5">
                  <c:v>1.686691312384473E-2</c:v>
                </c:pt>
                <c:pt idx="6">
                  <c:v>0.13539741219963031</c:v>
                </c:pt>
                <c:pt idx="7">
                  <c:v>3.7199630314232901E-2</c:v>
                </c:pt>
                <c:pt idx="8">
                  <c:v>1.3054528650646951E-2</c:v>
                </c:pt>
                <c:pt idx="9">
                  <c:v>2.9921441774491683E-2</c:v>
                </c:pt>
                <c:pt idx="10">
                  <c:v>0.17444547134935304</c:v>
                </c:pt>
                <c:pt idx="11">
                  <c:v>1.155268022181146E-4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'02.11 Masaka-Maya-24h'!$C$9:$N$9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'02.11 Masaka-Maya-24h'!$C$108:$N$108</c:f>
              <c:numCache>
                <c:formatCode>0.00%</c:formatCode>
                <c:ptCount val="12"/>
                <c:pt idx="0">
                  <c:v>0.34438846907360759</c:v>
                </c:pt>
                <c:pt idx="1">
                  <c:v>5.1777218024069406E-2</c:v>
                </c:pt>
                <c:pt idx="2">
                  <c:v>5.1357402742793171E-2</c:v>
                </c:pt>
                <c:pt idx="3">
                  <c:v>0.25664707528687375</c:v>
                </c:pt>
                <c:pt idx="4">
                  <c:v>1.4133781136300028E-2</c:v>
                </c:pt>
                <c:pt idx="5">
                  <c:v>2.0431010355443605E-2</c:v>
                </c:pt>
                <c:pt idx="6">
                  <c:v>0.16400783655191717</c:v>
                </c:pt>
                <c:pt idx="7">
                  <c:v>4.5060173523649591E-2</c:v>
                </c:pt>
                <c:pt idx="8">
                  <c:v>1.581304226140498E-2</c:v>
                </c:pt>
                <c:pt idx="9">
                  <c:v>3.6244052616848585E-2</c:v>
                </c:pt>
                <c:pt idx="11">
                  <c:v>1.3993842709207949E-4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'02.11 Maya-Masaka-24h'!$AE$9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'02.11 Maya-Masaka-24h'!$R$10:$R$33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'02.11 Maya-Masaka-24h'!$AE$10:$AE$33</c:f>
              <c:numCache>
                <c:formatCode>0</c:formatCode>
                <c:ptCount val="24"/>
                <c:pt idx="0">
                  <c:v>421</c:v>
                </c:pt>
                <c:pt idx="1">
                  <c:v>464</c:v>
                </c:pt>
                <c:pt idx="2">
                  <c:v>422</c:v>
                </c:pt>
                <c:pt idx="3">
                  <c:v>602</c:v>
                </c:pt>
                <c:pt idx="4">
                  <c:v>697</c:v>
                </c:pt>
                <c:pt idx="5">
                  <c:v>676</c:v>
                </c:pt>
                <c:pt idx="6">
                  <c:v>629</c:v>
                </c:pt>
                <c:pt idx="7">
                  <c:v>484</c:v>
                </c:pt>
                <c:pt idx="8">
                  <c:v>386</c:v>
                </c:pt>
                <c:pt idx="9">
                  <c:v>423</c:v>
                </c:pt>
                <c:pt idx="10">
                  <c:v>446</c:v>
                </c:pt>
                <c:pt idx="11">
                  <c:v>601</c:v>
                </c:pt>
                <c:pt idx="12">
                  <c:v>256</c:v>
                </c:pt>
                <c:pt idx="13">
                  <c:v>239</c:v>
                </c:pt>
                <c:pt idx="14">
                  <c:v>276</c:v>
                </c:pt>
                <c:pt idx="15">
                  <c:v>241</c:v>
                </c:pt>
                <c:pt idx="16">
                  <c:v>282</c:v>
                </c:pt>
                <c:pt idx="17">
                  <c:v>186</c:v>
                </c:pt>
                <c:pt idx="18">
                  <c:v>89</c:v>
                </c:pt>
                <c:pt idx="19">
                  <c:v>56</c:v>
                </c:pt>
                <c:pt idx="20">
                  <c:v>48</c:v>
                </c:pt>
                <c:pt idx="21">
                  <c:v>65</c:v>
                </c:pt>
                <c:pt idx="22">
                  <c:v>106</c:v>
                </c:pt>
                <c:pt idx="2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'02.11 Maya-Masaka-24h'!$AF$9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'02.11 Maya-Masaka-24h'!$R$10:$R$33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'02.11 Maya-Masaka-24h'!$AF$10:$AF$33</c:f>
              <c:numCache>
                <c:formatCode>0</c:formatCode>
                <c:ptCount val="24"/>
                <c:pt idx="0">
                  <c:v>505</c:v>
                </c:pt>
                <c:pt idx="1">
                  <c:v>572</c:v>
                </c:pt>
                <c:pt idx="2">
                  <c:v>538</c:v>
                </c:pt>
                <c:pt idx="3">
                  <c:v>751</c:v>
                </c:pt>
                <c:pt idx="4">
                  <c:v>839</c:v>
                </c:pt>
                <c:pt idx="5">
                  <c:v>845</c:v>
                </c:pt>
                <c:pt idx="6">
                  <c:v>746</c:v>
                </c:pt>
                <c:pt idx="7">
                  <c:v>556</c:v>
                </c:pt>
                <c:pt idx="8">
                  <c:v>452</c:v>
                </c:pt>
                <c:pt idx="9">
                  <c:v>508</c:v>
                </c:pt>
                <c:pt idx="10">
                  <c:v>557</c:v>
                </c:pt>
                <c:pt idx="11">
                  <c:v>735</c:v>
                </c:pt>
                <c:pt idx="12">
                  <c:v>329</c:v>
                </c:pt>
                <c:pt idx="13">
                  <c:v>346</c:v>
                </c:pt>
                <c:pt idx="14">
                  <c:v>360</c:v>
                </c:pt>
                <c:pt idx="15">
                  <c:v>304</c:v>
                </c:pt>
                <c:pt idx="16">
                  <c:v>328</c:v>
                </c:pt>
                <c:pt idx="17">
                  <c:v>212</c:v>
                </c:pt>
                <c:pt idx="18">
                  <c:v>95</c:v>
                </c:pt>
                <c:pt idx="19">
                  <c:v>62</c:v>
                </c:pt>
                <c:pt idx="20">
                  <c:v>54</c:v>
                </c:pt>
                <c:pt idx="21">
                  <c:v>68</c:v>
                </c:pt>
                <c:pt idx="22">
                  <c:v>130</c:v>
                </c:pt>
                <c:pt idx="23">
                  <c:v>246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583896"/>
        <c:axId val="190586248"/>
      </c:lineChart>
      <c:catAx>
        <c:axId val="190583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6248"/>
        <c:crosses val="autoZero"/>
        <c:auto val="1"/>
        <c:lblAlgn val="ctr"/>
        <c:lblOffset val="100"/>
        <c:noMultiLvlLbl val="0"/>
      </c:catAx>
      <c:valAx>
        <c:axId val="190586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3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'02.11 Maya-Masaka-24h'!$C$9:$N$9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'02.11 Maya-Masaka-24h'!$C$107:$N$107</c:f>
              <c:numCache>
                <c:formatCode>0.0%</c:formatCode>
                <c:ptCount val="12"/>
                <c:pt idx="0">
                  <c:v>0.29177352535016771</c:v>
                </c:pt>
                <c:pt idx="1">
                  <c:v>4.5768396133359639E-2</c:v>
                </c:pt>
                <c:pt idx="2">
                  <c:v>4.0441901755770372E-2</c:v>
                </c:pt>
                <c:pt idx="3">
                  <c:v>0.19786940224896429</c:v>
                </c:pt>
                <c:pt idx="4">
                  <c:v>1.2132570526731111E-2</c:v>
                </c:pt>
                <c:pt idx="5">
                  <c:v>1.4894456500295916E-2</c:v>
                </c:pt>
                <c:pt idx="6">
                  <c:v>0.14095482343657526</c:v>
                </c:pt>
                <c:pt idx="7">
                  <c:v>3.8469126060366933E-2</c:v>
                </c:pt>
                <c:pt idx="8">
                  <c:v>2.3278753205760505E-2</c:v>
                </c:pt>
                <c:pt idx="9">
                  <c:v>1.3513513513513514E-2</c:v>
                </c:pt>
                <c:pt idx="10">
                  <c:v>0.18090353126849476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'02.11 Maya-Masaka-24h'!$C$9:$N$9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'02.11 Maya-Masaka-24h'!$C$108:$N$108</c:f>
              <c:numCache>
                <c:formatCode>0.00%</c:formatCode>
                <c:ptCount val="12"/>
                <c:pt idx="0">
                  <c:v>0.35621387283236994</c:v>
                </c:pt>
                <c:pt idx="1">
                  <c:v>5.5876685934489405E-2</c:v>
                </c:pt>
                <c:pt idx="2">
                  <c:v>4.9373795761078997E-2</c:v>
                </c:pt>
                <c:pt idx="3">
                  <c:v>0.24157032755298652</c:v>
                </c:pt>
                <c:pt idx="4">
                  <c:v>1.4812138728323699E-2</c:v>
                </c:pt>
                <c:pt idx="5">
                  <c:v>1.8184007707129093E-2</c:v>
                </c:pt>
                <c:pt idx="6">
                  <c:v>0.17208574181117534</c:v>
                </c:pt>
                <c:pt idx="7">
                  <c:v>4.6965317919075142E-2</c:v>
                </c:pt>
                <c:pt idx="8">
                  <c:v>2.8420038535645471E-2</c:v>
                </c:pt>
                <c:pt idx="9">
                  <c:v>1.6498073217726398E-2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'03.11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Masaka-Maya'!$AE$10:$AE$21</c:f>
              <c:numCache>
                <c:formatCode>0</c:formatCode>
                <c:ptCount val="12"/>
                <c:pt idx="0">
                  <c:v>119</c:v>
                </c:pt>
                <c:pt idx="1">
                  <c:v>201</c:v>
                </c:pt>
                <c:pt idx="2">
                  <c:v>208</c:v>
                </c:pt>
                <c:pt idx="3">
                  <c:v>238</c:v>
                </c:pt>
                <c:pt idx="4">
                  <c:v>267</c:v>
                </c:pt>
                <c:pt idx="5">
                  <c:v>292</c:v>
                </c:pt>
                <c:pt idx="6">
                  <c:v>342</c:v>
                </c:pt>
                <c:pt idx="7">
                  <c:v>367</c:v>
                </c:pt>
                <c:pt idx="8">
                  <c:v>464</c:v>
                </c:pt>
                <c:pt idx="9">
                  <c:v>627</c:v>
                </c:pt>
                <c:pt idx="10">
                  <c:v>496</c:v>
                </c:pt>
                <c:pt idx="11">
                  <c:v>455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'03.11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Masaka-Maya'!$AF$10:$AF$21</c:f>
              <c:numCache>
                <c:formatCode>0</c:formatCode>
                <c:ptCount val="12"/>
                <c:pt idx="0">
                  <c:v>175</c:v>
                </c:pt>
                <c:pt idx="1">
                  <c:v>288</c:v>
                </c:pt>
                <c:pt idx="2">
                  <c:v>298</c:v>
                </c:pt>
                <c:pt idx="3">
                  <c:v>315</c:v>
                </c:pt>
                <c:pt idx="4">
                  <c:v>371</c:v>
                </c:pt>
                <c:pt idx="5">
                  <c:v>402</c:v>
                </c:pt>
                <c:pt idx="6">
                  <c:v>424</c:v>
                </c:pt>
                <c:pt idx="7">
                  <c:v>472</c:v>
                </c:pt>
                <c:pt idx="8">
                  <c:v>581</c:v>
                </c:pt>
                <c:pt idx="9">
                  <c:v>819</c:v>
                </c:pt>
                <c:pt idx="10">
                  <c:v>676</c:v>
                </c:pt>
                <c:pt idx="11">
                  <c:v>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583504"/>
        <c:axId val="190585464"/>
      </c:lineChart>
      <c:catAx>
        <c:axId val="190583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5464"/>
        <c:crosses val="autoZero"/>
        <c:auto val="1"/>
        <c:lblAlgn val="ctr"/>
        <c:lblOffset val="100"/>
        <c:noMultiLvlLbl val="0"/>
      </c:catAx>
      <c:valAx>
        <c:axId val="190585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8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'03.11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'03.11 Masaka-Maya'!$C$59:$N$59</c:f>
              <c:numCache>
                <c:formatCode>0.0%</c:formatCode>
                <c:ptCount val="12"/>
                <c:pt idx="0">
                  <c:v>0.28497409326424872</c:v>
                </c:pt>
                <c:pt idx="1">
                  <c:v>6.0880829015544043E-2</c:v>
                </c:pt>
                <c:pt idx="2">
                  <c:v>4.7187268689859362E-2</c:v>
                </c:pt>
                <c:pt idx="3">
                  <c:v>0.20651369356032567</c:v>
                </c:pt>
                <c:pt idx="4">
                  <c:v>1.2953367875647668E-2</c:v>
                </c:pt>
                <c:pt idx="5">
                  <c:v>8.8823094004441151E-3</c:v>
                </c:pt>
                <c:pt idx="6">
                  <c:v>9.4189489267209478E-2</c:v>
                </c:pt>
                <c:pt idx="7">
                  <c:v>1.4433752775721688E-2</c:v>
                </c:pt>
                <c:pt idx="8">
                  <c:v>4.4411547002220575E-3</c:v>
                </c:pt>
                <c:pt idx="9">
                  <c:v>1.9800148038490006E-2</c:v>
                </c:pt>
                <c:pt idx="10">
                  <c:v>0.2457438934122872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'03.11 Masaka-Maya'!$S$9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Masaka-Maya'!$S$10:$S$21</c:f>
              <c:numCache>
                <c:formatCode>0</c:formatCode>
                <c:ptCount val="12"/>
                <c:pt idx="0">
                  <c:v>19</c:v>
                </c:pt>
                <c:pt idx="1">
                  <c:v>42</c:v>
                </c:pt>
                <c:pt idx="2">
                  <c:v>53</c:v>
                </c:pt>
                <c:pt idx="3">
                  <c:v>70</c:v>
                </c:pt>
                <c:pt idx="4">
                  <c:v>97</c:v>
                </c:pt>
                <c:pt idx="5">
                  <c:v>112</c:v>
                </c:pt>
                <c:pt idx="6">
                  <c:v>153</c:v>
                </c:pt>
                <c:pt idx="7">
                  <c:v>137</c:v>
                </c:pt>
                <c:pt idx="8">
                  <c:v>209</c:v>
                </c:pt>
                <c:pt idx="9">
                  <c:v>262</c:v>
                </c:pt>
                <c:pt idx="10">
                  <c:v>183</c:v>
                </c:pt>
                <c:pt idx="11">
                  <c:v>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'03.11 Masaka-Maya'!$T$9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'03.11 Masaka-Maya'!$R$10:$R$21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Masaka-Maya'!$T$10:$T$21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14</c:v>
                </c:pt>
                <c:pt idx="5">
                  <c:v>23</c:v>
                </c:pt>
                <c:pt idx="6">
                  <c:v>21</c:v>
                </c:pt>
                <c:pt idx="7">
                  <c:v>37</c:v>
                </c:pt>
                <c:pt idx="8">
                  <c:v>44</c:v>
                </c:pt>
                <c:pt idx="9">
                  <c:v>68</c:v>
                </c:pt>
                <c:pt idx="10">
                  <c:v>62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'03.11 Masaka-Maya'!$U$9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Masaka-Maya'!$U$10:$U$21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17</c:v>
                </c:pt>
                <c:pt idx="3">
                  <c:v>11</c:v>
                </c:pt>
                <c:pt idx="4">
                  <c:v>8</c:v>
                </c:pt>
                <c:pt idx="5">
                  <c:v>13</c:v>
                </c:pt>
                <c:pt idx="6">
                  <c:v>21</c:v>
                </c:pt>
                <c:pt idx="7">
                  <c:v>40</c:v>
                </c:pt>
                <c:pt idx="8">
                  <c:v>39</c:v>
                </c:pt>
                <c:pt idx="9">
                  <c:v>37</c:v>
                </c:pt>
                <c:pt idx="10">
                  <c:v>29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'03.11 Masaka-Maya'!$V$9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Masaka-Maya'!$V$10:$V$21</c:f>
              <c:numCache>
                <c:formatCode>0</c:formatCode>
                <c:ptCount val="12"/>
                <c:pt idx="0">
                  <c:v>54</c:v>
                </c:pt>
                <c:pt idx="1">
                  <c:v>81</c:v>
                </c:pt>
                <c:pt idx="2">
                  <c:v>80</c:v>
                </c:pt>
                <c:pt idx="3">
                  <c:v>84</c:v>
                </c:pt>
                <c:pt idx="4">
                  <c:v>79</c:v>
                </c:pt>
                <c:pt idx="5">
                  <c:v>81</c:v>
                </c:pt>
                <c:pt idx="6">
                  <c:v>82</c:v>
                </c:pt>
                <c:pt idx="7">
                  <c:v>88</c:v>
                </c:pt>
                <c:pt idx="8">
                  <c:v>106</c:v>
                </c:pt>
                <c:pt idx="9">
                  <c:v>154</c:v>
                </c:pt>
                <c:pt idx="10">
                  <c:v>121</c:v>
                </c:pt>
                <c:pt idx="11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'03.11 Masaka-Maya'!$W$9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Masaka-Maya'!$W$10:$W$21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17</c:v>
                </c:pt>
                <c:pt idx="10">
                  <c:v>19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'03.11 Masaka-Maya'!$X$9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7</c:v>
                </c:pt>
                <c:pt idx="9">
                  <c:v>10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'03.11 Masaka-Maya'!$Y$9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Masaka-Maya'!$Y$10:$Y$21</c:f>
              <c:numCache>
                <c:formatCode>0</c:formatCode>
                <c:ptCount val="12"/>
                <c:pt idx="0">
                  <c:v>23</c:v>
                </c:pt>
                <c:pt idx="1">
                  <c:v>40</c:v>
                </c:pt>
                <c:pt idx="2">
                  <c:v>28</c:v>
                </c:pt>
                <c:pt idx="3">
                  <c:v>38</c:v>
                </c:pt>
                <c:pt idx="4">
                  <c:v>46</c:v>
                </c:pt>
                <c:pt idx="5">
                  <c:v>39</c:v>
                </c:pt>
                <c:pt idx="6">
                  <c:v>43</c:v>
                </c:pt>
                <c:pt idx="7">
                  <c:v>41</c:v>
                </c:pt>
                <c:pt idx="8">
                  <c:v>40</c:v>
                </c:pt>
                <c:pt idx="9">
                  <c:v>56</c:v>
                </c:pt>
                <c:pt idx="10">
                  <c:v>62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'03.11 Masaka-Maya'!$Z$9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Masaka-Maya'!$Z$10:$Z$21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10</c:v>
                </c:pt>
                <c:pt idx="3">
                  <c:v>10</c:v>
                </c:pt>
                <c:pt idx="4">
                  <c:v>5</c:v>
                </c:pt>
                <c:pt idx="5">
                  <c:v>7</c:v>
                </c:pt>
                <c:pt idx="6">
                  <c:v>0</c:v>
                </c:pt>
                <c:pt idx="7">
                  <c:v>3</c:v>
                </c:pt>
                <c:pt idx="8">
                  <c:v>8</c:v>
                </c:pt>
                <c:pt idx="9">
                  <c:v>7</c:v>
                </c:pt>
                <c:pt idx="10">
                  <c:v>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'03.11 Masaka-Maya'!$AA$9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5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'03.11 Masaka-Maya'!$AB$9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Masaka-Maya'!$AB$10:$AB$21</c:f>
              <c:numCache>
                <c:formatCode>0</c:formatCode>
                <c:ptCount val="12"/>
                <c:pt idx="0">
                  <c:v>4</c:v>
                </c:pt>
                <c:pt idx="1">
                  <c:v>12</c:v>
                </c:pt>
                <c:pt idx="2">
                  <c:v>6</c:v>
                </c:pt>
                <c:pt idx="3">
                  <c:v>6</c:v>
                </c:pt>
                <c:pt idx="4">
                  <c:v>13</c:v>
                </c:pt>
                <c:pt idx="5">
                  <c:v>8</c:v>
                </c:pt>
                <c:pt idx="6">
                  <c:v>14</c:v>
                </c:pt>
                <c:pt idx="7">
                  <c:v>11</c:v>
                </c:pt>
                <c:pt idx="8">
                  <c:v>7</c:v>
                </c:pt>
                <c:pt idx="9">
                  <c:v>11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'03.11 Masaka-Maya'!$AC$9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Masaka-Maya'!$AC$10:$AC$21</c:f>
              <c:numCache>
                <c:formatCode>0</c:formatCode>
                <c:ptCount val="12"/>
                <c:pt idx="0">
                  <c:v>56</c:v>
                </c:pt>
                <c:pt idx="1">
                  <c:v>87</c:v>
                </c:pt>
                <c:pt idx="2">
                  <c:v>90</c:v>
                </c:pt>
                <c:pt idx="3">
                  <c:v>77</c:v>
                </c:pt>
                <c:pt idx="4">
                  <c:v>104</c:v>
                </c:pt>
                <c:pt idx="5">
                  <c:v>110</c:v>
                </c:pt>
                <c:pt idx="6">
                  <c:v>82</c:v>
                </c:pt>
                <c:pt idx="7">
                  <c:v>105</c:v>
                </c:pt>
                <c:pt idx="8">
                  <c:v>117</c:v>
                </c:pt>
                <c:pt idx="9">
                  <c:v>192</c:v>
                </c:pt>
                <c:pt idx="10">
                  <c:v>180</c:v>
                </c:pt>
                <c:pt idx="11">
                  <c:v>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'03.11 Masaka-Maya'!$AD$9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Masaka-Maya'!$AD$10:$AD$21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574928"/>
        <c:axId val="190570616"/>
      </c:lineChart>
      <c:catAx>
        <c:axId val="19057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0616"/>
        <c:crosses val="autoZero"/>
        <c:auto val="1"/>
        <c:lblAlgn val="ctr"/>
        <c:lblOffset val="100"/>
        <c:noMultiLvlLbl val="0"/>
      </c:catAx>
      <c:valAx>
        <c:axId val="190570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57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'03.11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'03.11 Masaka-Maya'!$C$60:$N$60</c:f>
              <c:numCache>
                <c:formatCode>0.00%</c:formatCode>
                <c:ptCount val="12"/>
                <c:pt idx="0">
                  <c:v>0.37782139352306182</c:v>
                </c:pt>
                <c:pt idx="1">
                  <c:v>8.0716388616290477E-2</c:v>
                </c:pt>
                <c:pt idx="2">
                  <c:v>6.2561334641805688E-2</c:v>
                </c:pt>
                <c:pt idx="3">
                  <c:v>0.27379784102060845</c:v>
                </c:pt>
                <c:pt idx="4">
                  <c:v>1.7173699705593719E-2</c:v>
                </c:pt>
                <c:pt idx="5">
                  <c:v>1.1776251226692836E-2</c:v>
                </c:pt>
                <c:pt idx="6">
                  <c:v>0.12487733071638861</c:v>
                </c:pt>
                <c:pt idx="7">
                  <c:v>1.9136408243375858E-2</c:v>
                </c:pt>
                <c:pt idx="8">
                  <c:v>5.8881256133464181E-3</c:v>
                </c:pt>
                <c:pt idx="9">
                  <c:v>2.6251226692836114E-2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'03.11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Maya-Masaka'!$AE$10:$AE$21</c:f>
              <c:numCache>
                <c:formatCode>0</c:formatCode>
                <c:ptCount val="12"/>
                <c:pt idx="0">
                  <c:v>271</c:v>
                </c:pt>
                <c:pt idx="1">
                  <c:v>330</c:v>
                </c:pt>
                <c:pt idx="2">
                  <c:v>401</c:v>
                </c:pt>
                <c:pt idx="3">
                  <c:v>429</c:v>
                </c:pt>
                <c:pt idx="4">
                  <c:v>395</c:v>
                </c:pt>
                <c:pt idx="5">
                  <c:v>462</c:v>
                </c:pt>
                <c:pt idx="6">
                  <c:v>525</c:v>
                </c:pt>
                <c:pt idx="7">
                  <c:v>653</c:v>
                </c:pt>
                <c:pt idx="8">
                  <c:v>759</c:v>
                </c:pt>
                <c:pt idx="9">
                  <c:v>688</c:v>
                </c:pt>
                <c:pt idx="10">
                  <c:v>533</c:v>
                </c:pt>
                <c:pt idx="11">
                  <c:v>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'03.11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Maya-Masaka'!$AF$10:$AF$21</c:f>
              <c:numCache>
                <c:formatCode>0</c:formatCode>
                <c:ptCount val="12"/>
                <c:pt idx="0">
                  <c:v>337</c:v>
                </c:pt>
                <c:pt idx="1">
                  <c:v>426</c:v>
                </c:pt>
                <c:pt idx="2">
                  <c:v>510</c:v>
                </c:pt>
                <c:pt idx="3">
                  <c:v>515</c:v>
                </c:pt>
                <c:pt idx="4">
                  <c:v>494</c:v>
                </c:pt>
                <c:pt idx="5">
                  <c:v>584</c:v>
                </c:pt>
                <c:pt idx="6">
                  <c:v>698</c:v>
                </c:pt>
                <c:pt idx="7">
                  <c:v>769</c:v>
                </c:pt>
                <c:pt idx="8">
                  <c:v>928</c:v>
                </c:pt>
                <c:pt idx="9">
                  <c:v>853</c:v>
                </c:pt>
                <c:pt idx="10">
                  <c:v>676</c:v>
                </c:pt>
                <c:pt idx="11">
                  <c:v>859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71328"/>
        <c:axId val="194669368"/>
      </c:lineChart>
      <c:catAx>
        <c:axId val="194671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69368"/>
        <c:crosses val="autoZero"/>
        <c:auto val="1"/>
        <c:lblAlgn val="ctr"/>
        <c:lblOffset val="100"/>
        <c:noMultiLvlLbl val="0"/>
      </c:catAx>
      <c:valAx>
        <c:axId val="194669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7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'03.11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'03.11 Maya-Masaka'!$C$59:$N$59</c:f>
              <c:numCache>
                <c:formatCode>0.0%</c:formatCode>
                <c:ptCount val="12"/>
                <c:pt idx="0">
                  <c:v>0.31677343443587397</c:v>
                </c:pt>
                <c:pt idx="1">
                  <c:v>6.8374950973983523E-2</c:v>
                </c:pt>
                <c:pt idx="2">
                  <c:v>4.5496143286704142E-2</c:v>
                </c:pt>
                <c:pt idx="3">
                  <c:v>0.19832657863773043</c:v>
                </c:pt>
                <c:pt idx="4">
                  <c:v>1.7649365930186952E-2</c:v>
                </c:pt>
                <c:pt idx="5">
                  <c:v>1.5034645051640738E-2</c:v>
                </c:pt>
                <c:pt idx="6">
                  <c:v>0.12132304876454439</c:v>
                </c:pt>
                <c:pt idx="7">
                  <c:v>5.3601778010197408E-3</c:v>
                </c:pt>
                <c:pt idx="8">
                  <c:v>4.8372336253104985E-3</c:v>
                </c:pt>
                <c:pt idx="9">
                  <c:v>1.0981827689894103E-2</c:v>
                </c:pt>
                <c:pt idx="10">
                  <c:v>0.1957118577591842</c:v>
                </c:pt>
                <c:pt idx="11">
                  <c:v>1.3073604392731077E-4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'03.11 Maya-Masaka'!$S$9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Maya-Masaka'!$S$10:$S$21</c:f>
              <c:numCache>
                <c:formatCode>0</c:formatCode>
                <c:ptCount val="12"/>
                <c:pt idx="0">
                  <c:v>93</c:v>
                </c:pt>
                <c:pt idx="1">
                  <c:v>142</c:v>
                </c:pt>
                <c:pt idx="2">
                  <c:v>170</c:v>
                </c:pt>
                <c:pt idx="3">
                  <c:v>200</c:v>
                </c:pt>
                <c:pt idx="4">
                  <c:v>165</c:v>
                </c:pt>
                <c:pt idx="5">
                  <c:v>177</c:v>
                </c:pt>
                <c:pt idx="6">
                  <c:v>226</c:v>
                </c:pt>
                <c:pt idx="7">
                  <c:v>270</c:v>
                </c:pt>
                <c:pt idx="8">
                  <c:v>290</c:v>
                </c:pt>
                <c:pt idx="9">
                  <c:v>255</c:v>
                </c:pt>
                <c:pt idx="10">
                  <c:v>158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'03.11 Maya-Masaka'!$T$9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'03.11 Maya-Masaka'!$R$10:$R$21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'03.11 Maya-Masaka'!$T$10:$T$21</c:f>
              <c:numCache>
                <c:formatCode>0</c:formatCode>
                <c:ptCount val="12"/>
                <c:pt idx="0">
                  <c:v>15</c:v>
                </c:pt>
                <c:pt idx="1">
                  <c:v>21</c:v>
                </c:pt>
                <c:pt idx="2">
                  <c:v>40</c:v>
                </c:pt>
                <c:pt idx="3">
                  <c:v>45</c:v>
                </c:pt>
                <c:pt idx="4">
                  <c:v>25</c:v>
                </c:pt>
                <c:pt idx="5">
                  <c:v>43</c:v>
                </c:pt>
                <c:pt idx="6">
                  <c:v>35</c:v>
                </c:pt>
                <c:pt idx="7">
                  <c:v>81</c:v>
                </c:pt>
                <c:pt idx="8">
                  <c:v>51</c:v>
                </c:pt>
                <c:pt idx="9">
                  <c:v>65</c:v>
                </c:pt>
                <c:pt idx="10">
                  <c:v>23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'03.11 Maya-Masaka'!$U$9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Maya-Masaka'!$U$10:$U$21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26</c:v>
                </c:pt>
                <c:pt idx="3">
                  <c:v>11</c:v>
                </c:pt>
                <c:pt idx="4">
                  <c:v>11</c:v>
                </c:pt>
                <c:pt idx="5">
                  <c:v>25</c:v>
                </c:pt>
                <c:pt idx="6">
                  <c:v>17</c:v>
                </c:pt>
                <c:pt idx="7">
                  <c:v>76</c:v>
                </c:pt>
                <c:pt idx="8">
                  <c:v>47</c:v>
                </c:pt>
                <c:pt idx="9">
                  <c:v>45</c:v>
                </c:pt>
                <c:pt idx="10">
                  <c:v>23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'03.11 Maya-Masaka'!$V$9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Maya-Masaka'!$V$10:$V$21</c:f>
              <c:numCache>
                <c:formatCode>0</c:formatCode>
                <c:ptCount val="12"/>
                <c:pt idx="0">
                  <c:v>88</c:v>
                </c:pt>
                <c:pt idx="1">
                  <c:v>87</c:v>
                </c:pt>
                <c:pt idx="2">
                  <c:v>85</c:v>
                </c:pt>
                <c:pt idx="3">
                  <c:v>121</c:v>
                </c:pt>
                <c:pt idx="4">
                  <c:v>119</c:v>
                </c:pt>
                <c:pt idx="5">
                  <c:v>127</c:v>
                </c:pt>
                <c:pt idx="6">
                  <c:v>163</c:v>
                </c:pt>
                <c:pt idx="7">
                  <c:v>107</c:v>
                </c:pt>
                <c:pt idx="8">
                  <c:v>187</c:v>
                </c:pt>
                <c:pt idx="9">
                  <c:v>132</c:v>
                </c:pt>
                <c:pt idx="10">
                  <c:v>154</c:v>
                </c:pt>
                <c:pt idx="11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'03.11 Maya-Masaka'!$W$9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Maya-Masaka'!$W$10:$W$21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12</c:v>
                </c:pt>
                <c:pt idx="3">
                  <c:v>5</c:v>
                </c:pt>
                <c:pt idx="4">
                  <c:v>11</c:v>
                </c:pt>
                <c:pt idx="5">
                  <c:v>10</c:v>
                </c:pt>
                <c:pt idx="6">
                  <c:v>10</c:v>
                </c:pt>
                <c:pt idx="7">
                  <c:v>13</c:v>
                </c:pt>
                <c:pt idx="8">
                  <c:v>16</c:v>
                </c:pt>
                <c:pt idx="9">
                  <c:v>22</c:v>
                </c:pt>
                <c:pt idx="10">
                  <c:v>20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'03.11 Maya-Masaka'!$X$9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Maya-Masaka'!$X$10:$X$21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7</c:v>
                </c:pt>
                <c:pt idx="4">
                  <c:v>4</c:v>
                </c:pt>
                <c:pt idx="5">
                  <c:v>9</c:v>
                </c:pt>
                <c:pt idx="6">
                  <c:v>6</c:v>
                </c:pt>
                <c:pt idx="7">
                  <c:v>10</c:v>
                </c:pt>
                <c:pt idx="8">
                  <c:v>13</c:v>
                </c:pt>
                <c:pt idx="9">
                  <c:v>20</c:v>
                </c:pt>
                <c:pt idx="10">
                  <c:v>21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'03.11 Maya-Masaka'!$Y$9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Maya-Masaka'!$Y$10:$Y$21</c:f>
              <c:numCache>
                <c:formatCode>0</c:formatCode>
                <c:ptCount val="12"/>
                <c:pt idx="0">
                  <c:v>43</c:v>
                </c:pt>
                <c:pt idx="1">
                  <c:v>50</c:v>
                </c:pt>
                <c:pt idx="2">
                  <c:v>55</c:v>
                </c:pt>
                <c:pt idx="3">
                  <c:v>32</c:v>
                </c:pt>
                <c:pt idx="4">
                  <c:v>55</c:v>
                </c:pt>
                <c:pt idx="5">
                  <c:v>57</c:v>
                </c:pt>
                <c:pt idx="6">
                  <c:v>56</c:v>
                </c:pt>
                <c:pt idx="7">
                  <c:v>87</c:v>
                </c:pt>
                <c:pt idx="8">
                  <c:v>135</c:v>
                </c:pt>
                <c:pt idx="9">
                  <c:v>131</c:v>
                </c:pt>
                <c:pt idx="10">
                  <c:v>107</c:v>
                </c:pt>
                <c:pt idx="11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'03.11 Maya-Masaka'!$Z$9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13</c:v>
                </c:pt>
                <c:pt idx="9">
                  <c:v>5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'03.11 Maya-Masaka'!$AA$9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'03.11 Maya-Masaka'!$AB$9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Maya-Masaka'!$AB$10:$AB$21</c:f>
              <c:numCache>
                <c:formatCode>0</c:formatCode>
                <c:ptCount val="12"/>
                <c:pt idx="0">
                  <c:v>3</c:v>
                </c:pt>
                <c:pt idx="1">
                  <c:v>11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10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11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'03.11 Maya-Masaka'!$AC$9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Maya-Masaka'!$AC$10:$AC$21</c:f>
              <c:numCache>
                <c:formatCode>0</c:formatCode>
                <c:ptCount val="12"/>
                <c:pt idx="0">
                  <c:v>66</c:v>
                </c:pt>
                <c:pt idx="1">
                  <c:v>96</c:v>
                </c:pt>
                <c:pt idx="2">
                  <c:v>109</c:v>
                </c:pt>
                <c:pt idx="3">
                  <c:v>86</c:v>
                </c:pt>
                <c:pt idx="4">
                  <c:v>99</c:v>
                </c:pt>
                <c:pt idx="5">
                  <c:v>122</c:v>
                </c:pt>
                <c:pt idx="6">
                  <c:v>173</c:v>
                </c:pt>
                <c:pt idx="7">
                  <c:v>116</c:v>
                </c:pt>
                <c:pt idx="8">
                  <c:v>169</c:v>
                </c:pt>
                <c:pt idx="9">
                  <c:v>165</c:v>
                </c:pt>
                <c:pt idx="10">
                  <c:v>143</c:v>
                </c:pt>
                <c:pt idx="11">
                  <c:v>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'03.11 Maya-Masaka'!$AD$9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'03.11 Maya-Masaka'!$AD$10:$AD$21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67408"/>
        <c:axId val="194668192"/>
      </c:lineChart>
      <c:catAx>
        <c:axId val="19466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68192"/>
        <c:crosses val="autoZero"/>
        <c:auto val="1"/>
        <c:lblAlgn val="ctr"/>
        <c:lblOffset val="100"/>
        <c:noMultiLvlLbl val="0"/>
      </c:catAx>
      <c:valAx>
        <c:axId val="19466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'03.11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'03.11 Maya-Masaka'!$C$60:$N$60</c:f>
              <c:numCache>
                <c:formatCode>0.00%</c:formatCode>
                <c:ptCount val="12"/>
                <c:pt idx="0">
                  <c:v>0.39385565669700912</c:v>
                </c:pt>
                <c:pt idx="1">
                  <c:v>8.501300390117035E-2</c:v>
                </c:pt>
                <c:pt idx="2">
                  <c:v>5.6566970091027305E-2</c:v>
                </c:pt>
                <c:pt idx="3">
                  <c:v>0.24658647594278282</c:v>
                </c:pt>
                <c:pt idx="4">
                  <c:v>2.1944083224967489E-2</c:v>
                </c:pt>
                <c:pt idx="5">
                  <c:v>1.8693107932379716E-2</c:v>
                </c:pt>
                <c:pt idx="6">
                  <c:v>0.15084525357607281</c:v>
                </c:pt>
                <c:pt idx="7">
                  <c:v>6.6644993498049419E-3</c:v>
                </c:pt>
                <c:pt idx="8">
                  <c:v>6.0143042912873864E-3</c:v>
                </c:pt>
                <c:pt idx="9">
                  <c:v>1.3654096228868661E-2</c:v>
                </c:pt>
                <c:pt idx="11">
                  <c:v>1.6254876462938882E-4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Masaka-Maya'!$AE$9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Masaka-Maya'!$R$10:$R$33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Masaka-Maya'!$AE$10:$AE$33</c:f>
              <c:numCache>
                <c:formatCode>0</c:formatCode>
                <c:ptCount val="24"/>
                <c:pt idx="0">
                  <c:v>214.42857142857142</c:v>
                </c:pt>
                <c:pt idx="1">
                  <c:v>228.14285714285711</c:v>
                </c:pt>
                <c:pt idx="2">
                  <c:v>246.42857142857144</c:v>
                </c:pt>
                <c:pt idx="3">
                  <c:v>258.71428571428572</c:v>
                </c:pt>
                <c:pt idx="4">
                  <c:v>251.99999999999997</c:v>
                </c:pt>
                <c:pt idx="5">
                  <c:v>282.85714285714283</c:v>
                </c:pt>
                <c:pt idx="6">
                  <c:v>281.28571428571428</c:v>
                </c:pt>
                <c:pt idx="7">
                  <c:v>310.42857142857144</c:v>
                </c:pt>
                <c:pt idx="8">
                  <c:v>356.42857142857144</c:v>
                </c:pt>
                <c:pt idx="9">
                  <c:v>428.57142857142861</c:v>
                </c:pt>
                <c:pt idx="10">
                  <c:v>473</c:v>
                </c:pt>
                <c:pt idx="11">
                  <c:v>534.71428571428567</c:v>
                </c:pt>
                <c:pt idx="12">
                  <c:v>508.5</c:v>
                </c:pt>
                <c:pt idx="13">
                  <c:v>405</c:v>
                </c:pt>
                <c:pt idx="14">
                  <c:v>416</c:v>
                </c:pt>
                <c:pt idx="15">
                  <c:v>290.5</c:v>
                </c:pt>
                <c:pt idx="16">
                  <c:v>266</c:v>
                </c:pt>
                <c:pt idx="17">
                  <c:v>162</c:v>
                </c:pt>
                <c:pt idx="18">
                  <c:v>164</c:v>
                </c:pt>
                <c:pt idx="19">
                  <c:v>161.5</c:v>
                </c:pt>
                <c:pt idx="20">
                  <c:v>129</c:v>
                </c:pt>
                <c:pt idx="21">
                  <c:v>111</c:v>
                </c:pt>
                <c:pt idx="22">
                  <c:v>150.5</c:v>
                </c:pt>
                <c:pt idx="23">
                  <c:v>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Masaka-Maya'!$AF$9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Masaka-Maya'!$R$10:$R$33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Masaka-Maya'!$AF$10:$AF$33</c:f>
              <c:numCache>
                <c:formatCode>0</c:formatCode>
                <c:ptCount val="24"/>
                <c:pt idx="0">
                  <c:v>325.14285714285717</c:v>
                </c:pt>
                <c:pt idx="1">
                  <c:v>338.28571428571422</c:v>
                </c:pt>
                <c:pt idx="2">
                  <c:v>346.57142857142861</c:v>
                </c:pt>
                <c:pt idx="3">
                  <c:v>345.71428571428572</c:v>
                </c:pt>
                <c:pt idx="4">
                  <c:v>340.28571428571428</c:v>
                </c:pt>
                <c:pt idx="5">
                  <c:v>373.42857142857139</c:v>
                </c:pt>
                <c:pt idx="6">
                  <c:v>357.14285714285711</c:v>
                </c:pt>
                <c:pt idx="7">
                  <c:v>388.57142857142861</c:v>
                </c:pt>
                <c:pt idx="8">
                  <c:v>444.85714285714283</c:v>
                </c:pt>
                <c:pt idx="9">
                  <c:v>540.14285714285711</c:v>
                </c:pt>
                <c:pt idx="10">
                  <c:v>605.28571428571433</c:v>
                </c:pt>
                <c:pt idx="11">
                  <c:v>660.42857142857133</c:v>
                </c:pt>
                <c:pt idx="12">
                  <c:v>598.5</c:v>
                </c:pt>
                <c:pt idx="13">
                  <c:v>483</c:v>
                </c:pt>
                <c:pt idx="14">
                  <c:v>463</c:v>
                </c:pt>
                <c:pt idx="15">
                  <c:v>329.5</c:v>
                </c:pt>
                <c:pt idx="16">
                  <c:v>286.5</c:v>
                </c:pt>
                <c:pt idx="17">
                  <c:v>170</c:v>
                </c:pt>
                <c:pt idx="18">
                  <c:v>168</c:v>
                </c:pt>
                <c:pt idx="19">
                  <c:v>164.5</c:v>
                </c:pt>
                <c:pt idx="20">
                  <c:v>135</c:v>
                </c:pt>
                <c:pt idx="21">
                  <c:v>113</c:v>
                </c:pt>
                <c:pt idx="22">
                  <c:v>162</c:v>
                </c:pt>
                <c:pt idx="23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72504"/>
        <c:axId val="194670152"/>
      </c:lineChart>
      <c:catAx>
        <c:axId val="194672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70152"/>
        <c:crosses val="autoZero"/>
        <c:auto val="1"/>
        <c:lblAlgn val="ctr"/>
        <c:lblOffset val="100"/>
        <c:noMultiLvlLbl val="0"/>
      </c:catAx>
      <c:valAx>
        <c:axId val="194670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67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Masaka-Maya'!$C$107:$N$107</c:f>
              <c:numCache>
                <c:formatCode>0.0%</c:formatCode>
                <c:ptCount val="12"/>
                <c:pt idx="0">
                  <c:v>0.23394260334813802</c:v>
                </c:pt>
                <c:pt idx="1">
                  <c:v>5.3826443457464984E-2</c:v>
                </c:pt>
                <c:pt idx="2">
                  <c:v>4.4473864024598575E-2</c:v>
                </c:pt>
                <c:pt idx="3">
                  <c:v>0.20298086778271268</c:v>
                </c:pt>
                <c:pt idx="4">
                  <c:v>1.6185514178339602E-2</c:v>
                </c:pt>
                <c:pt idx="5">
                  <c:v>1.9055346771438334E-2</c:v>
                </c:pt>
                <c:pt idx="6">
                  <c:v>0.13717970618380598</c:v>
                </c:pt>
                <c:pt idx="7">
                  <c:v>4.3833276392210463E-2</c:v>
                </c:pt>
                <c:pt idx="8">
                  <c:v>2.6383669285958325E-2</c:v>
                </c:pt>
                <c:pt idx="9">
                  <c:v>3.7137000341646742E-2</c:v>
                </c:pt>
                <c:pt idx="10">
                  <c:v>0.18496754355995898</c:v>
                </c:pt>
                <c:pt idx="11">
                  <c:v>3.4164673727365909E-5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Masaka-Maya'!$C$9:$N$9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Masaka-Maya'!$C$108:$N$108</c:f>
              <c:numCache>
                <c:formatCode>0.00%</c:formatCode>
                <c:ptCount val="12"/>
                <c:pt idx="0">
                  <c:v>0.28703470824949695</c:v>
                </c:pt>
                <c:pt idx="1">
                  <c:v>6.6042085848423873E-2</c:v>
                </c:pt>
                <c:pt idx="2">
                  <c:v>5.4566985244802149E-2</c:v>
                </c:pt>
                <c:pt idx="3">
                  <c:v>0.24904636150234738</c:v>
                </c:pt>
                <c:pt idx="4">
                  <c:v>1.9858735747820256E-2</c:v>
                </c:pt>
                <c:pt idx="5">
                  <c:v>2.3379862508383632E-2</c:v>
                </c:pt>
                <c:pt idx="6">
                  <c:v>0.16831195506371563</c:v>
                </c:pt>
                <c:pt idx="7">
                  <c:v>5.3781019450033531E-2</c:v>
                </c:pt>
                <c:pt idx="8">
                  <c:v>3.2371311200536552E-2</c:v>
                </c:pt>
                <c:pt idx="9">
                  <c:v>4.5565057008718976E-2</c:v>
                </c:pt>
                <c:pt idx="11">
                  <c:v>4.1918175720992621E-5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Maya-Masaka'!$AE$9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Maya-Masaka'!$R$10:$R$33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Maya-Masaka'!$AE$10:$AE$33</c:f>
              <c:numCache>
                <c:formatCode>0</c:formatCode>
                <c:ptCount val="24"/>
                <c:pt idx="0">
                  <c:v>295.42857142857139</c:v>
                </c:pt>
                <c:pt idx="1">
                  <c:v>347.14285714285711</c:v>
                </c:pt>
                <c:pt idx="2">
                  <c:v>353.85714285714289</c:v>
                </c:pt>
                <c:pt idx="3">
                  <c:v>424.71428571428567</c:v>
                </c:pt>
                <c:pt idx="4">
                  <c:v>464.71428571428567</c:v>
                </c:pt>
                <c:pt idx="5">
                  <c:v>456.14285714285722</c:v>
                </c:pt>
                <c:pt idx="6">
                  <c:v>466.14285714285711</c:v>
                </c:pt>
                <c:pt idx="7">
                  <c:v>448.57142857142856</c:v>
                </c:pt>
                <c:pt idx="8">
                  <c:v>425.14285714285722</c:v>
                </c:pt>
                <c:pt idx="9">
                  <c:v>424.85714285714289</c:v>
                </c:pt>
                <c:pt idx="10">
                  <c:v>384</c:v>
                </c:pt>
                <c:pt idx="11">
                  <c:v>409.57142857142856</c:v>
                </c:pt>
                <c:pt idx="12">
                  <c:v>231</c:v>
                </c:pt>
                <c:pt idx="13">
                  <c:v>250</c:v>
                </c:pt>
                <c:pt idx="14">
                  <c:v>258.5</c:v>
                </c:pt>
                <c:pt idx="15">
                  <c:v>222</c:v>
                </c:pt>
                <c:pt idx="16">
                  <c:v>229</c:v>
                </c:pt>
                <c:pt idx="17">
                  <c:v>151</c:v>
                </c:pt>
                <c:pt idx="18">
                  <c:v>74.5</c:v>
                </c:pt>
                <c:pt idx="19">
                  <c:v>62.5</c:v>
                </c:pt>
                <c:pt idx="20">
                  <c:v>49</c:v>
                </c:pt>
                <c:pt idx="21">
                  <c:v>63.5</c:v>
                </c:pt>
                <c:pt idx="22">
                  <c:v>110.5</c:v>
                </c:pt>
                <c:pt idx="23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Maya-Masaka'!$AF$9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Maya-Masaka'!$R$10:$R$33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Maya-Masaka'!$AF$10:$AF$33</c:f>
              <c:numCache>
                <c:formatCode>0</c:formatCode>
                <c:ptCount val="24"/>
                <c:pt idx="0">
                  <c:v>361.71428571428572</c:v>
                </c:pt>
                <c:pt idx="1">
                  <c:v>429.14285714285711</c:v>
                </c:pt>
                <c:pt idx="2">
                  <c:v>445.28571428571428</c:v>
                </c:pt>
                <c:pt idx="3">
                  <c:v>527.14285714285711</c:v>
                </c:pt>
                <c:pt idx="4">
                  <c:v>569.28571428571433</c:v>
                </c:pt>
                <c:pt idx="5">
                  <c:v>567.14285714285711</c:v>
                </c:pt>
                <c:pt idx="6">
                  <c:v>568.14285714285711</c:v>
                </c:pt>
                <c:pt idx="7">
                  <c:v>539</c:v>
                </c:pt>
                <c:pt idx="8">
                  <c:v>510.71428571428578</c:v>
                </c:pt>
                <c:pt idx="9">
                  <c:v>524.71428571428578</c:v>
                </c:pt>
                <c:pt idx="10">
                  <c:v>475.85714285714289</c:v>
                </c:pt>
                <c:pt idx="11">
                  <c:v>516.42857142857144</c:v>
                </c:pt>
                <c:pt idx="12">
                  <c:v>283.5</c:v>
                </c:pt>
                <c:pt idx="13">
                  <c:v>322</c:v>
                </c:pt>
                <c:pt idx="14">
                  <c:v>314</c:v>
                </c:pt>
                <c:pt idx="15">
                  <c:v>260.5</c:v>
                </c:pt>
                <c:pt idx="16">
                  <c:v>255.5</c:v>
                </c:pt>
                <c:pt idx="17">
                  <c:v>166.5</c:v>
                </c:pt>
                <c:pt idx="18">
                  <c:v>80</c:v>
                </c:pt>
                <c:pt idx="19">
                  <c:v>67</c:v>
                </c:pt>
                <c:pt idx="20">
                  <c:v>53</c:v>
                </c:pt>
                <c:pt idx="21">
                  <c:v>65.5</c:v>
                </c:pt>
                <c:pt idx="22">
                  <c:v>126</c:v>
                </c:pt>
                <c:pt idx="23">
                  <c:v>252.5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008864"/>
        <c:axId val="193006904"/>
      </c:lineChart>
      <c:catAx>
        <c:axId val="193008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006904"/>
        <c:crosses val="autoZero"/>
        <c:auto val="1"/>
        <c:lblAlgn val="ctr"/>
        <c:lblOffset val="100"/>
        <c:noMultiLvlLbl val="0"/>
      </c:catAx>
      <c:valAx>
        <c:axId val="193006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00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Maya-Masaka'!$C$107:$N$107</c:f>
              <c:numCache>
                <c:formatCode>0.0%</c:formatCode>
                <c:ptCount val="12"/>
                <c:pt idx="0">
                  <c:v>0.25026740735628994</c:v>
                </c:pt>
                <c:pt idx="1">
                  <c:v>6.5333655372300042E-2</c:v>
                </c:pt>
                <c:pt idx="2">
                  <c:v>3.916223863087432E-2</c:v>
                </c:pt>
                <c:pt idx="3">
                  <c:v>0.20086605479262984</c:v>
                </c:pt>
                <c:pt idx="4">
                  <c:v>1.294769167069215E-2</c:v>
                </c:pt>
                <c:pt idx="5">
                  <c:v>1.6501621696225242E-2</c:v>
                </c:pt>
                <c:pt idx="6">
                  <c:v>0.13987129942723067</c:v>
                </c:pt>
                <c:pt idx="7">
                  <c:v>4.6994686357049183E-2</c:v>
                </c:pt>
                <c:pt idx="8">
                  <c:v>3.269270581740389E-2</c:v>
                </c:pt>
                <c:pt idx="9">
                  <c:v>1.9641501621696214E-2</c:v>
                </c:pt>
                <c:pt idx="10">
                  <c:v>0.17568663308260296</c:v>
                </c:pt>
                <c:pt idx="11">
                  <c:v>3.4504175005175614E-5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Maya-Masaka'!$C$9:$N$9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Maya-Masaka'!$C$108:$N$108</c:f>
              <c:numCache>
                <c:formatCode>0.00%</c:formatCode>
                <c:ptCount val="12"/>
                <c:pt idx="0">
                  <c:v>0.3036071200594383</c:v>
                </c:pt>
                <c:pt idx="1">
                  <c:v>7.9258274819225413E-2</c:v>
                </c:pt>
                <c:pt idx="2">
                  <c:v>4.7508921003338166E-2</c:v>
                </c:pt>
                <c:pt idx="3">
                  <c:v>0.24367681376293668</c:v>
                </c:pt>
                <c:pt idx="4">
                  <c:v>1.5707244587227002E-2</c:v>
                </c:pt>
                <c:pt idx="5">
                  <c:v>2.0018626845679718E-2</c:v>
                </c:pt>
                <c:pt idx="6">
                  <c:v>0.16968219252623973</c:v>
                </c:pt>
                <c:pt idx="7">
                  <c:v>5.7010705204005793E-2</c:v>
                </c:pt>
                <c:pt idx="8">
                  <c:v>3.9660530969747053E-2</c:v>
                </c:pt>
                <c:pt idx="9">
                  <c:v>2.3827712141982597E-2</c:v>
                </c:pt>
                <c:pt idx="11">
                  <c:v>4.1858080179152568E-5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Masaka-Maya-2Dir'!$C$9:$N$9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Masaka-Maya-2Dir'!$C$107:$N$107</c:f>
              <c:numCache>
                <c:formatCode>0.0%</c:formatCode>
                <c:ptCount val="12"/>
                <c:pt idx="0">
                  <c:v>0.24156338306406586</c:v>
                </c:pt>
                <c:pt idx="1">
                  <c:v>5.9590988344627963E-2</c:v>
                </c:pt>
                <c:pt idx="2">
                  <c:v>4.1858847174624444E-2</c:v>
                </c:pt>
                <c:pt idx="3">
                  <c:v>0.20206223642282287</c:v>
                </c:pt>
                <c:pt idx="4">
                  <c:v>1.45842459223376E-2</c:v>
                </c:pt>
                <c:pt idx="5">
                  <c:v>1.7796559217363669E-2</c:v>
                </c:pt>
                <c:pt idx="6">
                  <c:v>0.13861045977307668</c:v>
                </c:pt>
                <c:pt idx="7">
                  <c:v>4.5436196071358022E-2</c:v>
                </c:pt>
                <c:pt idx="8">
                  <c:v>2.9542116519364066E-2</c:v>
                </c:pt>
                <c:pt idx="9">
                  <c:v>2.8451304250732216E-2</c:v>
                </c:pt>
                <c:pt idx="10">
                  <c:v>0.18046930694770114</c:v>
                </c:pt>
                <c:pt idx="11">
                  <c:v>3.4356291925412488E-5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493858169916063E-2"/>
          <c:y val="0.15479868387238113"/>
          <c:w val="0.82101228366016787"/>
          <c:h val="0.8450700404022530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Masaka-Maya-2Dir'!$C$9:$N$9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Masaka-Maya-2Dir'!$C$108:$N$108</c:f>
              <c:numCache>
                <c:formatCode>0.00%</c:formatCode>
                <c:ptCount val="12"/>
                <c:pt idx="0">
                  <c:v>0.29475818918309915</c:v>
                </c:pt>
                <c:pt idx="1">
                  <c:v>7.2713552829466913E-2</c:v>
                </c:pt>
                <c:pt idx="2">
                  <c:v>5.1076607050217215E-2</c:v>
                </c:pt>
                <c:pt idx="3">
                  <c:v>0.24655847320403917</c:v>
                </c:pt>
                <c:pt idx="4">
                  <c:v>1.7795850778961488E-2</c:v>
                </c:pt>
                <c:pt idx="5">
                  <c:v>2.1715549360428861E-2</c:v>
                </c:pt>
                <c:pt idx="6">
                  <c:v>0.16913394574256804</c:v>
                </c:pt>
                <c:pt idx="7">
                  <c:v>5.5441725925033152E-2</c:v>
                </c:pt>
                <c:pt idx="8">
                  <c:v>3.6047602328762099E-2</c:v>
                </c:pt>
                <c:pt idx="9">
                  <c:v>3.4716581687461681E-2</c:v>
                </c:pt>
                <c:pt idx="11">
                  <c:v>4.1921909962217875E-5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Masaka-Maya-2Dir'!$S$9:$AF$9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Masaka-Maya-2Dir'!$S$41:$AF$41</c:f>
              <c:numCache>
                <c:formatCode>_-* #,##0_-;\-* #,##0_-;_-* "-"_-;_-@_-</c:formatCode>
                <c:ptCount val="14"/>
                <c:pt idx="0">
                  <c:v>4017.7857142857142</c:v>
                </c:pt>
                <c:pt idx="1">
                  <c:v>991.14285714285711</c:v>
                </c:pt>
                <c:pt idx="2">
                  <c:v>696.21428571428567</c:v>
                </c:pt>
                <c:pt idx="3">
                  <c:v>3360.7857142857142</c:v>
                </c:pt>
                <c:pt idx="4">
                  <c:v>242.57142857142856</c:v>
                </c:pt>
                <c:pt idx="5">
                  <c:v>296</c:v>
                </c:pt>
                <c:pt idx="6">
                  <c:v>2305.4285714285716</c:v>
                </c:pt>
                <c:pt idx="7">
                  <c:v>755.71428571428578</c:v>
                </c:pt>
                <c:pt idx="8">
                  <c:v>491.35714285714289</c:v>
                </c:pt>
                <c:pt idx="9">
                  <c:v>473.21428571428572</c:v>
                </c:pt>
                <c:pt idx="10">
                  <c:v>3001.6428571428573</c:v>
                </c:pt>
                <c:pt idx="11">
                  <c:v>0.5714285714285714</c:v>
                </c:pt>
                <c:pt idx="12">
                  <c:v>13630.785714285714</c:v>
                </c:pt>
                <c:pt idx="13">
                  <c:v>16632.428571428572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B-4520-8684-D5E96D100C1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Masaka-Maya-2Dir'!$S$9:$AF$9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Masaka-Maya-2Dir'!$S$42:$AF$42</c:f>
              <c:numCache>
                <c:formatCode>0.000</c:formatCode>
                <c:ptCount val="14"/>
                <c:pt idx="0">
                  <c:v>1.3508405379442843</c:v>
                </c:pt>
                <c:pt idx="1">
                  <c:v>1.5059691773388322</c:v>
                </c:pt>
                <c:pt idx="2">
                  <c:v>1.4044668587896254</c:v>
                </c:pt>
                <c:pt idx="3">
                  <c:v>1.4054304319254436</c:v>
                </c:pt>
                <c:pt idx="4">
                  <c:v>1.7014028056112225</c:v>
                </c:pt>
                <c:pt idx="5">
                  <c:v>2.1764705882352939</c:v>
                </c:pt>
                <c:pt idx="6">
                  <c:v>1.7633304195804196</c:v>
                </c:pt>
                <c:pt idx="7">
                  <c:v>2.5383877159309023</c:v>
                </c:pt>
                <c:pt idx="8">
                  <c:v>3.1935933147632314</c:v>
                </c:pt>
                <c:pt idx="9">
                  <c:v>2.2564713896457764</c:v>
                </c:pt>
                <c:pt idx="10">
                  <c:v>1.2865233896644623</c:v>
                </c:pt>
                <c:pt idx="11">
                  <c:v>1</c:v>
                </c:pt>
                <c:pt idx="12">
                  <c:v>1.5547326913362989</c:v>
                </c:pt>
                <c:pt idx="13">
                  <c:v>1.4983591367128684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7E-4441-BDC9-7B284C6FEA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Masaka-Maya-2Dir'!$AE$9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Masaka-Maya-2Dir'!$R$10:$R$33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Masaka-Maya-2Dir'!$AE$10:$AE$33</c:f>
              <c:numCache>
                <c:formatCode>0</c:formatCode>
                <c:ptCount val="24"/>
                <c:pt idx="0">
                  <c:v>509.85714285714289</c:v>
                </c:pt>
                <c:pt idx="1">
                  <c:v>575.28571428571433</c:v>
                </c:pt>
                <c:pt idx="2">
                  <c:v>600.28571428571422</c:v>
                </c:pt>
                <c:pt idx="3">
                  <c:v>683.42857142857144</c:v>
                </c:pt>
                <c:pt idx="4">
                  <c:v>716.71428571428578</c:v>
                </c:pt>
                <c:pt idx="5">
                  <c:v>739</c:v>
                </c:pt>
                <c:pt idx="6">
                  <c:v>747.42857142857156</c:v>
                </c:pt>
                <c:pt idx="7">
                  <c:v>759</c:v>
                </c:pt>
                <c:pt idx="8">
                  <c:v>781.57142857142844</c:v>
                </c:pt>
                <c:pt idx="9">
                  <c:v>853.42857142857133</c:v>
                </c:pt>
                <c:pt idx="10">
                  <c:v>857</c:v>
                </c:pt>
                <c:pt idx="11">
                  <c:v>944.28571428571445</c:v>
                </c:pt>
                <c:pt idx="12">
                  <c:v>728.5</c:v>
                </c:pt>
                <c:pt idx="13">
                  <c:v>655</c:v>
                </c:pt>
                <c:pt idx="14">
                  <c:v>674.5</c:v>
                </c:pt>
                <c:pt idx="15">
                  <c:v>512.5</c:v>
                </c:pt>
                <c:pt idx="16">
                  <c:v>495</c:v>
                </c:pt>
                <c:pt idx="17">
                  <c:v>313</c:v>
                </c:pt>
                <c:pt idx="18">
                  <c:v>238.5</c:v>
                </c:pt>
                <c:pt idx="19">
                  <c:v>224</c:v>
                </c:pt>
                <c:pt idx="20">
                  <c:v>178</c:v>
                </c:pt>
                <c:pt idx="21">
                  <c:v>174.5</c:v>
                </c:pt>
                <c:pt idx="22">
                  <c:v>261</c:v>
                </c:pt>
                <c:pt idx="23">
                  <c:v>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D3-4D49-9DBA-33C2C25BB5DB}"/>
            </c:ext>
          </c:extLst>
        </c:ser>
        <c:ser>
          <c:idx val="1"/>
          <c:order val="1"/>
          <c:tx>
            <c:strRef>
              <c:f>'Avg Week Masaka-Maya-2Dir'!$AF$9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Masaka-Maya-2Dir'!$R$10:$R$33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Masaka-Maya-2Dir'!$AF$10:$AF$33</c:f>
              <c:numCache>
                <c:formatCode>0</c:formatCode>
                <c:ptCount val="24"/>
                <c:pt idx="0">
                  <c:v>686.85714285714289</c:v>
                </c:pt>
                <c:pt idx="1">
                  <c:v>767.42857142857144</c:v>
                </c:pt>
                <c:pt idx="2">
                  <c:v>791.85714285714289</c:v>
                </c:pt>
                <c:pt idx="3">
                  <c:v>872.85714285714289</c:v>
                </c:pt>
                <c:pt idx="4">
                  <c:v>909.57142857142844</c:v>
                </c:pt>
                <c:pt idx="5">
                  <c:v>940.57142857142844</c:v>
                </c:pt>
                <c:pt idx="6">
                  <c:v>925.28571428571433</c:v>
                </c:pt>
                <c:pt idx="7">
                  <c:v>927.57142857142867</c:v>
                </c:pt>
                <c:pt idx="8">
                  <c:v>955.57142857142856</c:v>
                </c:pt>
                <c:pt idx="9">
                  <c:v>1064.8571428571427</c:v>
                </c:pt>
                <c:pt idx="10">
                  <c:v>1081.1428571428571</c:v>
                </c:pt>
                <c:pt idx="11">
                  <c:v>1176.8571428571429</c:v>
                </c:pt>
                <c:pt idx="12">
                  <c:v>871</c:v>
                </c:pt>
                <c:pt idx="13">
                  <c:v>805</c:v>
                </c:pt>
                <c:pt idx="14">
                  <c:v>777</c:v>
                </c:pt>
                <c:pt idx="15">
                  <c:v>590</c:v>
                </c:pt>
                <c:pt idx="16">
                  <c:v>542</c:v>
                </c:pt>
                <c:pt idx="17">
                  <c:v>336.5</c:v>
                </c:pt>
                <c:pt idx="18">
                  <c:v>248</c:v>
                </c:pt>
                <c:pt idx="19">
                  <c:v>231.5</c:v>
                </c:pt>
                <c:pt idx="20">
                  <c:v>188</c:v>
                </c:pt>
                <c:pt idx="21">
                  <c:v>178.5</c:v>
                </c:pt>
                <c:pt idx="22">
                  <c:v>288</c:v>
                </c:pt>
                <c:pt idx="23">
                  <c:v>476.5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9D3-4D49-9DBA-33C2C25BB5DB}"/>
            </c:ext>
          </c:extLst>
        </c:ser>
        <c:ser>
          <c:idx val="5"/>
          <c:order val="2"/>
          <c:tx>
            <c:strRef>
              <c:f>'Avg Week Masaka-Maya-2Dir'!$AC$9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Masaka-Maya-2Dir'!$R$10:$R$33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Masaka-Maya-2Dir'!$AC$10:$AC$33</c:f>
              <c:numCache>
                <c:formatCode>0</c:formatCode>
                <c:ptCount val="24"/>
                <c:pt idx="0">
                  <c:v>177</c:v>
                </c:pt>
                <c:pt idx="1">
                  <c:v>192.14285714285714</c:v>
                </c:pt>
                <c:pt idx="2">
                  <c:v>191.57142857142858</c:v>
                </c:pt>
                <c:pt idx="3">
                  <c:v>189.42857142857142</c:v>
                </c:pt>
                <c:pt idx="4">
                  <c:v>192.85714285714283</c:v>
                </c:pt>
                <c:pt idx="5">
                  <c:v>201.57142857142856</c:v>
                </c:pt>
                <c:pt idx="6">
                  <c:v>177.85714285714286</c:v>
                </c:pt>
                <c:pt idx="7">
                  <c:v>168.57142857142856</c:v>
                </c:pt>
                <c:pt idx="8">
                  <c:v>174</c:v>
                </c:pt>
                <c:pt idx="9">
                  <c:v>211.42857142857144</c:v>
                </c:pt>
                <c:pt idx="10">
                  <c:v>224.14285714285714</c:v>
                </c:pt>
                <c:pt idx="11">
                  <c:v>232.57142857142856</c:v>
                </c:pt>
                <c:pt idx="12">
                  <c:v>142.5</c:v>
                </c:pt>
                <c:pt idx="13">
                  <c:v>150</c:v>
                </c:pt>
                <c:pt idx="14">
                  <c:v>102.5</c:v>
                </c:pt>
                <c:pt idx="15">
                  <c:v>77.5</c:v>
                </c:pt>
                <c:pt idx="16">
                  <c:v>47</c:v>
                </c:pt>
                <c:pt idx="17">
                  <c:v>23.5</c:v>
                </c:pt>
                <c:pt idx="18">
                  <c:v>9.5</c:v>
                </c:pt>
                <c:pt idx="19">
                  <c:v>7.5</c:v>
                </c:pt>
                <c:pt idx="20">
                  <c:v>10</c:v>
                </c:pt>
                <c:pt idx="21">
                  <c:v>4</c:v>
                </c:pt>
                <c:pt idx="22">
                  <c:v>27</c:v>
                </c:pt>
                <c:pt idx="23">
                  <c:v>67.5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D3-4D49-9DBA-33C2C25BB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279400</xdr:rowOff>
    </xdr:from>
    <xdr:to>
      <xdr:col>23</xdr:col>
      <xdr:colOff>0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59</xdr:row>
      <xdr:rowOff>15876</xdr:rowOff>
    </xdr:from>
    <xdr:to>
      <xdr:col>31</xdr:col>
      <xdr:colOff>15875</xdr:colOff>
      <xdr:row>74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28</xdr:col>
      <xdr:colOff>0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23</xdr:col>
      <xdr:colOff>15875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59</xdr:row>
      <xdr:rowOff>15876</xdr:rowOff>
    </xdr:from>
    <xdr:to>
      <xdr:col>30</xdr:col>
      <xdr:colOff>698501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23</xdr:col>
      <xdr:colOff>698500</xdr:colOff>
      <xdr:row>74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222251</xdr:rowOff>
    </xdr:from>
    <xdr:to>
      <xdr:col>23</xdr:col>
      <xdr:colOff>698500</xdr:colOff>
      <xdr:row>90</xdr:row>
      <xdr:rowOff>238125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58</xdr:row>
      <xdr:rowOff>271462</xdr:rowOff>
    </xdr:from>
    <xdr:to>
      <xdr:col>31</xdr:col>
      <xdr:colOff>1</xdr:colOff>
      <xdr:row>74</xdr:row>
      <xdr:rowOff>238125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D2C7E79-7B62-4E4A-A6C6-8C0CBFDF75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15875</xdr:colOff>
      <xdr:row>74</xdr:row>
      <xdr:rowOff>223837</xdr:rowOff>
    </xdr:from>
    <xdr:to>
      <xdr:col>31</xdr:col>
      <xdr:colOff>15875</xdr:colOff>
      <xdr:row>90</xdr:row>
      <xdr:rowOff>238125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3E97DA5-CC73-4F93-AEBF-1B88BF9F7C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15875</xdr:colOff>
      <xdr:row>43</xdr:row>
      <xdr:rowOff>15875</xdr:rowOff>
    </xdr:from>
    <xdr:to>
      <xdr:col>30</xdr:col>
      <xdr:colOff>15875</xdr:colOff>
      <xdr:row>58</xdr:row>
      <xdr:rowOff>269875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B93CD2E-6CB2-4414-983D-DDDD887D8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166</v>
      </c>
      <c r="H5" s="58"/>
      <c r="I5" s="14"/>
      <c r="J5" s="2" t="s">
        <v>5</v>
      </c>
      <c r="K5" s="57" t="s">
        <v>167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19</v>
      </c>
      <c r="D10" s="50">
        <v>3</v>
      </c>
      <c r="E10" s="50">
        <v>4</v>
      </c>
      <c r="F10" s="50">
        <v>22</v>
      </c>
      <c r="G10" s="50">
        <v>1</v>
      </c>
      <c r="H10" s="50">
        <v>1</v>
      </c>
      <c r="I10" s="50">
        <v>10</v>
      </c>
      <c r="J10" s="50">
        <v>5</v>
      </c>
      <c r="K10" s="50">
        <v>1</v>
      </c>
      <c r="L10" s="50">
        <v>4</v>
      </c>
      <c r="M10" s="50">
        <v>33</v>
      </c>
      <c r="N10" s="50">
        <v>0</v>
      </c>
      <c r="O10" s="15">
        <f t="shared" ref="O10:O57" si="0">SUM(C10:L10,N10)</f>
        <v>70</v>
      </c>
      <c r="P10" s="15">
        <f t="shared" ref="P10:P57" si="1">SUM(C10:N10)</f>
        <v>103</v>
      </c>
      <c r="R10" s="1" t="s">
        <v>6</v>
      </c>
      <c r="S10" s="17">
        <f t="shared" ref="S10:AF10" si="2">SUM(C10:C13)</f>
        <v>89</v>
      </c>
      <c r="T10" s="17">
        <f t="shared" si="2"/>
        <v>20</v>
      </c>
      <c r="U10" s="17">
        <f t="shared" si="2"/>
        <v>11</v>
      </c>
      <c r="V10" s="17">
        <f t="shared" si="2"/>
        <v>100</v>
      </c>
      <c r="W10" s="17">
        <f t="shared" si="2"/>
        <v>5</v>
      </c>
      <c r="X10" s="17">
        <f t="shared" si="2"/>
        <v>5</v>
      </c>
      <c r="Y10" s="17">
        <f t="shared" si="2"/>
        <v>49</v>
      </c>
      <c r="Z10" s="17">
        <f t="shared" si="2"/>
        <v>11</v>
      </c>
      <c r="AA10" s="17">
        <f t="shared" si="2"/>
        <v>4</v>
      </c>
      <c r="AB10" s="17">
        <f t="shared" si="2"/>
        <v>11</v>
      </c>
      <c r="AC10" s="17">
        <f t="shared" si="2"/>
        <v>147</v>
      </c>
      <c r="AD10" s="17">
        <f t="shared" si="2"/>
        <v>0</v>
      </c>
      <c r="AE10" s="31">
        <f t="shared" si="2"/>
        <v>305</v>
      </c>
      <c r="AF10" s="31">
        <f t="shared" si="2"/>
        <v>452</v>
      </c>
    </row>
    <row r="11" spans="2:32" s="6" customFormat="1" ht="23.1" customHeight="1" x14ac:dyDescent="0.25">
      <c r="B11" s="23" t="s">
        <v>38</v>
      </c>
      <c r="C11" s="50">
        <v>22</v>
      </c>
      <c r="D11" s="50">
        <v>2</v>
      </c>
      <c r="E11" s="50">
        <v>2</v>
      </c>
      <c r="F11" s="50">
        <v>27</v>
      </c>
      <c r="G11" s="50">
        <v>1</v>
      </c>
      <c r="H11" s="50">
        <v>1</v>
      </c>
      <c r="I11" s="50">
        <v>15</v>
      </c>
      <c r="J11" s="50">
        <v>1</v>
      </c>
      <c r="K11" s="50">
        <v>0</v>
      </c>
      <c r="L11" s="50">
        <v>1</v>
      </c>
      <c r="M11" s="50">
        <v>39</v>
      </c>
      <c r="N11" s="50">
        <v>0</v>
      </c>
      <c r="O11" s="15">
        <f t="shared" si="0"/>
        <v>72</v>
      </c>
      <c r="P11" s="15">
        <f t="shared" si="1"/>
        <v>111</v>
      </c>
      <c r="R11" s="1" t="s">
        <v>7</v>
      </c>
      <c r="S11" s="17">
        <f t="shared" ref="S11:AF11" si="3">SUM(C14:C17)</f>
        <v>56</v>
      </c>
      <c r="T11" s="17">
        <f t="shared" si="3"/>
        <v>24</v>
      </c>
      <c r="U11" s="17">
        <f t="shared" si="3"/>
        <v>23</v>
      </c>
      <c r="V11" s="17">
        <f t="shared" si="3"/>
        <v>110</v>
      </c>
      <c r="W11" s="17">
        <f t="shared" si="3"/>
        <v>3</v>
      </c>
      <c r="X11" s="17">
        <f t="shared" si="3"/>
        <v>0</v>
      </c>
      <c r="Y11" s="17">
        <f t="shared" si="3"/>
        <v>35</v>
      </c>
      <c r="Z11" s="17">
        <f t="shared" si="3"/>
        <v>6</v>
      </c>
      <c r="AA11" s="17">
        <f t="shared" si="3"/>
        <v>1</v>
      </c>
      <c r="AB11" s="17">
        <f t="shared" si="3"/>
        <v>5</v>
      </c>
      <c r="AC11" s="17">
        <f t="shared" si="3"/>
        <v>102</v>
      </c>
      <c r="AD11" s="17">
        <f t="shared" si="3"/>
        <v>0</v>
      </c>
      <c r="AE11" s="31">
        <f t="shared" si="3"/>
        <v>263</v>
      </c>
      <c r="AF11" s="31">
        <f t="shared" si="3"/>
        <v>365</v>
      </c>
    </row>
    <row r="12" spans="2:32" ht="23.1" customHeight="1" x14ac:dyDescent="0.25">
      <c r="B12" s="23" t="s">
        <v>39</v>
      </c>
      <c r="C12" s="50">
        <v>26</v>
      </c>
      <c r="D12" s="50">
        <v>3</v>
      </c>
      <c r="E12" s="50">
        <v>5</v>
      </c>
      <c r="F12" s="50">
        <v>25</v>
      </c>
      <c r="G12" s="50">
        <v>1</v>
      </c>
      <c r="H12" s="50">
        <v>1</v>
      </c>
      <c r="I12" s="50">
        <v>17</v>
      </c>
      <c r="J12" s="50">
        <v>1</v>
      </c>
      <c r="K12" s="50">
        <v>2</v>
      </c>
      <c r="L12" s="50">
        <v>2</v>
      </c>
      <c r="M12" s="50">
        <v>35</v>
      </c>
      <c r="N12" s="50">
        <v>0</v>
      </c>
      <c r="O12" s="15">
        <f t="shared" si="0"/>
        <v>83</v>
      </c>
      <c r="P12" s="15">
        <f t="shared" si="1"/>
        <v>118</v>
      </c>
      <c r="R12" s="1" t="s">
        <v>8</v>
      </c>
      <c r="S12" s="17">
        <f t="shared" ref="S12:AF12" si="4">SUM(C18:C21)</f>
        <v>64</v>
      </c>
      <c r="T12" s="17">
        <f t="shared" si="4"/>
        <v>14</v>
      </c>
      <c r="U12" s="17">
        <f t="shared" si="4"/>
        <v>8</v>
      </c>
      <c r="V12" s="17">
        <f t="shared" si="4"/>
        <v>95</v>
      </c>
      <c r="W12" s="17">
        <f t="shared" si="4"/>
        <v>3</v>
      </c>
      <c r="X12" s="17">
        <f t="shared" si="4"/>
        <v>4</v>
      </c>
      <c r="Y12" s="17">
        <f t="shared" si="4"/>
        <v>28</v>
      </c>
      <c r="Z12" s="17">
        <f t="shared" si="4"/>
        <v>3</v>
      </c>
      <c r="AA12" s="17">
        <f t="shared" si="4"/>
        <v>1</v>
      </c>
      <c r="AB12" s="17">
        <f t="shared" si="4"/>
        <v>7</v>
      </c>
      <c r="AC12" s="17">
        <f t="shared" si="4"/>
        <v>102</v>
      </c>
      <c r="AD12" s="17">
        <f t="shared" si="4"/>
        <v>0</v>
      </c>
      <c r="AE12" s="31">
        <f t="shared" si="4"/>
        <v>227</v>
      </c>
      <c r="AF12" s="31">
        <f t="shared" si="4"/>
        <v>329</v>
      </c>
    </row>
    <row r="13" spans="2:32" ht="23.1" customHeight="1" x14ac:dyDescent="0.25">
      <c r="B13" s="23" t="s">
        <v>40</v>
      </c>
      <c r="C13" s="50">
        <v>22</v>
      </c>
      <c r="D13" s="50">
        <v>12</v>
      </c>
      <c r="E13" s="50">
        <v>0</v>
      </c>
      <c r="F13" s="50">
        <v>26</v>
      </c>
      <c r="G13" s="50">
        <v>2</v>
      </c>
      <c r="H13" s="50">
        <v>2</v>
      </c>
      <c r="I13" s="50">
        <v>7</v>
      </c>
      <c r="J13" s="50">
        <v>4</v>
      </c>
      <c r="K13" s="50">
        <v>1</v>
      </c>
      <c r="L13" s="50">
        <v>4</v>
      </c>
      <c r="M13" s="50">
        <v>40</v>
      </c>
      <c r="N13" s="50">
        <v>0</v>
      </c>
      <c r="O13" s="15">
        <f t="shared" si="0"/>
        <v>80</v>
      </c>
      <c r="P13" s="15">
        <f t="shared" si="1"/>
        <v>120</v>
      </c>
      <c r="R13" s="1" t="s">
        <v>9</v>
      </c>
      <c r="S13" s="17">
        <f t="shared" ref="S13:AF13" si="5">SUM(C22:C25)</f>
        <v>67</v>
      </c>
      <c r="T13" s="17">
        <f t="shared" si="5"/>
        <v>24</v>
      </c>
      <c r="U13" s="17">
        <f t="shared" si="5"/>
        <v>12</v>
      </c>
      <c r="V13" s="17">
        <f t="shared" si="5"/>
        <v>95</v>
      </c>
      <c r="W13" s="17">
        <f t="shared" si="5"/>
        <v>4</v>
      </c>
      <c r="X13" s="17">
        <f t="shared" si="5"/>
        <v>2</v>
      </c>
      <c r="Y13" s="17">
        <f t="shared" si="5"/>
        <v>37</v>
      </c>
      <c r="Z13" s="17">
        <f t="shared" si="5"/>
        <v>9</v>
      </c>
      <c r="AA13" s="17">
        <f t="shared" si="5"/>
        <v>2</v>
      </c>
      <c r="AB13" s="17">
        <f t="shared" si="5"/>
        <v>13</v>
      </c>
      <c r="AC13" s="17">
        <f t="shared" si="5"/>
        <v>76</v>
      </c>
      <c r="AD13" s="17">
        <f t="shared" si="5"/>
        <v>0</v>
      </c>
      <c r="AE13" s="31">
        <f t="shared" si="5"/>
        <v>265</v>
      </c>
      <c r="AF13" s="31">
        <f t="shared" si="5"/>
        <v>341</v>
      </c>
    </row>
    <row r="14" spans="2:32" ht="23.1" customHeight="1" x14ac:dyDescent="0.25">
      <c r="B14" s="23" t="s">
        <v>41</v>
      </c>
      <c r="C14" s="50">
        <v>14</v>
      </c>
      <c r="D14" s="50">
        <v>3</v>
      </c>
      <c r="E14" s="50">
        <v>2</v>
      </c>
      <c r="F14" s="50">
        <v>34</v>
      </c>
      <c r="G14" s="50">
        <v>0</v>
      </c>
      <c r="H14" s="50">
        <v>0</v>
      </c>
      <c r="I14" s="50">
        <v>5</v>
      </c>
      <c r="J14" s="50">
        <v>2</v>
      </c>
      <c r="K14" s="50">
        <v>0</v>
      </c>
      <c r="L14" s="50">
        <v>2</v>
      </c>
      <c r="M14" s="50">
        <v>38</v>
      </c>
      <c r="N14" s="50">
        <v>0</v>
      </c>
      <c r="O14" s="15">
        <f t="shared" si="0"/>
        <v>62</v>
      </c>
      <c r="P14" s="15">
        <f t="shared" si="1"/>
        <v>100</v>
      </c>
      <c r="R14" s="1" t="s">
        <v>10</v>
      </c>
      <c r="S14" s="17">
        <f t="shared" ref="S14:AF14" si="6">SUM(C26:C29)</f>
        <v>71</v>
      </c>
      <c r="T14" s="17">
        <f t="shared" si="6"/>
        <v>13</v>
      </c>
      <c r="U14" s="17">
        <f t="shared" si="6"/>
        <v>9</v>
      </c>
      <c r="V14" s="17">
        <f t="shared" si="6"/>
        <v>75</v>
      </c>
      <c r="W14" s="17">
        <f t="shared" si="6"/>
        <v>4</v>
      </c>
      <c r="X14" s="17">
        <f t="shared" si="6"/>
        <v>1</v>
      </c>
      <c r="Y14" s="17">
        <f t="shared" si="6"/>
        <v>29</v>
      </c>
      <c r="Z14" s="17">
        <f t="shared" si="6"/>
        <v>5</v>
      </c>
      <c r="AA14" s="17">
        <f t="shared" si="6"/>
        <v>1</v>
      </c>
      <c r="AB14" s="17">
        <f t="shared" si="6"/>
        <v>7</v>
      </c>
      <c r="AC14" s="17">
        <f t="shared" si="6"/>
        <v>81</v>
      </c>
      <c r="AD14" s="17">
        <f t="shared" si="6"/>
        <v>0</v>
      </c>
      <c r="AE14" s="31">
        <f t="shared" si="6"/>
        <v>215</v>
      </c>
      <c r="AF14" s="31">
        <f t="shared" si="6"/>
        <v>296</v>
      </c>
    </row>
    <row r="15" spans="2:32" ht="23.1" customHeight="1" x14ac:dyDescent="0.25">
      <c r="B15" s="23" t="s">
        <v>42</v>
      </c>
      <c r="C15" s="50">
        <v>12</v>
      </c>
      <c r="D15" s="50">
        <v>4</v>
      </c>
      <c r="E15" s="50">
        <v>6</v>
      </c>
      <c r="F15" s="50">
        <v>24</v>
      </c>
      <c r="G15" s="50">
        <v>2</v>
      </c>
      <c r="H15" s="50">
        <v>0</v>
      </c>
      <c r="I15" s="50">
        <v>13</v>
      </c>
      <c r="J15" s="50">
        <v>1</v>
      </c>
      <c r="K15" s="50">
        <v>0</v>
      </c>
      <c r="L15" s="50">
        <v>1</v>
      </c>
      <c r="M15" s="50">
        <v>17</v>
      </c>
      <c r="N15" s="50">
        <v>0</v>
      </c>
      <c r="O15" s="15">
        <f t="shared" si="0"/>
        <v>63</v>
      </c>
      <c r="P15" s="15">
        <f t="shared" si="1"/>
        <v>80</v>
      </c>
      <c r="R15" s="1" t="s">
        <v>11</v>
      </c>
      <c r="S15" s="17">
        <f t="shared" ref="S15:AF15" si="7">SUM(C30:C33)</f>
        <v>100</v>
      </c>
      <c r="T15" s="17">
        <f t="shared" si="7"/>
        <v>25</v>
      </c>
      <c r="U15" s="17">
        <f t="shared" si="7"/>
        <v>8</v>
      </c>
      <c r="V15" s="17">
        <f t="shared" si="7"/>
        <v>108</v>
      </c>
      <c r="W15" s="17">
        <f t="shared" si="7"/>
        <v>4</v>
      </c>
      <c r="X15" s="17">
        <f t="shared" si="7"/>
        <v>7</v>
      </c>
      <c r="Y15" s="17">
        <f t="shared" si="7"/>
        <v>34</v>
      </c>
      <c r="Z15" s="17">
        <f t="shared" si="7"/>
        <v>6</v>
      </c>
      <c r="AA15" s="17">
        <f t="shared" si="7"/>
        <v>2</v>
      </c>
      <c r="AB15" s="17">
        <f t="shared" si="7"/>
        <v>6</v>
      </c>
      <c r="AC15" s="17">
        <f t="shared" si="7"/>
        <v>87</v>
      </c>
      <c r="AD15" s="17">
        <f t="shared" si="7"/>
        <v>0</v>
      </c>
      <c r="AE15" s="31">
        <f t="shared" si="7"/>
        <v>300</v>
      </c>
      <c r="AF15" s="31">
        <f t="shared" si="7"/>
        <v>387</v>
      </c>
    </row>
    <row r="16" spans="2:32" ht="23.1" customHeight="1" x14ac:dyDescent="0.25">
      <c r="B16" s="23" t="s">
        <v>43</v>
      </c>
      <c r="C16" s="50">
        <v>22</v>
      </c>
      <c r="D16" s="50">
        <v>13</v>
      </c>
      <c r="E16" s="50">
        <v>10</v>
      </c>
      <c r="F16" s="50">
        <v>23</v>
      </c>
      <c r="G16" s="50">
        <v>1</v>
      </c>
      <c r="H16" s="50">
        <v>0</v>
      </c>
      <c r="I16" s="50">
        <v>7</v>
      </c>
      <c r="J16" s="50">
        <v>3</v>
      </c>
      <c r="K16" s="50">
        <v>1</v>
      </c>
      <c r="L16" s="50">
        <v>0</v>
      </c>
      <c r="M16" s="50">
        <v>20</v>
      </c>
      <c r="N16" s="50">
        <v>0</v>
      </c>
      <c r="O16" s="15">
        <f t="shared" si="0"/>
        <v>80</v>
      </c>
      <c r="P16" s="15">
        <f t="shared" si="1"/>
        <v>100</v>
      </c>
      <c r="R16" s="1" t="s">
        <v>12</v>
      </c>
      <c r="S16" s="17">
        <f t="shared" ref="S16:AF16" si="8">SUM(C34:C37)</f>
        <v>93</v>
      </c>
      <c r="T16" s="17">
        <f t="shared" si="8"/>
        <v>28</v>
      </c>
      <c r="U16" s="17">
        <f t="shared" si="8"/>
        <v>18</v>
      </c>
      <c r="V16" s="17">
        <f t="shared" si="8"/>
        <v>104</v>
      </c>
      <c r="W16" s="17">
        <f t="shared" si="8"/>
        <v>1</v>
      </c>
      <c r="X16" s="17">
        <f t="shared" si="8"/>
        <v>6</v>
      </c>
      <c r="Y16" s="17">
        <f t="shared" si="8"/>
        <v>34</v>
      </c>
      <c r="Z16" s="17">
        <f t="shared" si="8"/>
        <v>2</v>
      </c>
      <c r="AA16" s="17">
        <f t="shared" si="8"/>
        <v>2</v>
      </c>
      <c r="AB16" s="17">
        <f t="shared" si="8"/>
        <v>9</v>
      </c>
      <c r="AC16" s="17">
        <f t="shared" si="8"/>
        <v>108</v>
      </c>
      <c r="AD16" s="17">
        <f t="shared" si="8"/>
        <v>0</v>
      </c>
      <c r="AE16" s="31">
        <f t="shared" si="8"/>
        <v>297</v>
      </c>
      <c r="AF16" s="31">
        <f t="shared" si="8"/>
        <v>405</v>
      </c>
    </row>
    <row r="17" spans="2:32" ht="23.1" customHeight="1" x14ac:dyDescent="0.25">
      <c r="B17" s="23" t="s">
        <v>44</v>
      </c>
      <c r="C17" s="50">
        <v>8</v>
      </c>
      <c r="D17" s="50">
        <v>4</v>
      </c>
      <c r="E17" s="50">
        <v>5</v>
      </c>
      <c r="F17" s="50">
        <v>29</v>
      </c>
      <c r="G17" s="50">
        <v>0</v>
      </c>
      <c r="H17" s="50">
        <v>0</v>
      </c>
      <c r="I17" s="50">
        <v>10</v>
      </c>
      <c r="J17" s="50">
        <v>0</v>
      </c>
      <c r="K17" s="50">
        <v>0</v>
      </c>
      <c r="L17" s="50">
        <v>2</v>
      </c>
      <c r="M17" s="50">
        <v>27</v>
      </c>
      <c r="N17" s="50">
        <v>0</v>
      </c>
      <c r="O17" s="15">
        <f t="shared" si="0"/>
        <v>58</v>
      </c>
      <c r="P17" s="15">
        <f t="shared" si="1"/>
        <v>85</v>
      </c>
      <c r="R17" s="1" t="s">
        <v>13</v>
      </c>
      <c r="S17" s="17">
        <f t="shared" ref="S17:AF17" si="9">SUM(C38:C41)</f>
        <v>96</v>
      </c>
      <c r="T17" s="17">
        <f t="shared" si="9"/>
        <v>24</v>
      </c>
      <c r="U17" s="17">
        <f t="shared" si="9"/>
        <v>23</v>
      </c>
      <c r="V17" s="17">
        <f t="shared" si="9"/>
        <v>78</v>
      </c>
      <c r="W17" s="17">
        <f t="shared" si="9"/>
        <v>3</v>
      </c>
      <c r="X17" s="17">
        <f t="shared" si="9"/>
        <v>6</v>
      </c>
      <c r="Y17" s="17">
        <f t="shared" si="9"/>
        <v>41</v>
      </c>
      <c r="Z17" s="17">
        <f t="shared" si="9"/>
        <v>12</v>
      </c>
      <c r="AA17" s="17">
        <f t="shared" si="9"/>
        <v>4</v>
      </c>
      <c r="AB17" s="17">
        <f t="shared" si="9"/>
        <v>13</v>
      </c>
      <c r="AC17" s="17">
        <f t="shared" si="9"/>
        <v>97</v>
      </c>
      <c r="AD17" s="17">
        <f t="shared" si="9"/>
        <v>0</v>
      </c>
      <c r="AE17" s="31">
        <f t="shared" si="9"/>
        <v>300</v>
      </c>
      <c r="AF17" s="31">
        <f t="shared" si="9"/>
        <v>397</v>
      </c>
    </row>
    <row r="18" spans="2:32" ht="23.1" customHeight="1" x14ac:dyDescent="0.25">
      <c r="B18" s="23" t="s">
        <v>45</v>
      </c>
      <c r="C18" s="50">
        <v>19</v>
      </c>
      <c r="D18" s="50">
        <v>3</v>
      </c>
      <c r="E18" s="50">
        <v>2</v>
      </c>
      <c r="F18" s="50">
        <v>27</v>
      </c>
      <c r="G18" s="50">
        <v>1</v>
      </c>
      <c r="H18" s="50">
        <v>2</v>
      </c>
      <c r="I18" s="50">
        <v>4</v>
      </c>
      <c r="J18" s="50">
        <v>1</v>
      </c>
      <c r="K18" s="50">
        <v>1</v>
      </c>
      <c r="L18" s="50">
        <v>3</v>
      </c>
      <c r="M18" s="50">
        <v>30</v>
      </c>
      <c r="N18" s="50">
        <v>0</v>
      </c>
      <c r="O18" s="15">
        <f t="shared" si="0"/>
        <v>63</v>
      </c>
      <c r="P18" s="15">
        <f t="shared" si="1"/>
        <v>93</v>
      </c>
      <c r="R18" s="1" t="s">
        <v>14</v>
      </c>
      <c r="S18" s="17">
        <f t="shared" ref="S18:AF18" si="10">SUM(C42:C45)</f>
        <v>120</v>
      </c>
      <c r="T18" s="17">
        <f t="shared" si="10"/>
        <v>26</v>
      </c>
      <c r="U18" s="17">
        <f t="shared" si="10"/>
        <v>24</v>
      </c>
      <c r="V18" s="17">
        <f t="shared" si="10"/>
        <v>84</v>
      </c>
      <c r="W18" s="17">
        <f t="shared" si="10"/>
        <v>2</v>
      </c>
      <c r="X18" s="17">
        <f t="shared" si="10"/>
        <v>8</v>
      </c>
      <c r="Y18" s="17">
        <f t="shared" si="10"/>
        <v>53</v>
      </c>
      <c r="Z18" s="17">
        <f t="shared" si="10"/>
        <v>8</v>
      </c>
      <c r="AA18" s="17">
        <f t="shared" si="10"/>
        <v>4</v>
      </c>
      <c r="AB18" s="17">
        <f t="shared" si="10"/>
        <v>8</v>
      </c>
      <c r="AC18" s="17">
        <f t="shared" si="10"/>
        <v>82</v>
      </c>
      <c r="AD18" s="17">
        <f t="shared" si="10"/>
        <v>0</v>
      </c>
      <c r="AE18" s="31">
        <f t="shared" si="10"/>
        <v>337</v>
      </c>
      <c r="AF18" s="31">
        <f t="shared" si="10"/>
        <v>419</v>
      </c>
    </row>
    <row r="19" spans="2:32" ht="23.1" customHeight="1" x14ac:dyDescent="0.25">
      <c r="B19" s="23" t="s">
        <v>46</v>
      </c>
      <c r="C19" s="50">
        <v>20</v>
      </c>
      <c r="D19" s="50">
        <v>5</v>
      </c>
      <c r="E19" s="50">
        <v>1</v>
      </c>
      <c r="F19" s="50">
        <v>28</v>
      </c>
      <c r="G19" s="50">
        <v>1</v>
      </c>
      <c r="H19" s="50">
        <v>0</v>
      </c>
      <c r="I19" s="50">
        <v>5</v>
      </c>
      <c r="J19" s="50">
        <v>0</v>
      </c>
      <c r="K19" s="50">
        <v>0</v>
      </c>
      <c r="L19" s="50">
        <v>1</v>
      </c>
      <c r="M19" s="50">
        <v>20</v>
      </c>
      <c r="N19" s="50">
        <v>0</v>
      </c>
      <c r="O19" s="15">
        <f t="shared" si="0"/>
        <v>61</v>
      </c>
      <c r="P19" s="15">
        <f t="shared" si="1"/>
        <v>81</v>
      </c>
      <c r="R19" s="1" t="s">
        <v>15</v>
      </c>
      <c r="S19" s="17">
        <f t="shared" ref="S19:AF19" si="11">SUM(C46:C49)</f>
        <v>115</v>
      </c>
      <c r="T19" s="17">
        <f t="shared" si="11"/>
        <v>32</v>
      </c>
      <c r="U19" s="17">
        <f t="shared" si="11"/>
        <v>20</v>
      </c>
      <c r="V19" s="17">
        <f t="shared" si="11"/>
        <v>85</v>
      </c>
      <c r="W19" s="17">
        <f t="shared" si="11"/>
        <v>4</v>
      </c>
      <c r="X19" s="17">
        <f t="shared" si="11"/>
        <v>8</v>
      </c>
      <c r="Y19" s="17">
        <f t="shared" si="11"/>
        <v>57</v>
      </c>
      <c r="Z19" s="17">
        <f t="shared" si="11"/>
        <v>15</v>
      </c>
      <c r="AA19" s="17">
        <f t="shared" si="11"/>
        <v>3</v>
      </c>
      <c r="AB19" s="17">
        <f t="shared" si="11"/>
        <v>13</v>
      </c>
      <c r="AC19" s="17">
        <f t="shared" si="11"/>
        <v>96</v>
      </c>
      <c r="AD19" s="17">
        <f t="shared" si="11"/>
        <v>0</v>
      </c>
      <c r="AE19" s="31">
        <f t="shared" si="11"/>
        <v>352</v>
      </c>
      <c r="AF19" s="31">
        <f t="shared" si="11"/>
        <v>448</v>
      </c>
    </row>
    <row r="20" spans="2:32" ht="23.1" customHeight="1" x14ac:dyDescent="0.25">
      <c r="B20" s="23" t="s">
        <v>47</v>
      </c>
      <c r="C20" s="50">
        <v>15</v>
      </c>
      <c r="D20" s="50">
        <v>3</v>
      </c>
      <c r="E20" s="50">
        <v>2</v>
      </c>
      <c r="F20" s="50">
        <v>19</v>
      </c>
      <c r="G20" s="50">
        <v>1</v>
      </c>
      <c r="H20" s="50">
        <v>1</v>
      </c>
      <c r="I20" s="50">
        <v>10</v>
      </c>
      <c r="J20" s="50">
        <v>2</v>
      </c>
      <c r="K20" s="50">
        <v>0</v>
      </c>
      <c r="L20" s="50">
        <v>3</v>
      </c>
      <c r="M20" s="50">
        <v>28</v>
      </c>
      <c r="N20" s="50">
        <v>0</v>
      </c>
      <c r="O20" s="15">
        <f t="shared" si="0"/>
        <v>56</v>
      </c>
      <c r="P20" s="15">
        <f t="shared" si="1"/>
        <v>84</v>
      </c>
      <c r="R20" s="1" t="s">
        <v>16</v>
      </c>
      <c r="S20" s="17">
        <f t="shared" ref="S20:AF20" si="12">SUM(C50:C53)</f>
        <v>162</v>
      </c>
      <c r="T20" s="17">
        <f t="shared" si="12"/>
        <v>45</v>
      </c>
      <c r="U20" s="17">
        <f t="shared" si="12"/>
        <v>33</v>
      </c>
      <c r="V20" s="17">
        <f t="shared" si="12"/>
        <v>96</v>
      </c>
      <c r="W20" s="17">
        <f t="shared" si="12"/>
        <v>7</v>
      </c>
      <c r="X20" s="17">
        <f t="shared" si="12"/>
        <v>7</v>
      </c>
      <c r="Y20" s="17">
        <f t="shared" si="12"/>
        <v>50</v>
      </c>
      <c r="Z20" s="17">
        <f t="shared" si="12"/>
        <v>8</v>
      </c>
      <c r="AA20" s="17">
        <f t="shared" si="12"/>
        <v>3</v>
      </c>
      <c r="AB20" s="17">
        <f t="shared" si="12"/>
        <v>10</v>
      </c>
      <c r="AC20" s="17">
        <f t="shared" si="12"/>
        <v>137</v>
      </c>
      <c r="AD20" s="17">
        <f t="shared" si="12"/>
        <v>0</v>
      </c>
      <c r="AE20" s="31">
        <f t="shared" si="12"/>
        <v>421</v>
      </c>
      <c r="AF20" s="31">
        <f t="shared" si="12"/>
        <v>558</v>
      </c>
    </row>
    <row r="21" spans="2:32" ht="23.1" customHeight="1" x14ac:dyDescent="0.25">
      <c r="B21" s="23" t="s">
        <v>48</v>
      </c>
      <c r="C21" s="50">
        <v>10</v>
      </c>
      <c r="D21" s="50">
        <v>3</v>
      </c>
      <c r="E21" s="50">
        <v>3</v>
      </c>
      <c r="F21" s="50">
        <v>21</v>
      </c>
      <c r="G21" s="50">
        <v>0</v>
      </c>
      <c r="H21" s="50">
        <v>1</v>
      </c>
      <c r="I21" s="50">
        <v>9</v>
      </c>
      <c r="J21" s="50">
        <v>0</v>
      </c>
      <c r="K21" s="50">
        <v>0</v>
      </c>
      <c r="L21" s="50">
        <v>0</v>
      </c>
      <c r="M21" s="50">
        <v>24</v>
      </c>
      <c r="N21" s="50">
        <v>0</v>
      </c>
      <c r="O21" s="15">
        <f t="shared" si="0"/>
        <v>47</v>
      </c>
      <c r="P21" s="15">
        <f t="shared" si="1"/>
        <v>71</v>
      </c>
      <c r="R21" s="36" t="s">
        <v>20</v>
      </c>
      <c r="S21" s="34">
        <f t="shared" ref="S21:AF21" si="13">SUM(C54:C57)</f>
        <v>275</v>
      </c>
      <c r="T21" s="17">
        <f t="shared" si="13"/>
        <v>80</v>
      </c>
      <c r="U21" s="17">
        <f t="shared" si="13"/>
        <v>33</v>
      </c>
      <c r="V21" s="17">
        <f t="shared" si="13"/>
        <v>133</v>
      </c>
      <c r="W21" s="17">
        <f t="shared" si="13"/>
        <v>34</v>
      </c>
      <c r="X21" s="17">
        <f t="shared" si="13"/>
        <v>10</v>
      </c>
      <c r="Y21" s="17">
        <f t="shared" si="13"/>
        <v>77</v>
      </c>
      <c r="Z21" s="17">
        <f t="shared" si="13"/>
        <v>12</v>
      </c>
      <c r="AA21" s="17">
        <f t="shared" si="13"/>
        <v>9</v>
      </c>
      <c r="AB21" s="17">
        <f t="shared" si="13"/>
        <v>11</v>
      </c>
      <c r="AC21" s="17">
        <f t="shared" si="13"/>
        <v>139</v>
      </c>
      <c r="AD21" s="17">
        <f t="shared" si="13"/>
        <v>0</v>
      </c>
      <c r="AE21" s="31">
        <f t="shared" si="13"/>
        <v>674</v>
      </c>
      <c r="AF21" s="31">
        <f t="shared" si="13"/>
        <v>813</v>
      </c>
    </row>
    <row r="22" spans="2:32" ht="23.1" customHeight="1" x14ac:dyDescent="0.25">
      <c r="B22" s="23" t="s">
        <v>49</v>
      </c>
      <c r="C22" s="50">
        <v>13</v>
      </c>
      <c r="D22" s="50">
        <v>4</v>
      </c>
      <c r="E22" s="50">
        <v>3</v>
      </c>
      <c r="F22" s="50">
        <v>21</v>
      </c>
      <c r="G22" s="50">
        <v>1</v>
      </c>
      <c r="H22" s="50">
        <v>0</v>
      </c>
      <c r="I22" s="50">
        <v>8</v>
      </c>
      <c r="J22" s="50">
        <v>2</v>
      </c>
      <c r="K22" s="50">
        <v>0</v>
      </c>
      <c r="L22" s="50">
        <v>2</v>
      </c>
      <c r="M22" s="50">
        <v>16</v>
      </c>
      <c r="N22" s="50">
        <v>0</v>
      </c>
      <c r="O22" s="15">
        <f t="shared" si="0"/>
        <v>54</v>
      </c>
      <c r="P22" s="15">
        <f t="shared" si="1"/>
        <v>70</v>
      </c>
      <c r="R22" s="38" t="s">
        <v>90</v>
      </c>
      <c r="S22" s="39">
        <f>MAX(S10:S12)</f>
        <v>89</v>
      </c>
      <c r="T22" s="39">
        <f t="shared" ref="T22:AF22" si="14">MAX(T10:T12)</f>
        <v>24</v>
      </c>
      <c r="U22" s="39">
        <f t="shared" si="14"/>
        <v>23</v>
      </c>
      <c r="V22" s="39">
        <f t="shared" si="14"/>
        <v>110</v>
      </c>
      <c r="W22" s="39">
        <f t="shared" si="14"/>
        <v>5</v>
      </c>
      <c r="X22" s="39">
        <f t="shared" si="14"/>
        <v>5</v>
      </c>
      <c r="Y22" s="39">
        <f t="shared" si="14"/>
        <v>49</v>
      </c>
      <c r="Z22" s="39">
        <f t="shared" si="14"/>
        <v>11</v>
      </c>
      <c r="AA22" s="39">
        <f t="shared" si="14"/>
        <v>4</v>
      </c>
      <c r="AB22" s="39">
        <f t="shared" si="14"/>
        <v>11</v>
      </c>
      <c r="AC22" s="39">
        <f t="shared" si="14"/>
        <v>147</v>
      </c>
      <c r="AD22" s="39">
        <f t="shared" si="14"/>
        <v>0</v>
      </c>
      <c r="AE22" s="40">
        <f t="shared" si="14"/>
        <v>305</v>
      </c>
      <c r="AF22" s="40">
        <f t="shared" si="14"/>
        <v>452</v>
      </c>
    </row>
    <row r="23" spans="2:32" ht="23.1" customHeight="1" x14ac:dyDescent="0.25">
      <c r="B23" s="23" t="s">
        <v>50</v>
      </c>
      <c r="C23" s="50">
        <v>17</v>
      </c>
      <c r="D23" s="50">
        <v>7</v>
      </c>
      <c r="E23" s="50">
        <v>5</v>
      </c>
      <c r="F23" s="50">
        <v>27</v>
      </c>
      <c r="G23" s="50">
        <v>2</v>
      </c>
      <c r="H23" s="50">
        <v>0</v>
      </c>
      <c r="I23" s="50">
        <v>6</v>
      </c>
      <c r="J23" s="50">
        <v>2</v>
      </c>
      <c r="K23" s="50">
        <v>0</v>
      </c>
      <c r="L23" s="50">
        <v>3</v>
      </c>
      <c r="M23" s="50">
        <v>24</v>
      </c>
      <c r="N23" s="50">
        <v>0</v>
      </c>
      <c r="O23" s="15">
        <f t="shared" si="0"/>
        <v>69</v>
      </c>
      <c r="P23" s="15">
        <f t="shared" si="1"/>
        <v>93</v>
      </c>
      <c r="R23" s="38" t="s">
        <v>91</v>
      </c>
      <c r="S23" s="39">
        <f>MAX(S13:S18)</f>
        <v>120</v>
      </c>
      <c r="T23" s="39">
        <f t="shared" ref="T23:AF23" si="15">MAX(T13:T18)</f>
        <v>28</v>
      </c>
      <c r="U23" s="39">
        <f t="shared" si="15"/>
        <v>24</v>
      </c>
      <c r="V23" s="39">
        <f t="shared" si="15"/>
        <v>108</v>
      </c>
      <c r="W23" s="39">
        <f t="shared" si="15"/>
        <v>4</v>
      </c>
      <c r="X23" s="39">
        <f t="shared" si="15"/>
        <v>8</v>
      </c>
      <c r="Y23" s="39">
        <f t="shared" si="15"/>
        <v>53</v>
      </c>
      <c r="Z23" s="39">
        <f t="shared" si="15"/>
        <v>12</v>
      </c>
      <c r="AA23" s="39">
        <f t="shared" si="15"/>
        <v>4</v>
      </c>
      <c r="AB23" s="39">
        <f t="shared" si="15"/>
        <v>13</v>
      </c>
      <c r="AC23" s="39">
        <f t="shared" si="15"/>
        <v>108</v>
      </c>
      <c r="AD23" s="39">
        <f t="shared" si="15"/>
        <v>0</v>
      </c>
      <c r="AE23" s="40">
        <f t="shared" si="15"/>
        <v>337</v>
      </c>
      <c r="AF23" s="40">
        <f t="shared" si="15"/>
        <v>419</v>
      </c>
    </row>
    <row r="24" spans="2:32" ht="23.1" customHeight="1" x14ac:dyDescent="0.25">
      <c r="B24" s="23" t="s">
        <v>51</v>
      </c>
      <c r="C24" s="50">
        <v>17</v>
      </c>
      <c r="D24" s="50">
        <v>8</v>
      </c>
      <c r="E24" s="50">
        <v>2</v>
      </c>
      <c r="F24" s="50">
        <v>23</v>
      </c>
      <c r="G24" s="50">
        <v>1</v>
      </c>
      <c r="H24" s="50">
        <v>1</v>
      </c>
      <c r="I24" s="50">
        <v>13</v>
      </c>
      <c r="J24" s="50">
        <v>3</v>
      </c>
      <c r="K24" s="50">
        <v>0</v>
      </c>
      <c r="L24" s="50">
        <v>2</v>
      </c>
      <c r="M24" s="50">
        <v>22</v>
      </c>
      <c r="N24" s="50">
        <v>0</v>
      </c>
      <c r="O24" s="15">
        <f t="shared" si="0"/>
        <v>70</v>
      </c>
      <c r="P24" s="15">
        <f t="shared" si="1"/>
        <v>92</v>
      </c>
      <c r="R24" s="38" t="s">
        <v>92</v>
      </c>
      <c r="S24" s="39">
        <f>MAX(S19:S21)</f>
        <v>275</v>
      </c>
      <c r="T24" s="39">
        <f t="shared" ref="T24:AF24" si="16">MAX(T19:T21)</f>
        <v>80</v>
      </c>
      <c r="U24" s="39">
        <f t="shared" si="16"/>
        <v>33</v>
      </c>
      <c r="V24" s="39">
        <f t="shared" si="16"/>
        <v>133</v>
      </c>
      <c r="W24" s="39">
        <f t="shared" si="16"/>
        <v>34</v>
      </c>
      <c r="X24" s="39">
        <f t="shared" si="16"/>
        <v>10</v>
      </c>
      <c r="Y24" s="39">
        <f t="shared" si="16"/>
        <v>77</v>
      </c>
      <c r="Z24" s="39">
        <f t="shared" si="16"/>
        <v>15</v>
      </c>
      <c r="AA24" s="39">
        <f t="shared" si="16"/>
        <v>9</v>
      </c>
      <c r="AB24" s="39">
        <f t="shared" si="16"/>
        <v>13</v>
      </c>
      <c r="AC24" s="39">
        <f t="shared" si="16"/>
        <v>139</v>
      </c>
      <c r="AD24" s="39">
        <f t="shared" si="16"/>
        <v>0</v>
      </c>
      <c r="AE24" s="40">
        <f t="shared" si="16"/>
        <v>674</v>
      </c>
      <c r="AF24" s="40">
        <f t="shared" si="16"/>
        <v>813</v>
      </c>
    </row>
    <row r="25" spans="2:32" ht="23.1" customHeight="1" x14ac:dyDescent="0.25">
      <c r="B25" s="23" t="s">
        <v>52</v>
      </c>
      <c r="C25" s="50">
        <v>20</v>
      </c>
      <c r="D25" s="50">
        <v>5</v>
      </c>
      <c r="E25" s="50">
        <v>2</v>
      </c>
      <c r="F25" s="50">
        <v>24</v>
      </c>
      <c r="G25" s="50">
        <v>0</v>
      </c>
      <c r="H25" s="50">
        <v>1</v>
      </c>
      <c r="I25" s="50">
        <v>10</v>
      </c>
      <c r="J25" s="50">
        <v>2</v>
      </c>
      <c r="K25" s="50">
        <v>2</v>
      </c>
      <c r="L25" s="50">
        <v>6</v>
      </c>
      <c r="M25" s="50">
        <v>14</v>
      </c>
      <c r="N25" s="50">
        <v>0</v>
      </c>
      <c r="O25" s="15">
        <f t="shared" si="0"/>
        <v>72</v>
      </c>
      <c r="P25" s="15">
        <f t="shared" si="1"/>
        <v>86</v>
      </c>
      <c r="R25" s="37" t="s">
        <v>85</v>
      </c>
      <c r="S25" s="35">
        <f t="shared" ref="S25:AF25" si="17">SUM(S10:S12)</f>
        <v>209</v>
      </c>
      <c r="T25" s="16">
        <f t="shared" si="17"/>
        <v>58</v>
      </c>
      <c r="U25" s="16">
        <f t="shared" si="17"/>
        <v>42</v>
      </c>
      <c r="V25" s="16">
        <f t="shared" si="17"/>
        <v>305</v>
      </c>
      <c r="W25" s="16">
        <f t="shared" si="17"/>
        <v>11</v>
      </c>
      <c r="X25" s="16">
        <f t="shared" si="17"/>
        <v>9</v>
      </c>
      <c r="Y25" s="16">
        <f t="shared" si="17"/>
        <v>112</v>
      </c>
      <c r="Z25" s="16">
        <f t="shared" si="17"/>
        <v>20</v>
      </c>
      <c r="AA25" s="16">
        <f t="shared" si="17"/>
        <v>6</v>
      </c>
      <c r="AB25" s="16">
        <f t="shared" si="17"/>
        <v>23</v>
      </c>
      <c r="AC25" s="16">
        <f t="shared" si="17"/>
        <v>351</v>
      </c>
      <c r="AD25" s="16">
        <f t="shared" si="17"/>
        <v>0</v>
      </c>
      <c r="AE25" s="32">
        <f t="shared" si="17"/>
        <v>795</v>
      </c>
      <c r="AF25" s="32">
        <f t="shared" si="17"/>
        <v>1146</v>
      </c>
    </row>
    <row r="26" spans="2:32" ht="23.1" customHeight="1" x14ac:dyDescent="0.25">
      <c r="B26" s="23" t="s">
        <v>53</v>
      </c>
      <c r="C26" s="50">
        <v>9</v>
      </c>
      <c r="D26" s="50">
        <v>5</v>
      </c>
      <c r="E26" s="50">
        <v>2</v>
      </c>
      <c r="F26" s="50">
        <v>10</v>
      </c>
      <c r="G26" s="50">
        <v>1</v>
      </c>
      <c r="H26" s="50">
        <v>0</v>
      </c>
      <c r="I26" s="50">
        <v>6</v>
      </c>
      <c r="J26" s="50">
        <v>2</v>
      </c>
      <c r="K26" s="50">
        <v>0</v>
      </c>
      <c r="L26" s="50">
        <v>2</v>
      </c>
      <c r="M26" s="50">
        <v>21</v>
      </c>
      <c r="N26" s="50">
        <v>0</v>
      </c>
      <c r="O26" s="15">
        <f t="shared" si="0"/>
        <v>37</v>
      </c>
      <c r="P26" s="15">
        <f t="shared" si="1"/>
        <v>58</v>
      </c>
      <c r="R26" s="28" t="s">
        <v>86</v>
      </c>
      <c r="S26" s="16">
        <f t="shared" ref="S26:AF26" si="18">SUM(S13:S18)</f>
        <v>547</v>
      </c>
      <c r="T26" s="16">
        <f t="shared" si="18"/>
        <v>140</v>
      </c>
      <c r="U26" s="16">
        <f t="shared" si="18"/>
        <v>94</v>
      </c>
      <c r="V26" s="16">
        <f t="shared" si="18"/>
        <v>544</v>
      </c>
      <c r="W26" s="16">
        <f t="shared" si="18"/>
        <v>18</v>
      </c>
      <c r="X26" s="16">
        <f t="shared" si="18"/>
        <v>30</v>
      </c>
      <c r="Y26" s="16">
        <f t="shared" si="18"/>
        <v>228</v>
      </c>
      <c r="Z26" s="16">
        <f t="shared" si="18"/>
        <v>42</v>
      </c>
      <c r="AA26" s="16">
        <f t="shared" si="18"/>
        <v>15</v>
      </c>
      <c r="AB26" s="16">
        <f t="shared" si="18"/>
        <v>56</v>
      </c>
      <c r="AC26" s="16">
        <f t="shared" si="18"/>
        <v>531</v>
      </c>
      <c r="AD26" s="16">
        <f t="shared" si="18"/>
        <v>0</v>
      </c>
      <c r="AE26" s="32">
        <f t="shared" si="18"/>
        <v>1714</v>
      </c>
      <c r="AF26" s="32">
        <f t="shared" si="18"/>
        <v>2245</v>
      </c>
    </row>
    <row r="27" spans="2:32" ht="23.1" customHeight="1" x14ac:dyDescent="0.25">
      <c r="B27" s="23" t="s">
        <v>54</v>
      </c>
      <c r="C27" s="50">
        <v>18</v>
      </c>
      <c r="D27" s="50">
        <v>4</v>
      </c>
      <c r="E27" s="50">
        <v>4</v>
      </c>
      <c r="F27" s="50">
        <v>24</v>
      </c>
      <c r="G27" s="50">
        <v>0</v>
      </c>
      <c r="H27" s="50">
        <v>1</v>
      </c>
      <c r="I27" s="50">
        <v>5</v>
      </c>
      <c r="J27" s="50">
        <v>1</v>
      </c>
      <c r="K27" s="50">
        <v>1</v>
      </c>
      <c r="L27" s="50">
        <v>1</v>
      </c>
      <c r="M27" s="50">
        <v>18</v>
      </c>
      <c r="N27" s="50">
        <v>0</v>
      </c>
      <c r="O27" s="15">
        <f t="shared" si="0"/>
        <v>59</v>
      </c>
      <c r="P27" s="15">
        <f t="shared" si="1"/>
        <v>77</v>
      </c>
      <c r="R27" s="29" t="s">
        <v>87</v>
      </c>
      <c r="S27" s="16">
        <f t="shared" ref="S27:AF27" si="19">SUM(S19:S21)</f>
        <v>552</v>
      </c>
      <c r="T27" s="16">
        <f t="shared" si="19"/>
        <v>157</v>
      </c>
      <c r="U27" s="16">
        <f t="shared" si="19"/>
        <v>86</v>
      </c>
      <c r="V27" s="16">
        <f t="shared" si="19"/>
        <v>314</v>
      </c>
      <c r="W27" s="16">
        <f t="shared" si="19"/>
        <v>45</v>
      </c>
      <c r="X27" s="16">
        <f t="shared" si="19"/>
        <v>25</v>
      </c>
      <c r="Y27" s="16">
        <f t="shared" si="19"/>
        <v>184</v>
      </c>
      <c r="Z27" s="16">
        <f t="shared" si="19"/>
        <v>35</v>
      </c>
      <c r="AA27" s="16">
        <f t="shared" si="19"/>
        <v>15</v>
      </c>
      <c r="AB27" s="16">
        <f t="shared" si="19"/>
        <v>34</v>
      </c>
      <c r="AC27" s="16">
        <f t="shared" si="19"/>
        <v>372</v>
      </c>
      <c r="AD27" s="16">
        <f t="shared" si="19"/>
        <v>0</v>
      </c>
      <c r="AE27" s="32">
        <f t="shared" si="19"/>
        <v>1447</v>
      </c>
      <c r="AF27" s="32">
        <f t="shared" si="19"/>
        <v>1819</v>
      </c>
    </row>
    <row r="28" spans="2:32" ht="23.1" customHeight="1" x14ac:dyDescent="0.25">
      <c r="B28" s="23" t="s">
        <v>55</v>
      </c>
      <c r="C28" s="50">
        <v>27</v>
      </c>
      <c r="D28" s="50">
        <v>1</v>
      </c>
      <c r="E28" s="50">
        <v>3</v>
      </c>
      <c r="F28" s="50">
        <v>24</v>
      </c>
      <c r="G28" s="50">
        <v>2</v>
      </c>
      <c r="H28" s="50">
        <v>0</v>
      </c>
      <c r="I28" s="50">
        <v>10</v>
      </c>
      <c r="J28" s="50">
        <v>1</v>
      </c>
      <c r="K28" s="50">
        <v>0</v>
      </c>
      <c r="L28" s="50">
        <v>2</v>
      </c>
      <c r="M28" s="50">
        <v>22</v>
      </c>
      <c r="N28" s="50">
        <v>0</v>
      </c>
      <c r="O28" s="15">
        <f t="shared" si="0"/>
        <v>70</v>
      </c>
      <c r="P28" s="15">
        <f t="shared" si="1"/>
        <v>92</v>
      </c>
      <c r="R28" s="5" t="s">
        <v>17</v>
      </c>
      <c r="S28" s="16">
        <f t="shared" ref="S28:AF28" si="20">SUM(S10:S21)</f>
        <v>1308</v>
      </c>
      <c r="T28" s="16">
        <f t="shared" si="20"/>
        <v>355</v>
      </c>
      <c r="U28" s="16">
        <f t="shared" si="20"/>
        <v>222</v>
      </c>
      <c r="V28" s="16">
        <f t="shared" si="20"/>
        <v>1163</v>
      </c>
      <c r="W28" s="16">
        <f t="shared" si="20"/>
        <v>74</v>
      </c>
      <c r="X28" s="16">
        <f t="shared" si="20"/>
        <v>64</v>
      </c>
      <c r="Y28" s="16">
        <f t="shared" si="20"/>
        <v>524</v>
      </c>
      <c r="Z28" s="16">
        <f t="shared" si="20"/>
        <v>97</v>
      </c>
      <c r="AA28" s="16">
        <f t="shared" si="20"/>
        <v>36</v>
      </c>
      <c r="AB28" s="16">
        <f t="shared" si="20"/>
        <v>113</v>
      </c>
      <c r="AC28" s="16">
        <f t="shared" si="20"/>
        <v>1254</v>
      </c>
      <c r="AD28" s="16">
        <f t="shared" si="20"/>
        <v>0</v>
      </c>
      <c r="AE28" s="32">
        <f t="shared" si="20"/>
        <v>3956</v>
      </c>
      <c r="AF28" s="32">
        <f t="shared" si="20"/>
        <v>5210</v>
      </c>
    </row>
    <row r="29" spans="2:32" ht="23.1" customHeight="1" x14ac:dyDescent="0.25">
      <c r="B29" s="23" t="s">
        <v>56</v>
      </c>
      <c r="C29" s="50">
        <v>17</v>
      </c>
      <c r="D29" s="50">
        <v>3</v>
      </c>
      <c r="E29" s="50">
        <v>0</v>
      </c>
      <c r="F29" s="50">
        <v>17</v>
      </c>
      <c r="G29" s="50">
        <v>1</v>
      </c>
      <c r="H29" s="50">
        <v>0</v>
      </c>
      <c r="I29" s="50">
        <v>8</v>
      </c>
      <c r="J29" s="50">
        <v>1</v>
      </c>
      <c r="K29" s="50">
        <v>0</v>
      </c>
      <c r="L29" s="50">
        <v>2</v>
      </c>
      <c r="M29" s="50">
        <v>20</v>
      </c>
      <c r="N29" s="50">
        <v>0</v>
      </c>
      <c r="O29" s="15">
        <f t="shared" si="0"/>
        <v>49</v>
      </c>
      <c r="P29" s="15">
        <f t="shared" si="1"/>
        <v>69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7</v>
      </c>
      <c r="E30" s="50">
        <v>2</v>
      </c>
      <c r="F30" s="50">
        <v>35</v>
      </c>
      <c r="G30" s="50">
        <v>2</v>
      </c>
      <c r="H30" s="50">
        <v>1</v>
      </c>
      <c r="I30" s="50">
        <v>6</v>
      </c>
      <c r="J30" s="50">
        <v>1</v>
      </c>
      <c r="K30" s="50">
        <v>0</v>
      </c>
      <c r="L30" s="50">
        <v>0</v>
      </c>
      <c r="M30" s="50">
        <v>16</v>
      </c>
      <c r="N30" s="50">
        <v>0</v>
      </c>
      <c r="O30" s="15">
        <f t="shared" si="0"/>
        <v>85</v>
      </c>
      <c r="P30" s="15">
        <f t="shared" si="1"/>
        <v>101</v>
      </c>
    </row>
    <row r="31" spans="2:32" ht="23.1" customHeight="1" x14ac:dyDescent="0.25">
      <c r="B31" s="24" t="s">
        <v>58</v>
      </c>
      <c r="C31" s="50">
        <v>27</v>
      </c>
      <c r="D31" s="50">
        <v>5</v>
      </c>
      <c r="E31" s="50">
        <v>2</v>
      </c>
      <c r="F31" s="50">
        <v>24</v>
      </c>
      <c r="G31" s="50">
        <v>0</v>
      </c>
      <c r="H31" s="50">
        <v>2</v>
      </c>
      <c r="I31" s="50">
        <v>8</v>
      </c>
      <c r="J31" s="50">
        <v>1</v>
      </c>
      <c r="K31" s="50">
        <v>1</v>
      </c>
      <c r="L31" s="50">
        <v>3</v>
      </c>
      <c r="M31" s="50">
        <v>22</v>
      </c>
      <c r="N31" s="50">
        <v>0</v>
      </c>
      <c r="O31" s="15">
        <f t="shared" si="0"/>
        <v>73</v>
      </c>
      <c r="P31" s="15">
        <f t="shared" si="1"/>
        <v>95</v>
      </c>
    </row>
    <row r="32" spans="2:32" ht="23.1" customHeight="1" x14ac:dyDescent="0.25">
      <c r="B32" s="24" t="s">
        <v>59</v>
      </c>
      <c r="C32" s="50">
        <v>19</v>
      </c>
      <c r="D32" s="50">
        <v>8</v>
      </c>
      <c r="E32" s="50">
        <v>2</v>
      </c>
      <c r="F32" s="50">
        <v>24</v>
      </c>
      <c r="G32" s="50">
        <v>1</v>
      </c>
      <c r="H32" s="50">
        <v>1</v>
      </c>
      <c r="I32" s="50">
        <v>8</v>
      </c>
      <c r="J32" s="50">
        <v>3</v>
      </c>
      <c r="K32" s="50">
        <v>0</v>
      </c>
      <c r="L32" s="50">
        <v>1</v>
      </c>
      <c r="M32" s="50">
        <v>24</v>
      </c>
      <c r="N32" s="50">
        <v>0</v>
      </c>
      <c r="O32" s="15">
        <f t="shared" si="0"/>
        <v>67</v>
      </c>
      <c r="P32" s="15">
        <f t="shared" si="1"/>
        <v>91</v>
      </c>
    </row>
    <row r="33" spans="2:20" ht="23.1" customHeight="1" x14ac:dyDescent="0.25">
      <c r="B33" s="23" t="s">
        <v>60</v>
      </c>
      <c r="C33" s="50">
        <v>23</v>
      </c>
      <c r="D33" s="50">
        <v>5</v>
      </c>
      <c r="E33" s="50">
        <v>2</v>
      </c>
      <c r="F33" s="50">
        <v>25</v>
      </c>
      <c r="G33" s="50">
        <v>1</v>
      </c>
      <c r="H33" s="50">
        <v>3</v>
      </c>
      <c r="I33" s="50">
        <v>12</v>
      </c>
      <c r="J33" s="50">
        <v>1</v>
      </c>
      <c r="K33" s="50">
        <v>1</v>
      </c>
      <c r="L33" s="50">
        <v>2</v>
      </c>
      <c r="M33" s="50">
        <v>25</v>
      </c>
      <c r="N33" s="50">
        <v>0</v>
      </c>
      <c r="O33" s="15">
        <f t="shared" si="0"/>
        <v>75</v>
      </c>
      <c r="P33" s="15">
        <f t="shared" si="1"/>
        <v>100</v>
      </c>
    </row>
    <row r="34" spans="2:20" ht="23.1" customHeight="1" x14ac:dyDescent="0.25">
      <c r="B34" s="24" t="s">
        <v>61</v>
      </c>
      <c r="C34" s="50">
        <v>29</v>
      </c>
      <c r="D34" s="50">
        <v>6</v>
      </c>
      <c r="E34" s="50">
        <v>4</v>
      </c>
      <c r="F34" s="50">
        <v>25</v>
      </c>
      <c r="G34" s="50">
        <v>0</v>
      </c>
      <c r="H34" s="50">
        <v>0</v>
      </c>
      <c r="I34" s="50">
        <v>8</v>
      </c>
      <c r="J34" s="50">
        <v>2</v>
      </c>
      <c r="K34" s="50">
        <v>1</v>
      </c>
      <c r="L34" s="50">
        <v>3</v>
      </c>
      <c r="M34" s="50">
        <v>25</v>
      </c>
      <c r="N34" s="50">
        <v>0</v>
      </c>
      <c r="O34" s="15">
        <f t="shared" si="0"/>
        <v>78</v>
      </c>
      <c r="P34" s="15">
        <f t="shared" si="1"/>
        <v>103</v>
      </c>
    </row>
    <row r="35" spans="2:20" ht="23.1" customHeight="1" x14ac:dyDescent="0.25">
      <c r="B35" s="24" t="s">
        <v>62</v>
      </c>
      <c r="C35" s="50">
        <v>25</v>
      </c>
      <c r="D35" s="50">
        <v>3</v>
      </c>
      <c r="E35" s="50">
        <v>6</v>
      </c>
      <c r="F35" s="50">
        <v>26</v>
      </c>
      <c r="G35" s="50">
        <v>0</v>
      </c>
      <c r="H35" s="50">
        <v>0</v>
      </c>
      <c r="I35" s="50">
        <v>8</v>
      </c>
      <c r="J35" s="50">
        <v>0</v>
      </c>
      <c r="K35" s="50">
        <v>0</v>
      </c>
      <c r="L35" s="50">
        <v>2</v>
      </c>
      <c r="M35" s="50">
        <v>27</v>
      </c>
      <c r="N35" s="50">
        <v>0</v>
      </c>
      <c r="O35" s="15">
        <f t="shared" si="0"/>
        <v>70</v>
      </c>
      <c r="P35" s="15">
        <f t="shared" si="1"/>
        <v>97</v>
      </c>
    </row>
    <row r="36" spans="2:20" ht="23.1" customHeight="1" x14ac:dyDescent="0.25">
      <c r="B36" s="24" t="s">
        <v>63</v>
      </c>
      <c r="C36" s="50">
        <v>20</v>
      </c>
      <c r="D36" s="50">
        <v>12</v>
      </c>
      <c r="E36" s="50">
        <v>5</v>
      </c>
      <c r="F36" s="50">
        <v>30</v>
      </c>
      <c r="G36" s="50">
        <v>0</v>
      </c>
      <c r="H36" s="50">
        <v>3</v>
      </c>
      <c r="I36" s="50">
        <v>5</v>
      </c>
      <c r="J36" s="50">
        <v>0</v>
      </c>
      <c r="K36" s="50">
        <v>0</v>
      </c>
      <c r="L36" s="50">
        <v>2</v>
      </c>
      <c r="M36" s="50">
        <v>23</v>
      </c>
      <c r="N36" s="50">
        <v>0</v>
      </c>
      <c r="O36" s="15">
        <f t="shared" si="0"/>
        <v>77</v>
      </c>
      <c r="P36" s="15">
        <f t="shared" si="1"/>
        <v>100</v>
      </c>
    </row>
    <row r="37" spans="2:20" ht="23.1" customHeight="1" x14ac:dyDescent="0.25">
      <c r="B37" s="23" t="s">
        <v>64</v>
      </c>
      <c r="C37" s="50">
        <v>19</v>
      </c>
      <c r="D37" s="50">
        <v>7</v>
      </c>
      <c r="E37" s="50">
        <v>3</v>
      </c>
      <c r="F37" s="50">
        <v>23</v>
      </c>
      <c r="G37" s="50">
        <v>1</v>
      </c>
      <c r="H37" s="50">
        <v>3</v>
      </c>
      <c r="I37" s="50">
        <v>13</v>
      </c>
      <c r="J37" s="50">
        <v>0</v>
      </c>
      <c r="K37" s="50">
        <v>1</v>
      </c>
      <c r="L37" s="50">
        <v>2</v>
      </c>
      <c r="M37" s="50">
        <v>33</v>
      </c>
      <c r="N37" s="50">
        <v>0</v>
      </c>
      <c r="O37" s="15">
        <f t="shared" si="0"/>
        <v>72</v>
      </c>
      <c r="P37" s="15">
        <f t="shared" si="1"/>
        <v>105</v>
      </c>
    </row>
    <row r="38" spans="2:20" ht="23.1" customHeight="1" x14ac:dyDescent="0.25">
      <c r="B38" s="24" t="s">
        <v>65</v>
      </c>
      <c r="C38" s="50">
        <v>20</v>
      </c>
      <c r="D38" s="50">
        <v>4</v>
      </c>
      <c r="E38" s="50">
        <v>6</v>
      </c>
      <c r="F38" s="50">
        <v>23</v>
      </c>
      <c r="G38" s="50">
        <v>1</v>
      </c>
      <c r="H38" s="50">
        <v>1</v>
      </c>
      <c r="I38" s="50">
        <v>10</v>
      </c>
      <c r="J38" s="50">
        <v>3</v>
      </c>
      <c r="K38" s="50">
        <v>1</v>
      </c>
      <c r="L38" s="50">
        <v>4</v>
      </c>
      <c r="M38" s="50">
        <v>22</v>
      </c>
      <c r="N38" s="50">
        <v>0</v>
      </c>
      <c r="O38" s="15">
        <f t="shared" si="0"/>
        <v>73</v>
      </c>
      <c r="P38" s="15">
        <f t="shared" si="1"/>
        <v>95</v>
      </c>
    </row>
    <row r="39" spans="2:20" ht="23.1" customHeight="1" x14ac:dyDescent="0.25">
      <c r="B39" s="24" t="s">
        <v>66</v>
      </c>
      <c r="C39" s="50">
        <v>27</v>
      </c>
      <c r="D39" s="50">
        <v>6</v>
      </c>
      <c r="E39" s="50">
        <v>6</v>
      </c>
      <c r="F39" s="50">
        <v>20</v>
      </c>
      <c r="G39" s="50">
        <v>1</v>
      </c>
      <c r="H39" s="50">
        <v>0</v>
      </c>
      <c r="I39" s="50">
        <v>8</v>
      </c>
      <c r="J39" s="50">
        <v>3</v>
      </c>
      <c r="K39" s="50">
        <v>1</v>
      </c>
      <c r="L39" s="50">
        <v>0</v>
      </c>
      <c r="M39" s="50">
        <v>18</v>
      </c>
      <c r="N39" s="50">
        <v>0</v>
      </c>
      <c r="O39" s="15">
        <f t="shared" si="0"/>
        <v>72</v>
      </c>
      <c r="P39" s="15">
        <f t="shared" si="1"/>
        <v>90</v>
      </c>
    </row>
    <row r="40" spans="2:20" ht="23.1" customHeight="1" x14ac:dyDescent="0.25">
      <c r="B40" s="24" t="s">
        <v>67</v>
      </c>
      <c r="C40" s="50">
        <v>28</v>
      </c>
      <c r="D40" s="50">
        <v>4</v>
      </c>
      <c r="E40" s="50">
        <v>3</v>
      </c>
      <c r="F40" s="50">
        <v>20</v>
      </c>
      <c r="G40" s="50">
        <v>1</v>
      </c>
      <c r="H40" s="50">
        <v>3</v>
      </c>
      <c r="I40" s="50">
        <v>16</v>
      </c>
      <c r="J40" s="50">
        <v>2</v>
      </c>
      <c r="K40" s="50">
        <v>2</v>
      </c>
      <c r="L40" s="50">
        <v>3</v>
      </c>
      <c r="M40" s="50">
        <v>31</v>
      </c>
      <c r="N40" s="50">
        <v>0</v>
      </c>
      <c r="O40" s="15">
        <f t="shared" si="0"/>
        <v>82</v>
      </c>
      <c r="P40" s="15">
        <f t="shared" si="1"/>
        <v>113</v>
      </c>
    </row>
    <row r="41" spans="2:20" ht="23.1" customHeight="1" x14ac:dyDescent="0.25">
      <c r="B41" s="23" t="s">
        <v>68</v>
      </c>
      <c r="C41" s="50">
        <v>21</v>
      </c>
      <c r="D41" s="50">
        <v>10</v>
      </c>
      <c r="E41" s="50">
        <v>8</v>
      </c>
      <c r="F41" s="50">
        <v>15</v>
      </c>
      <c r="G41" s="50">
        <v>0</v>
      </c>
      <c r="H41" s="50">
        <v>2</v>
      </c>
      <c r="I41" s="50">
        <v>7</v>
      </c>
      <c r="J41" s="50">
        <v>4</v>
      </c>
      <c r="K41" s="50">
        <v>0</v>
      </c>
      <c r="L41" s="50">
        <v>6</v>
      </c>
      <c r="M41" s="50">
        <v>26</v>
      </c>
      <c r="N41" s="50">
        <v>0</v>
      </c>
      <c r="O41" s="15">
        <f t="shared" si="0"/>
        <v>73</v>
      </c>
      <c r="P41" s="15">
        <f t="shared" si="1"/>
        <v>99</v>
      </c>
    </row>
    <row r="42" spans="2:20" ht="23.1" customHeight="1" x14ac:dyDescent="0.25">
      <c r="B42" s="24" t="s">
        <v>69</v>
      </c>
      <c r="C42" s="50">
        <v>27</v>
      </c>
      <c r="D42" s="50">
        <v>7</v>
      </c>
      <c r="E42" s="50">
        <v>8</v>
      </c>
      <c r="F42" s="50">
        <v>26</v>
      </c>
      <c r="G42" s="50">
        <v>0</v>
      </c>
      <c r="H42" s="50">
        <v>0</v>
      </c>
      <c r="I42" s="50">
        <v>9</v>
      </c>
      <c r="J42" s="50">
        <v>3</v>
      </c>
      <c r="K42" s="50">
        <v>0</v>
      </c>
      <c r="L42" s="50">
        <v>2</v>
      </c>
      <c r="M42" s="50">
        <v>25</v>
      </c>
      <c r="N42" s="50">
        <v>0</v>
      </c>
      <c r="O42" s="15">
        <f t="shared" si="0"/>
        <v>82</v>
      </c>
      <c r="P42" s="15">
        <f t="shared" si="1"/>
        <v>107</v>
      </c>
    </row>
    <row r="43" spans="2:20" ht="23.1" customHeight="1" x14ac:dyDescent="0.25">
      <c r="B43" s="23" t="s">
        <v>70</v>
      </c>
      <c r="C43" s="50">
        <v>26</v>
      </c>
      <c r="D43" s="50">
        <v>6</v>
      </c>
      <c r="E43" s="50">
        <v>3</v>
      </c>
      <c r="F43" s="50">
        <v>16</v>
      </c>
      <c r="G43" s="50">
        <v>0</v>
      </c>
      <c r="H43" s="50">
        <v>2</v>
      </c>
      <c r="I43" s="50">
        <v>10</v>
      </c>
      <c r="J43" s="50">
        <v>1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64</v>
      </c>
      <c r="P43" s="15">
        <f t="shared" si="1"/>
        <v>84</v>
      </c>
    </row>
    <row r="44" spans="2:20" ht="23.1" customHeight="1" x14ac:dyDescent="0.25">
      <c r="B44" s="25" t="s">
        <v>71</v>
      </c>
      <c r="C44" s="50">
        <v>31</v>
      </c>
      <c r="D44" s="50">
        <v>3</v>
      </c>
      <c r="E44" s="50">
        <v>6</v>
      </c>
      <c r="F44" s="50">
        <v>26</v>
      </c>
      <c r="G44" s="50">
        <v>1</v>
      </c>
      <c r="H44" s="50">
        <v>2</v>
      </c>
      <c r="I44" s="50">
        <v>17</v>
      </c>
      <c r="J44" s="50">
        <v>3</v>
      </c>
      <c r="K44" s="50">
        <v>3</v>
      </c>
      <c r="L44" s="50">
        <v>2</v>
      </c>
      <c r="M44" s="50">
        <v>21</v>
      </c>
      <c r="N44" s="50">
        <v>0</v>
      </c>
      <c r="O44" s="15">
        <f t="shared" si="0"/>
        <v>94</v>
      </c>
      <c r="P44" s="15">
        <f t="shared" si="1"/>
        <v>115</v>
      </c>
    </row>
    <row r="45" spans="2:20" ht="23.1" customHeight="1" x14ac:dyDescent="0.25">
      <c r="B45" s="23" t="s">
        <v>72</v>
      </c>
      <c r="C45" s="50">
        <v>36</v>
      </c>
      <c r="D45" s="50">
        <v>10</v>
      </c>
      <c r="E45" s="50">
        <v>7</v>
      </c>
      <c r="F45" s="50">
        <v>16</v>
      </c>
      <c r="G45" s="50">
        <v>1</v>
      </c>
      <c r="H45" s="50">
        <v>4</v>
      </c>
      <c r="I45" s="50">
        <v>17</v>
      </c>
      <c r="J45" s="50">
        <v>1</v>
      </c>
      <c r="K45" s="50">
        <v>1</v>
      </c>
      <c r="L45" s="50">
        <v>4</v>
      </c>
      <c r="M45" s="50">
        <v>16</v>
      </c>
      <c r="N45" s="50">
        <v>0</v>
      </c>
      <c r="O45" s="15">
        <f t="shared" si="0"/>
        <v>97</v>
      </c>
      <c r="P45" s="15">
        <f t="shared" si="1"/>
        <v>113</v>
      </c>
    </row>
    <row r="46" spans="2:20" ht="23.1" customHeight="1" x14ac:dyDescent="0.25">
      <c r="B46" s="24" t="s">
        <v>73</v>
      </c>
      <c r="C46" s="50">
        <v>28</v>
      </c>
      <c r="D46" s="50">
        <v>6</v>
      </c>
      <c r="E46" s="50">
        <v>5</v>
      </c>
      <c r="F46" s="50">
        <v>17</v>
      </c>
      <c r="G46" s="50">
        <v>1</v>
      </c>
      <c r="H46" s="50">
        <v>4</v>
      </c>
      <c r="I46" s="50">
        <v>5</v>
      </c>
      <c r="J46" s="50">
        <v>2</v>
      </c>
      <c r="K46" s="50">
        <v>0</v>
      </c>
      <c r="L46" s="50">
        <v>2</v>
      </c>
      <c r="M46" s="50">
        <v>23</v>
      </c>
      <c r="N46" s="50">
        <v>0</v>
      </c>
      <c r="O46" s="15">
        <f t="shared" si="0"/>
        <v>70</v>
      </c>
      <c r="P46" s="15">
        <f t="shared" si="1"/>
        <v>93</v>
      </c>
      <c r="R46" s="8"/>
      <c r="T46"/>
    </row>
    <row r="47" spans="2:20" ht="23.1" customHeight="1" x14ac:dyDescent="0.25">
      <c r="B47" s="24" t="s">
        <v>74</v>
      </c>
      <c r="C47" s="50">
        <v>34</v>
      </c>
      <c r="D47" s="50">
        <v>10</v>
      </c>
      <c r="E47" s="50">
        <v>3</v>
      </c>
      <c r="F47" s="50">
        <v>21</v>
      </c>
      <c r="G47" s="50">
        <v>0</v>
      </c>
      <c r="H47" s="50">
        <v>2</v>
      </c>
      <c r="I47" s="50">
        <v>18</v>
      </c>
      <c r="J47" s="50">
        <v>6</v>
      </c>
      <c r="K47" s="50">
        <v>1</v>
      </c>
      <c r="L47" s="50">
        <v>3</v>
      </c>
      <c r="M47" s="50">
        <v>24</v>
      </c>
      <c r="N47" s="50">
        <v>0</v>
      </c>
      <c r="O47" s="15">
        <f t="shared" si="0"/>
        <v>98</v>
      </c>
      <c r="P47" s="15">
        <f t="shared" si="1"/>
        <v>122</v>
      </c>
      <c r="R47" s="8"/>
      <c r="T47"/>
    </row>
    <row r="48" spans="2:20" ht="23.1" customHeight="1" x14ac:dyDescent="0.25">
      <c r="B48" s="24" t="s">
        <v>75</v>
      </c>
      <c r="C48" s="50">
        <v>23</v>
      </c>
      <c r="D48" s="50">
        <v>3</v>
      </c>
      <c r="E48" s="50">
        <v>5</v>
      </c>
      <c r="F48" s="50">
        <v>24</v>
      </c>
      <c r="G48" s="50">
        <v>1</v>
      </c>
      <c r="H48" s="50">
        <v>0</v>
      </c>
      <c r="I48" s="50">
        <v>17</v>
      </c>
      <c r="J48" s="50">
        <v>4</v>
      </c>
      <c r="K48" s="50">
        <v>1</v>
      </c>
      <c r="L48" s="50">
        <v>8</v>
      </c>
      <c r="M48" s="50">
        <v>26</v>
      </c>
      <c r="N48" s="50">
        <v>0</v>
      </c>
      <c r="O48" s="15">
        <f t="shared" si="0"/>
        <v>86</v>
      </c>
      <c r="P48" s="15">
        <f t="shared" si="1"/>
        <v>112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13</v>
      </c>
      <c r="E49" s="50">
        <v>7</v>
      </c>
      <c r="F49" s="50">
        <v>23</v>
      </c>
      <c r="G49" s="50">
        <v>2</v>
      </c>
      <c r="H49" s="50">
        <v>2</v>
      </c>
      <c r="I49" s="50">
        <v>17</v>
      </c>
      <c r="J49" s="50">
        <v>3</v>
      </c>
      <c r="K49" s="50">
        <v>1</v>
      </c>
      <c r="L49" s="50">
        <v>0</v>
      </c>
      <c r="M49" s="50">
        <v>23</v>
      </c>
      <c r="N49" s="50">
        <v>0</v>
      </c>
      <c r="O49" s="15">
        <f t="shared" si="0"/>
        <v>98</v>
      </c>
      <c r="P49" s="15">
        <f t="shared" si="1"/>
        <v>121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10</v>
      </c>
      <c r="E50" s="50">
        <v>9</v>
      </c>
      <c r="F50" s="50">
        <v>20</v>
      </c>
      <c r="G50" s="50">
        <v>0</v>
      </c>
      <c r="H50" s="50">
        <v>2</v>
      </c>
      <c r="I50" s="50">
        <v>16</v>
      </c>
      <c r="J50" s="50">
        <v>3</v>
      </c>
      <c r="K50" s="50">
        <v>0</v>
      </c>
      <c r="L50" s="50">
        <v>0</v>
      </c>
      <c r="M50" s="50">
        <v>34</v>
      </c>
      <c r="N50" s="50">
        <v>0</v>
      </c>
      <c r="O50" s="15">
        <f t="shared" si="0"/>
        <v>96</v>
      </c>
      <c r="P50" s="15">
        <f t="shared" si="1"/>
        <v>130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12</v>
      </c>
      <c r="E51" s="50">
        <v>8</v>
      </c>
      <c r="F51" s="50">
        <v>20</v>
      </c>
      <c r="G51" s="50">
        <v>2</v>
      </c>
      <c r="H51" s="50">
        <v>4</v>
      </c>
      <c r="I51" s="50">
        <v>11</v>
      </c>
      <c r="J51" s="50">
        <v>1</v>
      </c>
      <c r="K51" s="50">
        <v>2</v>
      </c>
      <c r="L51" s="50">
        <v>4</v>
      </c>
      <c r="M51" s="50">
        <v>47</v>
      </c>
      <c r="N51" s="50">
        <v>0</v>
      </c>
      <c r="O51" s="15">
        <f t="shared" si="0"/>
        <v>104</v>
      </c>
      <c r="P51" s="15">
        <f t="shared" si="1"/>
        <v>151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9</v>
      </c>
      <c r="E52" s="50">
        <v>13</v>
      </c>
      <c r="F52" s="50">
        <v>29</v>
      </c>
      <c r="G52" s="50">
        <v>2</v>
      </c>
      <c r="H52" s="50">
        <v>0</v>
      </c>
      <c r="I52" s="50">
        <v>11</v>
      </c>
      <c r="J52" s="50">
        <v>3</v>
      </c>
      <c r="K52" s="50">
        <v>0</v>
      </c>
      <c r="L52" s="50">
        <v>5</v>
      </c>
      <c r="M52" s="50">
        <v>23</v>
      </c>
      <c r="N52" s="50">
        <v>0</v>
      </c>
      <c r="O52" s="15">
        <f t="shared" si="0"/>
        <v>110</v>
      </c>
      <c r="P52" s="15">
        <f t="shared" si="1"/>
        <v>133</v>
      </c>
      <c r="R52" s="8"/>
      <c r="T52"/>
    </row>
    <row r="53" spans="2:20" ht="23.1" customHeight="1" x14ac:dyDescent="0.25">
      <c r="B53" s="23" t="s">
        <v>80</v>
      </c>
      <c r="C53" s="50">
        <v>48</v>
      </c>
      <c r="D53" s="50">
        <v>14</v>
      </c>
      <c r="E53" s="50">
        <v>3</v>
      </c>
      <c r="F53" s="50">
        <v>27</v>
      </c>
      <c r="G53" s="50">
        <v>3</v>
      </c>
      <c r="H53" s="50">
        <v>1</v>
      </c>
      <c r="I53" s="50">
        <v>12</v>
      </c>
      <c r="J53" s="50">
        <v>1</v>
      </c>
      <c r="K53" s="50">
        <v>1</v>
      </c>
      <c r="L53" s="50">
        <v>1</v>
      </c>
      <c r="M53" s="50">
        <v>33</v>
      </c>
      <c r="N53" s="50">
        <v>0</v>
      </c>
      <c r="O53" s="15">
        <f t="shared" si="0"/>
        <v>111</v>
      </c>
      <c r="P53" s="15">
        <f t="shared" si="1"/>
        <v>144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15</v>
      </c>
      <c r="E54" s="50">
        <v>7</v>
      </c>
      <c r="F54" s="50">
        <v>27</v>
      </c>
      <c r="G54" s="50">
        <v>5</v>
      </c>
      <c r="H54" s="50">
        <v>5</v>
      </c>
      <c r="I54" s="50">
        <v>14</v>
      </c>
      <c r="J54" s="50">
        <v>4</v>
      </c>
      <c r="K54" s="50">
        <v>1</v>
      </c>
      <c r="L54" s="50">
        <v>3</v>
      </c>
      <c r="M54" s="50">
        <v>35</v>
      </c>
      <c r="N54" s="50">
        <v>0</v>
      </c>
      <c r="O54" s="15">
        <f t="shared" si="0"/>
        <v>141</v>
      </c>
      <c r="P54" s="15">
        <f t="shared" si="1"/>
        <v>176</v>
      </c>
      <c r="R54" s="8"/>
      <c r="T54"/>
    </row>
    <row r="55" spans="2:20" ht="23.1" customHeight="1" x14ac:dyDescent="0.25">
      <c r="B55" s="23" t="s">
        <v>82</v>
      </c>
      <c r="C55" s="50">
        <v>57</v>
      </c>
      <c r="D55" s="50">
        <v>18</v>
      </c>
      <c r="E55" s="50">
        <v>8</v>
      </c>
      <c r="F55" s="50">
        <v>34</v>
      </c>
      <c r="G55" s="50">
        <v>7</v>
      </c>
      <c r="H55" s="50">
        <v>1</v>
      </c>
      <c r="I55" s="50">
        <v>14</v>
      </c>
      <c r="J55" s="50">
        <v>2</v>
      </c>
      <c r="K55" s="50">
        <v>4</v>
      </c>
      <c r="L55" s="50">
        <v>2</v>
      </c>
      <c r="M55" s="50">
        <v>39</v>
      </c>
      <c r="N55" s="50">
        <v>0</v>
      </c>
      <c r="O55" s="15">
        <f t="shared" si="0"/>
        <v>147</v>
      </c>
      <c r="P55" s="15">
        <f t="shared" si="1"/>
        <v>186</v>
      </c>
      <c r="R55" s="8"/>
      <c r="T55"/>
    </row>
    <row r="56" spans="2:20" ht="23.1" customHeight="1" x14ac:dyDescent="0.25">
      <c r="B56" s="23" t="s">
        <v>83</v>
      </c>
      <c r="C56" s="50">
        <v>85</v>
      </c>
      <c r="D56" s="50">
        <v>25</v>
      </c>
      <c r="E56" s="50">
        <v>11</v>
      </c>
      <c r="F56" s="50">
        <v>36</v>
      </c>
      <c r="G56" s="50">
        <v>13</v>
      </c>
      <c r="H56" s="50">
        <v>2</v>
      </c>
      <c r="I56" s="50">
        <v>27</v>
      </c>
      <c r="J56" s="50">
        <v>2</v>
      </c>
      <c r="K56" s="50">
        <v>2</v>
      </c>
      <c r="L56" s="50">
        <v>3</v>
      </c>
      <c r="M56" s="50">
        <v>31</v>
      </c>
      <c r="N56" s="50">
        <v>0</v>
      </c>
      <c r="O56" s="15">
        <f t="shared" si="0"/>
        <v>206</v>
      </c>
      <c r="P56" s="15">
        <f t="shared" si="1"/>
        <v>237</v>
      </c>
      <c r="R56" s="8"/>
      <c r="T56"/>
    </row>
    <row r="57" spans="2:20" ht="23.1" customHeight="1" x14ac:dyDescent="0.25">
      <c r="B57" s="23" t="s">
        <v>84</v>
      </c>
      <c r="C57" s="50">
        <v>73</v>
      </c>
      <c r="D57" s="50">
        <v>22</v>
      </c>
      <c r="E57" s="50">
        <v>7</v>
      </c>
      <c r="F57" s="50">
        <v>36</v>
      </c>
      <c r="G57" s="50">
        <v>9</v>
      </c>
      <c r="H57" s="50">
        <v>2</v>
      </c>
      <c r="I57" s="50">
        <v>22</v>
      </c>
      <c r="J57" s="50">
        <v>4</v>
      </c>
      <c r="K57" s="50">
        <v>2</v>
      </c>
      <c r="L57" s="50">
        <v>3</v>
      </c>
      <c r="M57" s="50">
        <v>34</v>
      </c>
      <c r="N57" s="50">
        <v>0</v>
      </c>
      <c r="O57" s="15">
        <f t="shared" si="0"/>
        <v>180</v>
      </c>
      <c r="P57" s="15">
        <f t="shared" si="1"/>
        <v>214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1308</v>
      </c>
      <c r="D58" s="16">
        <f t="shared" si="21"/>
        <v>355</v>
      </c>
      <c r="E58" s="16">
        <f t="shared" si="21"/>
        <v>222</v>
      </c>
      <c r="F58" s="16">
        <f t="shared" si="21"/>
        <v>1163</v>
      </c>
      <c r="G58" s="16">
        <f t="shared" si="21"/>
        <v>74</v>
      </c>
      <c r="H58" s="16">
        <f t="shared" si="21"/>
        <v>64</v>
      </c>
      <c r="I58" s="16">
        <f t="shared" si="21"/>
        <v>524</v>
      </c>
      <c r="J58" s="16">
        <f t="shared" si="21"/>
        <v>97</v>
      </c>
      <c r="K58" s="16">
        <f t="shared" si="21"/>
        <v>36</v>
      </c>
      <c r="L58" s="16">
        <f t="shared" si="21"/>
        <v>113</v>
      </c>
      <c r="M58" s="16">
        <f t="shared" si="21"/>
        <v>1254</v>
      </c>
      <c r="N58" s="16">
        <f t="shared" si="21"/>
        <v>0</v>
      </c>
      <c r="O58" s="16">
        <f t="shared" si="21"/>
        <v>3956</v>
      </c>
      <c r="P58" s="16">
        <f t="shared" si="21"/>
        <v>5210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0.25105566218809983</v>
      </c>
      <c r="D59" s="43">
        <f t="shared" si="22"/>
        <v>6.8138195777351251E-2</v>
      </c>
      <c r="E59" s="43">
        <f t="shared" si="22"/>
        <v>4.2610364683301344E-2</v>
      </c>
      <c r="F59" s="43">
        <f t="shared" si="22"/>
        <v>0.22322456813819577</v>
      </c>
      <c r="G59" s="43">
        <f t="shared" si="22"/>
        <v>1.4203454894433781E-2</v>
      </c>
      <c r="H59" s="43">
        <f t="shared" si="22"/>
        <v>1.2284069097888676E-2</v>
      </c>
      <c r="I59" s="43">
        <f t="shared" si="22"/>
        <v>0.10057581573896353</v>
      </c>
      <c r="J59" s="43">
        <f t="shared" si="22"/>
        <v>1.8618042226487524E-2</v>
      </c>
      <c r="K59" s="43">
        <f t="shared" si="22"/>
        <v>6.9097888675623796E-3</v>
      </c>
      <c r="L59" s="43">
        <f t="shared" si="22"/>
        <v>2.1689059500959694E-2</v>
      </c>
      <c r="M59" s="43">
        <f t="shared" si="22"/>
        <v>0.24069097888675625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0.33063700707785643</v>
      </c>
      <c r="D60" s="44">
        <f t="shared" ref="D60:N60" si="23">D58/$O$58</f>
        <v>8.9737108190090994E-2</v>
      </c>
      <c r="E60" s="44">
        <f t="shared" si="23"/>
        <v>5.6117290192113249E-2</v>
      </c>
      <c r="F60" s="44">
        <f t="shared" si="23"/>
        <v>0.29398382204246715</v>
      </c>
      <c r="G60" s="44">
        <f t="shared" si="23"/>
        <v>1.8705763397371081E-2</v>
      </c>
      <c r="H60" s="44">
        <f t="shared" si="23"/>
        <v>1.6177957532861477E-2</v>
      </c>
      <c r="I60" s="44">
        <f t="shared" si="23"/>
        <v>0.13245702730030334</v>
      </c>
      <c r="J60" s="44">
        <f t="shared" si="23"/>
        <v>2.4519716885743174E-2</v>
      </c>
      <c r="K60" s="44">
        <f t="shared" si="23"/>
        <v>9.1001011122345803E-3</v>
      </c>
      <c r="L60" s="44">
        <f t="shared" si="23"/>
        <v>2.8564206268958545E-2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H52" sqref="H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'28.10 Masaka-Maya'!D5</f>
        <v>28.10.19</v>
      </c>
      <c r="E5" s="3"/>
      <c r="F5" s="41" t="s">
        <v>1</v>
      </c>
      <c r="G5" s="63" t="str">
        <f>'28.10 Masaka-Maya'!G5:H5</f>
        <v>Maya</v>
      </c>
      <c r="H5" s="64"/>
      <c r="I5" s="14"/>
      <c r="J5" s="2" t="s">
        <v>5</v>
      </c>
      <c r="K5" s="63" t="s">
        <v>169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'28.10 Masaka-Maya'!K6:L6</f>
        <v>Mbabazi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</v>
      </c>
      <c r="D10" s="50">
        <v>6</v>
      </c>
      <c r="E10" s="50">
        <v>10</v>
      </c>
      <c r="F10" s="50">
        <v>19</v>
      </c>
      <c r="G10" s="50">
        <v>1</v>
      </c>
      <c r="H10" s="50">
        <v>1</v>
      </c>
      <c r="I10" s="50">
        <v>8</v>
      </c>
      <c r="J10" s="50">
        <v>3</v>
      </c>
      <c r="K10" s="50">
        <v>4</v>
      </c>
      <c r="L10" s="50">
        <v>1</v>
      </c>
      <c r="M10" s="50">
        <v>11</v>
      </c>
      <c r="N10" s="50">
        <v>0</v>
      </c>
      <c r="O10" s="15">
        <f t="shared" ref="O10:O57" si="0">SUM(C10:L10,N10)</f>
        <v>71</v>
      </c>
      <c r="P10" s="15">
        <f t="shared" ref="P10:P57" si="1">SUM(C10:N10)</f>
        <v>82</v>
      </c>
      <c r="R10" s="1" t="s">
        <v>6</v>
      </c>
      <c r="S10" s="17">
        <f t="shared" ref="S10:AF10" si="2">SUM(C10:C13)</f>
        <v>84</v>
      </c>
      <c r="T10" s="17">
        <f t="shared" si="2"/>
        <v>24</v>
      </c>
      <c r="U10" s="17">
        <f t="shared" si="2"/>
        <v>28</v>
      </c>
      <c r="V10" s="17">
        <f t="shared" si="2"/>
        <v>69</v>
      </c>
      <c r="W10" s="17">
        <f t="shared" si="2"/>
        <v>5</v>
      </c>
      <c r="X10" s="17">
        <f t="shared" si="2"/>
        <v>4</v>
      </c>
      <c r="Y10" s="17">
        <f t="shared" si="2"/>
        <v>31</v>
      </c>
      <c r="Z10" s="17">
        <f t="shared" si="2"/>
        <v>17</v>
      </c>
      <c r="AA10" s="17">
        <f t="shared" si="2"/>
        <v>12</v>
      </c>
      <c r="AB10" s="17">
        <f t="shared" si="2"/>
        <v>10</v>
      </c>
      <c r="AC10" s="17">
        <f t="shared" si="2"/>
        <v>66</v>
      </c>
      <c r="AD10" s="17">
        <f t="shared" si="2"/>
        <v>0</v>
      </c>
      <c r="AE10" s="31">
        <f t="shared" si="2"/>
        <v>284</v>
      </c>
      <c r="AF10" s="31">
        <f t="shared" si="2"/>
        <v>350</v>
      </c>
    </row>
    <row r="11" spans="2:32" s="6" customFormat="1" ht="23.1" customHeight="1" x14ac:dyDescent="0.25">
      <c r="B11" s="23" t="s">
        <v>38</v>
      </c>
      <c r="C11" s="50">
        <v>21</v>
      </c>
      <c r="D11" s="50">
        <v>6</v>
      </c>
      <c r="E11" s="50">
        <v>5</v>
      </c>
      <c r="F11" s="50">
        <v>11</v>
      </c>
      <c r="G11" s="50">
        <v>2</v>
      </c>
      <c r="H11" s="50">
        <v>1</v>
      </c>
      <c r="I11" s="50">
        <v>8</v>
      </c>
      <c r="J11" s="50">
        <v>4</v>
      </c>
      <c r="K11" s="50">
        <v>3</v>
      </c>
      <c r="L11" s="50">
        <v>3</v>
      </c>
      <c r="M11" s="50">
        <v>13</v>
      </c>
      <c r="N11" s="50">
        <v>0</v>
      </c>
      <c r="O11" s="15">
        <f t="shared" si="0"/>
        <v>64</v>
      </c>
      <c r="P11" s="15">
        <f t="shared" si="1"/>
        <v>77</v>
      </c>
      <c r="R11" s="1" t="s">
        <v>7</v>
      </c>
      <c r="S11" s="17">
        <f t="shared" ref="S11:AF11" si="3">SUM(C14:C17)</f>
        <v>107</v>
      </c>
      <c r="T11" s="17">
        <f t="shared" si="3"/>
        <v>20</v>
      </c>
      <c r="U11" s="17">
        <f t="shared" si="3"/>
        <v>22</v>
      </c>
      <c r="V11" s="17">
        <f t="shared" si="3"/>
        <v>62</v>
      </c>
      <c r="W11" s="17">
        <f t="shared" si="3"/>
        <v>6</v>
      </c>
      <c r="X11" s="17">
        <f t="shared" si="3"/>
        <v>5</v>
      </c>
      <c r="Y11" s="17">
        <f t="shared" si="3"/>
        <v>24</v>
      </c>
      <c r="Z11" s="17">
        <f t="shared" si="3"/>
        <v>23</v>
      </c>
      <c r="AA11" s="17">
        <f t="shared" si="3"/>
        <v>4</v>
      </c>
      <c r="AB11" s="17">
        <f t="shared" si="3"/>
        <v>3</v>
      </c>
      <c r="AC11" s="17">
        <f t="shared" si="3"/>
        <v>54</v>
      </c>
      <c r="AD11" s="17">
        <f t="shared" si="3"/>
        <v>0</v>
      </c>
      <c r="AE11" s="31">
        <f t="shared" si="3"/>
        <v>276</v>
      </c>
      <c r="AF11" s="31">
        <f t="shared" si="3"/>
        <v>330</v>
      </c>
    </row>
    <row r="12" spans="2:32" ht="23.1" customHeight="1" x14ac:dyDescent="0.25">
      <c r="B12" s="23" t="s">
        <v>39</v>
      </c>
      <c r="C12" s="50">
        <v>21</v>
      </c>
      <c r="D12" s="50">
        <v>6</v>
      </c>
      <c r="E12" s="50">
        <v>6</v>
      </c>
      <c r="F12" s="50">
        <v>17</v>
      </c>
      <c r="G12" s="50">
        <v>2</v>
      </c>
      <c r="H12" s="50">
        <v>0</v>
      </c>
      <c r="I12" s="50">
        <v>5</v>
      </c>
      <c r="J12" s="50">
        <v>6</v>
      </c>
      <c r="K12" s="50">
        <v>1</v>
      </c>
      <c r="L12" s="50">
        <v>5</v>
      </c>
      <c r="M12" s="50">
        <v>24</v>
      </c>
      <c r="N12" s="50">
        <v>0</v>
      </c>
      <c r="O12" s="15">
        <f t="shared" si="0"/>
        <v>69</v>
      </c>
      <c r="P12" s="15">
        <f t="shared" si="1"/>
        <v>93</v>
      </c>
      <c r="R12" s="1" t="s">
        <v>8</v>
      </c>
      <c r="S12" s="17">
        <f t="shared" ref="S12:AF12" si="4">SUM(C18:C21)</f>
        <v>108</v>
      </c>
      <c r="T12" s="17">
        <f t="shared" si="4"/>
        <v>29</v>
      </c>
      <c r="U12" s="17">
        <f t="shared" si="4"/>
        <v>19</v>
      </c>
      <c r="V12" s="17">
        <f t="shared" si="4"/>
        <v>81</v>
      </c>
      <c r="W12" s="17">
        <f t="shared" si="4"/>
        <v>4</v>
      </c>
      <c r="X12" s="17">
        <f t="shared" si="4"/>
        <v>5</v>
      </c>
      <c r="Y12" s="17">
        <f t="shared" si="4"/>
        <v>30</v>
      </c>
      <c r="Z12" s="17">
        <f t="shared" si="4"/>
        <v>23</v>
      </c>
      <c r="AA12" s="17">
        <f t="shared" si="4"/>
        <v>9</v>
      </c>
      <c r="AB12" s="17">
        <f t="shared" si="4"/>
        <v>7</v>
      </c>
      <c r="AC12" s="17">
        <f t="shared" si="4"/>
        <v>83</v>
      </c>
      <c r="AD12" s="17">
        <f t="shared" si="4"/>
        <v>0</v>
      </c>
      <c r="AE12" s="31">
        <f t="shared" si="4"/>
        <v>315</v>
      </c>
      <c r="AF12" s="31">
        <f t="shared" si="4"/>
        <v>398</v>
      </c>
    </row>
    <row r="13" spans="2:32" ht="23.1" customHeight="1" x14ac:dyDescent="0.25">
      <c r="B13" s="23" t="s">
        <v>40</v>
      </c>
      <c r="C13" s="50">
        <v>24</v>
      </c>
      <c r="D13" s="50">
        <v>6</v>
      </c>
      <c r="E13" s="50">
        <v>7</v>
      </c>
      <c r="F13" s="50">
        <v>22</v>
      </c>
      <c r="G13" s="50">
        <v>0</v>
      </c>
      <c r="H13" s="50">
        <v>2</v>
      </c>
      <c r="I13" s="50">
        <v>10</v>
      </c>
      <c r="J13" s="50">
        <v>4</v>
      </c>
      <c r="K13" s="50">
        <v>4</v>
      </c>
      <c r="L13" s="50">
        <v>1</v>
      </c>
      <c r="M13" s="50">
        <v>18</v>
      </c>
      <c r="N13" s="50">
        <v>0</v>
      </c>
      <c r="O13" s="15">
        <f t="shared" si="0"/>
        <v>80</v>
      </c>
      <c r="P13" s="15">
        <f t="shared" si="1"/>
        <v>98</v>
      </c>
      <c r="R13" s="1" t="s">
        <v>9</v>
      </c>
      <c r="S13" s="17">
        <f t="shared" ref="S13:AF13" si="5">SUM(C22:C25)</f>
        <v>118</v>
      </c>
      <c r="T13" s="17">
        <f t="shared" si="5"/>
        <v>21</v>
      </c>
      <c r="U13" s="17">
        <f t="shared" si="5"/>
        <v>14</v>
      </c>
      <c r="V13" s="17">
        <f t="shared" si="5"/>
        <v>83</v>
      </c>
      <c r="W13" s="17">
        <f t="shared" si="5"/>
        <v>11</v>
      </c>
      <c r="X13" s="17">
        <f t="shared" si="5"/>
        <v>6</v>
      </c>
      <c r="Y13" s="17">
        <f t="shared" si="5"/>
        <v>25</v>
      </c>
      <c r="Z13" s="17">
        <f t="shared" si="5"/>
        <v>29</v>
      </c>
      <c r="AA13" s="17">
        <f t="shared" si="5"/>
        <v>11</v>
      </c>
      <c r="AB13" s="17">
        <f t="shared" si="5"/>
        <v>5</v>
      </c>
      <c r="AC13" s="17">
        <f t="shared" si="5"/>
        <v>85</v>
      </c>
      <c r="AD13" s="17">
        <f t="shared" si="5"/>
        <v>0</v>
      </c>
      <c r="AE13" s="31">
        <f t="shared" si="5"/>
        <v>323</v>
      </c>
      <c r="AF13" s="31">
        <f t="shared" si="5"/>
        <v>408</v>
      </c>
    </row>
    <row r="14" spans="2:32" ht="23.1" customHeight="1" x14ac:dyDescent="0.25">
      <c r="B14" s="23" t="s">
        <v>41</v>
      </c>
      <c r="C14" s="50">
        <v>20</v>
      </c>
      <c r="D14" s="50">
        <v>4</v>
      </c>
      <c r="E14" s="50">
        <v>6</v>
      </c>
      <c r="F14" s="50">
        <v>12</v>
      </c>
      <c r="G14" s="50">
        <v>2</v>
      </c>
      <c r="H14" s="50">
        <v>2</v>
      </c>
      <c r="I14" s="50">
        <v>8</v>
      </c>
      <c r="J14" s="50">
        <v>5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59</v>
      </c>
      <c r="P14" s="15">
        <f t="shared" si="1"/>
        <v>64</v>
      </c>
      <c r="R14" s="1" t="s">
        <v>10</v>
      </c>
      <c r="S14" s="17">
        <f t="shared" ref="S14:AF14" si="6">SUM(C26:C29)</f>
        <v>153</v>
      </c>
      <c r="T14" s="17">
        <f t="shared" si="6"/>
        <v>46</v>
      </c>
      <c r="U14" s="17">
        <f t="shared" si="6"/>
        <v>30</v>
      </c>
      <c r="V14" s="17">
        <f t="shared" si="6"/>
        <v>154</v>
      </c>
      <c r="W14" s="17">
        <f t="shared" si="6"/>
        <v>14</v>
      </c>
      <c r="X14" s="17">
        <f t="shared" si="6"/>
        <v>7</v>
      </c>
      <c r="Y14" s="17">
        <f t="shared" si="6"/>
        <v>39</v>
      </c>
      <c r="Z14" s="17">
        <f t="shared" si="6"/>
        <v>35</v>
      </c>
      <c r="AA14" s="17">
        <f t="shared" si="6"/>
        <v>11</v>
      </c>
      <c r="AB14" s="17">
        <f t="shared" si="6"/>
        <v>10</v>
      </c>
      <c r="AC14" s="17">
        <f t="shared" si="6"/>
        <v>82</v>
      </c>
      <c r="AD14" s="17">
        <f t="shared" si="6"/>
        <v>0</v>
      </c>
      <c r="AE14" s="31">
        <f t="shared" si="6"/>
        <v>499</v>
      </c>
      <c r="AF14" s="31">
        <f t="shared" si="6"/>
        <v>581</v>
      </c>
    </row>
    <row r="15" spans="2:32" ht="23.1" customHeight="1" x14ac:dyDescent="0.25">
      <c r="B15" s="23" t="s">
        <v>42</v>
      </c>
      <c r="C15" s="50">
        <v>25</v>
      </c>
      <c r="D15" s="50">
        <v>5</v>
      </c>
      <c r="E15" s="50">
        <v>6</v>
      </c>
      <c r="F15" s="50">
        <v>15</v>
      </c>
      <c r="G15" s="50">
        <v>1</v>
      </c>
      <c r="H15" s="50">
        <v>2</v>
      </c>
      <c r="I15" s="50">
        <v>11</v>
      </c>
      <c r="J15" s="50">
        <v>8</v>
      </c>
      <c r="K15" s="50">
        <v>3</v>
      </c>
      <c r="L15" s="50">
        <v>2</v>
      </c>
      <c r="M15" s="50">
        <v>11</v>
      </c>
      <c r="N15" s="50">
        <v>0</v>
      </c>
      <c r="O15" s="15">
        <f t="shared" si="0"/>
        <v>78</v>
      </c>
      <c r="P15" s="15">
        <f t="shared" si="1"/>
        <v>89</v>
      </c>
      <c r="R15" s="1" t="s">
        <v>11</v>
      </c>
      <c r="S15" s="17">
        <f t="shared" ref="S15:AF15" si="7">SUM(C30:C33)</f>
        <v>157</v>
      </c>
      <c r="T15" s="17">
        <f t="shared" si="7"/>
        <v>41</v>
      </c>
      <c r="U15" s="17">
        <f t="shared" si="7"/>
        <v>21</v>
      </c>
      <c r="V15" s="17">
        <f t="shared" si="7"/>
        <v>131</v>
      </c>
      <c r="W15" s="17">
        <f t="shared" si="7"/>
        <v>8</v>
      </c>
      <c r="X15" s="17">
        <f t="shared" si="7"/>
        <v>11</v>
      </c>
      <c r="Y15" s="17">
        <f t="shared" si="7"/>
        <v>37</v>
      </c>
      <c r="Z15" s="17">
        <f t="shared" si="7"/>
        <v>45</v>
      </c>
      <c r="AA15" s="17">
        <f t="shared" si="7"/>
        <v>14</v>
      </c>
      <c r="AB15" s="17">
        <f t="shared" si="7"/>
        <v>7</v>
      </c>
      <c r="AC15" s="17">
        <f t="shared" si="7"/>
        <v>86</v>
      </c>
      <c r="AD15" s="17">
        <f t="shared" si="7"/>
        <v>0</v>
      </c>
      <c r="AE15" s="31">
        <f t="shared" si="7"/>
        <v>472</v>
      </c>
      <c r="AF15" s="31">
        <f t="shared" si="7"/>
        <v>558</v>
      </c>
    </row>
    <row r="16" spans="2:32" ht="23.1" customHeight="1" x14ac:dyDescent="0.25">
      <c r="B16" s="23" t="s">
        <v>43</v>
      </c>
      <c r="C16" s="50">
        <v>42</v>
      </c>
      <c r="D16" s="50">
        <v>8</v>
      </c>
      <c r="E16" s="50">
        <v>7</v>
      </c>
      <c r="F16" s="50">
        <v>18</v>
      </c>
      <c r="G16" s="50">
        <v>0</v>
      </c>
      <c r="H16" s="50">
        <v>0</v>
      </c>
      <c r="I16" s="50">
        <v>3</v>
      </c>
      <c r="J16" s="50">
        <v>6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84</v>
      </c>
      <c r="P16" s="15">
        <f t="shared" si="1"/>
        <v>100</v>
      </c>
      <c r="R16" s="1" t="s">
        <v>12</v>
      </c>
      <c r="S16" s="17">
        <f t="shared" ref="S16:AF16" si="8">SUM(C34:C37)</f>
        <v>151</v>
      </c>
      <c r="T16" s="17">
        <f t="shared" si="8"/>
        <v>40</v>
      </c>
      <c r="U16" s="17">
        <f t="shared" si="8"/>
        <v>21</v>
      </c>
      <c r="V16" s="17">
        <f t="shared" si="8"/>
        <v>125</v>
      </c>
      <c r="W16" s="17">
        <f t="shared" si="8"/>
        <v>10</v>
      </c>
      <c r="X16" s="17">
        <f t="shared" si="8"/>
        <v>5</v>
      </c>
      <c r="Y16" s="17">
        <f t="shared" si="8"/>
        <v>40</v>
      </c>
      <c r="Z16" s="17">
        <f t="shared" si="8"/>
        <v>46</v>
      </c>
      <c r="AA16" s="17">
        <f t="shared" si="8"/>
        <v>12</v>
      </c>
      <c r="AB16" s="17">
        <f t="shared" si="8"/>
        <v>3</v>
      </c>
      <c r="AC16" s="17">
        <f t="shared" si="8"/>
        <v>79</v>
      </c>
      <c r="AD16" s="17">
        <f t="shared" si="8"/>
        <v>0</v>
      </c>
      <c r="AE16" s="31">
        <f t="shared" si="8"/>
        <v>453</v>
      </c>
      <c r="AF16" s="31">
        <f t="shared" si="8"/>
        <v>532</v>
      </c>
    </row>
    <row r="17" spans="2:32" ht="23.1" customHeight="1" x14ac:dyDescent="0.25">
      <c r="B17" s="23" t="s">
        <v>44</v>
      </c>
      <c r="C17" s="50">
        <v>20</v>
      </c>
      <c r="D17" s="50">
        <v>3</v>
      </c>
      <c r="E17" s="50">
        <v>3</v>
      </c>
      <c r="F17" s="50">
        <v>17</v>
      </c>
      <c r="G17" s="50">
        <v>3</v>
      </c>
      <c r="H17" s="50">
        <v>1</v>
      </c>
      <c r="I17" s="50">
        <v>2</v>
      </c>
      <c r="J17" s="50">
        <v>4</v>
      </c>
      <c r="K17" s="50">
        <v>1</v>
      </c>
      <c r="L17" s="50">
        <v>1</v>
      </c>
      <c r="M17" s="50">
        <v>22</v>
      </c>
      <c r="N17" s="50">
        <v>0</v>
      </c>
      <c r="O17" s="15">
        <f t="shared" si="0"/>
        <v>55</v>
      </c>
      <c r="P17" s="15">
        <f t="shared" si="1"/>
        <v>77</v>
      </c>
      <c r="R17" s="1" t="s">
        <v>13</v>
      </c>
      <c r="S17" s="17">
        <f t="shared" ref="S17:AF17" si="9">SUM(C38:C41)</f>
        <v>166</v>
      </c>
      <c r="T17" s="17">
        <f t="shared" si="9"/>
        <v>36</v>
      </c>
      <c r="U17" s="17">
        <f t="shared" si="9"/>
        <v>29</v>
      </c>
      <c r="V17" s="17">
        <f t="shared" si="9"/>
        <v>117</v>
      </c>
      <c r="W17" s="17">
        <f t="shared" si="9"/>
        <v>11</v>
      </c>
      <c r="X17" s="17">
        <f t="shared" si="9"/>
        <v>7</v>
      </c>
      <c r="Y17" s="17">
        <f t="shared" si="9"/>
        <v>37</v>
      </c>
      <c r="Z17" s="17">
        <f t="shared" si="9"/>
        <v>31</v>
      </c>
      <c r="AA17" s="17">
        <f t="shared" si="9"/>
        <v>10</v>
      </c>
      <c r="AB17" s="17">
        <f t="shared" si="9"/>
        <v>4</v>
      </c>
      <c r="AC17" s="17">
        <f t="shared" si="9"/>
        <v>78</v>
      </c>
      <c r="AD17" s="17">
        <f t="shared" si="9"/>
        <v>0</v>
      </c>
      <c r="AE17" s="31">
        <f t="shared" si="9"/>
        <v>448</v>
      </c>
      <c r="AF17" s="31">
        <f t="shared" si="9"/>
        <v>526</v>
      </c>
    </row>
    <row r="18" spans="2:32" ht="23.1" customHeight="1" x14ac:dyDescent="0.25">
      <c r="B18" s="23" t="s">
        <v>45</v>
      </c>
      <c r="C18" s="50">
        <v>15</v>
      </c>
      <c r="D18" s="50">
        <v>4</v>
      </c>
      <c r="E18" s="50">
        <v>1</v>
      </c>
      <c r="F18" s="50">
        <v>12</v>
      </c>
      <c r="G18" s="50">
        <v>2</v>
      </c>
      <c r="H18" s="50">
        <v>0</v>
      </c>
      <c r="I18" s="50">
        <v>3</v>
      </c>
      <c r="J18" s="50">
        <v>4</v>
      </c>
      <c r="K18" s="50">
        <v>1</v>
      </c>
      <c r="L18" s="50">
        <v>0</v>
      </c>
      <c r="M18" s="50">
        <v>11</v>
      </c>
      <c r="N18" s="50">
        <v>0</v>
      </c>
      <c r="O18" s="15">
        <f t="shared" si="0"/>
        <v>42</v>
      </c>
      <c r="P18" s="15">
        <f t="shared" si="1"/>
        <v>53</v>
      </c>
      <c r="R18" s="1" t="s">
        <v>14</v>
      </c>
      <c r="S18" s="17">
        <f t="shared" ref="S18:AF18" si="10">SUM(C42:C45)</f>
        <v>168</v>
      </c>
      <c r="T18" s="17">
        <f t="shared" si="10"/>
        <v>61</v>
      </c>
      <c r="U18" s="17">
        <f t="shared" si="10"/>
        <v>20</v>
      </c>
      <c r="V18" s="17">
        <f t="shared" si="10"/>
        <v>97</v>
      </c>
      <c r="W18" s="17">
        <f t="shared" si="10"/>
        <v>6</v>
      </c>
      <c r="X18" s="17">
        <f t="shared" si="10"/>
        <v>9</v>
      </c>
      <c r="Y18" s="17">
        <f t="shared" si="10"/>
        <v>49</v>
      </c>
      <c r="Z18" s="17">
        <f t="shared" si="10"/>
        <v>39</v>
      </c>
      <c r="AA18" s="17">
        <f t="shared" si="10"/>
        <v>2</v>
      </c>
      <c r="AB18" s="17">
        <f t="shared" si="10"/>
        <v>3</v>
      </c>
      <c r="AC18" s="17">
        <f t="shared" si="10"/>
        <v>92</v>
      </c>
      <c r="AD18" s="17">
        <f t="shared" si="10"/>
        <v>0</v>
      </c>
      <c r="AE18" s="31">
        <f t="shared" si="10"/>
        <v>454</v>
      </c>
      <c r="AF18" s="31">
        <f t="shared" si="10"/>
        <v>546</v>
      </c>
    </row>
    <row r="19" spans="2:32" ht="23.1" customHeight="1" x14ac:dyDescent="0.25">
      <c r="B19" s="23" t="s">
        <v>46</v>
      </c>
      <c r="C19" s="50">
        <v>19</v>
      </c>
      <c r="D19" s="50">
        <v>5</v>
      </c>
      <c r="E19" s="50">
        <v>4</v>
      </c>
      <c r="F19" s="50">
        <v>17</v>
      </c>
      <c r="G19" s="50">
        <v>0</v>
      </c>
      <c r="H19" s="50">
        <v>1</v>
      </c>
      <c r="I19" s="50">
        <v>8</v>
      </c>
      <c r="J19" s="50">
        <v>5</v>
      </c>
      <c r="K19" s="50">
        <v>2</v>
      </c>
      <c r="L19" s="50">
        <v>1</v>
      </c>
      <c r="M19" s="50">
        <v>14</v>
      </c>
      <c r="N19" s="50">
        <v>0</v>
      </c>
      <c r="O19" s="15">
        <f t="shared" si="0"/>
        <v>62</v>
      </c>
      <c r="P19" s="15">
        <f t="shared" si="1"/>
        <v>76</v>
      </c>
      <c r="R19" s="1" t="s">
        <v>15</v>
      </c>
      <c r="S19" s="17">
        <f t="shared" ref="S19:AF19" si="11">SUM(C46:C49)</f>
        <v>130</v>
      </c>
      <c r="T19" s="17">
        <f t="shared" si="11"/>
        <v>23</v>
      </c>
      <c r="U19" s="17">
        <f t="shared" si="11"/>
        <v>24</v>
      </c>
      <c r="V19" s="17">
        <f t="shared" si="11"/>
        <v>107</v>
      </c>
      <c r="W19" s="17">
        <f t="shared" si="11"/>
        <v>8</v>
      </c>
      <c r="X19" s="17">
        <f t="shared" si="11"/>
        <v>5</v>
      </c>
      <c r="Y19" s="17">
        <f t="shared" si="11"/>
        <v>47</v>
      </c>
      <c r="Z19" s="17">
        <f t="shared" si="11"/>
        <v>20</v>
      </c>
      <c r="AA19" s="17">
        <f t="shared" si="11"/>
        <v>27</v>
      </c>
      <c r="AB19" s="17">
        <f t="shared" si="11"/>
        <v>10</v>
      </c>
      <c r="AC19" s="17">
        <f t="shared" si="11"/>
        <v>91</v>
      </c>
      <c r="AD19" s="17">
        <f t="shared" si="11"/>
        <v>0</v>
      </c>
      <c r="AE19" s="31">
        <f t="shared" si="11"/>
        <v>401</v>
      </c>
      <c r="AF19" s="31">
        <f t="shared" si="11"/>
        <v>492</v>
      </c>
    </row>
    <row r="20" spans="2:32" ht="23.1" customHeight="1" x14ac:dyDescent="0.25">
      <c r="B20" s="23" t="s">
        <v>47</v>
      </c>
      <c r="C20" s="50">
        <v>48</v>
      </c>
      <c r="D20" s="50">
        <v>8</v>
      </c>
      <c r="E20" s="50">
        <v>11</v>
      </c>
      <c r="F20" s="50">
        <v>36</v>
      </c>
      <c r="G20" s="50">
        <v>2</v>
      </c>
      <c r="H20" s="50">
        <v>2</v>
      </c>
      <c r="I20" s="50">
        <v>10</v>
      </c>
      <c r="J20" s="50">
        <v>12</v>
      </c>
      <c r="K20" s="50">
        <v>3</v>
      </c>
      <c r="L20" s="50">
        <v>4</v>
      </c>
      <c r="M20" s="50">
        <v>36</v>
      </c>
      <c r="N20" s="50">
        <v>0</v>
      </c>
      <c r="O20" s="15">
        <f t="shared" si="0"/>
        <v>136</v>
      </c>
      <c r="P20" s="15">
        <f t="shared" si="1"/>
        <v>172</v>
      </c>
      <c r="R20" s="1" t="s">
        <v>16</v>
      </c>
      <c r="S20" s="17">
        <f t="shared" ref="S20:AF20" si="12">SUM(C50:C53)</f>
        <v>120</v>
      </c>
      <c r="T20" s="17">
        <f t="shared" si="12"/>
        <v>22</v>
      </c>
      <c r="U20" s="17">
        <f t="shared" si="12"/>
        <v>14</v>
      </c>
      <c r="V20" s="17">
        <f t="shared" si="12"/>
        <v>112</v>
      </c>
      <c r="W20" s="17">
        <f t="shared" si="12"/>
        <v>7</v>
      </c>
      <c r="X20" s="17">
        <f t="shared" si="12"/>
        <v>7</v>
      </c>
      <c r="Y20" s="17">
        <f t="shared" si="12"/>
        <v>47</v>
      </c>
      <c r="Z20" s="17">
        <f t="shared" si="12"/>
        <v>34</v>
      </c>
      <c r="AA20" s="17">
        <f t="shared" si="12"/>
        <v>19</v>
      </c>
      <c r="AB20" s="17">
        <f t="shared" si="12"/>
        <v>7</v>
      </c>
      <c r="AC20" s="17">
        <f t="shared" si="12"/>
        <v>99</v>
      </c>
      <c r="AD20" s="17">
        <f t="shared" si="12"/>
        <v>0</v>
      </c>
      <c r="AE20" s="31">
        <f t="shared" si="12"/>
        <v>389</v>
      </c>
      <c r="AF20" s="31">
        <f t="shared" si="12"/>
        <v>488</v>
      </c>
    </row>
    <row r="21" spans="2:32" ht="23.1" customHeight="1" x14ac:dyDescent="0.25">
      <c r="B21" s="23" t="s">
        <v>48</v>
      </c>
      <c r="C21" s="50">
        <v>26</v>
      </c>
      <c r="D21" s="50">
        <v>12</v>
      </c>
      <c r="E21" s="50">
        <v>3</v>
      </c>
      <c r="F21" s="50">
        <v>16</v>
      </c>
      <c r="G21" s="50">
        <v>0</v>
      </c>
      <c r="H21" s="50">
        <v>2</v>
      </c>
      <c r="I21" s="50">
        <v>9</v>
      </c>
      <c r="J21" s="50">
        <v>2</v>
      </c>
      <c r="K21" s="50">
        <v>3</v>
      </c>
      <c r="L21" s="50">
        <v>2</v>
      </c>
      <c r="M21" s="50">
        <v>22</v>
      </c>
      <c r="N21" s="50">
        <v>0</v>
      </c>
      <c r="O21" s="15">
        <f t="shared" si="0"/>
        <v>75</v>
      </c>
      <c r="P21" s="15">
        <f t="shared" si="1"/>
        <v>97</v>
      </c>
      <c r="R21" s="36" t="s">
        <v>20</v>
      </c>
      <c r="S21" s="34">
        <f t="shared" ref="S21:AF21" si="13">SUM(C54:C57)</f>
        <v>65</v>
      </c>
      <c r="T21" s="17">
        <f t="shared" si="13"/>
        <v>17</v>
      </c>
      <c r="U21" s="17">
        <f t="shared" si="13"/>
        <v>7</v>
      </c>
      <c r="V21" s="17">
        <f t="shared" si="13"/>
        <v>104</v>
      </c>
      <c r="W21" s="17">
        <f t="shared" si="13"/>
        <v>8</v>
      </c>
      <c r="X21" s="17">
        <f t="shared" si="13"/>
        <v>7</v>
      </c>
      <c r="Y21" s="17">
        <f t="shared" si="13"/>
        <v>46</v>
      </c>
      <c r="Z21" s="17">
        <f t="shared" si="13"/>
        <v>35</v>
      </c>
      <c r="AA21" s="17">
        <f t="shared" si="13"/>
        <v>20</v>
      </c>
      <c r="AB21" s="17">
        <f t="shared" si="13"/>
        <v>6</v>
      </c>
      <c r="AC21" s="17">
        <f t="shared" si="13"/>
        <v>91</v>
      </c>
      <c r="AD21" s="17">
        <f t="shared" si="13"/>
        <v>0</v>
      </c>
      <c r="AE21" s="31">
        <f t="shared" si="13"/>
        <v>315</v>
      </c>
      <c r="AF21" s="31">
        <f t="shared" si="13"/>
        <v>406</v>
      </c>
    </row>
    <row r="22" spans="2:32" ht="23.1" customHeight="1" x14ac:dyDescent="0.25">
      <c r="B22" s="23" t="s">
        <v>49</v>
      </c>
      <c r="C22" s="50">
        <v>42</v>
      </c>
      <c r="D22" s="50">
        <v>7</v>
      </c>
      <c r="E22" s="50">
        <v>9</v>
      </c>
      <c r="F22" s="50">
        <v>24</v>
      </c>
      <c r="G22" s="50">
        <v>1</v>
      </c>
      <c r="H22" s="50">
        <v>2</v>
      </c>
      <c r="I22" s="50">
        <v>11</v>
      </c>
      <c r="J22" s="50">
        <v>13</v>
      </c>
      <c r="K22" s="50">
        <v>3</v>
      </c>
      <c r="L22" s="50">
        <v>3</v>
      </c>
      <c r="M22" s="50">
        <v>27</v>
      </c>
      <c r="N22" s="50">
        <v>0</v>
      </c>
      <c r="O22" s="15">
        <f t="shared" si="0"/>
        <v>115</v>
      </c>
      <c r="P22" s="15">
        <f t="shared" si="1"/>
        <v>142</v>
      </c>
      <c r="R22" s="38" t="s">
        <v>90</v>
      </c>
      <c r="S22" s="39">
        <f>MAX(S10:S12)</f>
        <v>108</v>
      </c>
      <c r="T22" s="39">
        <f t="shared" ref="T22:AF22" si="14">MAX(T10:T12)</f>
        <v>29</v>
      </c>
      <c r="U22" s="39">
        <f t="shared" si="14"/>
        <v>28</v>
      </c>
      <c r="V22" s="39">
        <f t="shared" si="14"/>
        <v>81</v>
      </c>
      <c r="W22" s="39">
        <f t="shared" si="14"/>
        <v>6</v>
      </c>
      <c r="X22" s="39">
        <f t="shared" si="14"/>
        <v>5</v>
      </c>
      <c r="Y22" s="39">
        <f t="shared" si="14"/>
        <v>31</v>
      </c>
      <c r="Z22" s="39">
        <f t="shared" si="14"/>
        <v>23</v>
      </c>
      <c r="AA22" s="39">
        <f t="shared" si="14"/>
        <v>12</v>
      </c>
      <c r="AB22" s="39">
        <f t="shared" si="14"/>
        <v>10</v>
      </c>
      <c r="AC22" s="39">
        <f t="shared" si="14"/>
        <v>83</v>
      </c>
      <c r="AD22" s="39">
        <f t="shared" si="14"/>
        <v>0</v>
      </c>
      <c r="AE22" s="40">
        <f t="shared" si="14"/>
        <v>315</v>
      </c>
      <c r="AF22" s="40">
        <f t="shared" si="14"/>
        <v>398</v>
      </c>
    </row>
    <row r="23" spans="2:32" ht="23.1" customHeight="1" x14ac:dyDescent="0.25">
      <c r="B23" s="23" t="s">
        <v>50</v>
      </c>
      <c r="C23" s="50">
        <v>14</v>
      </c>
      <c r="D23" s="50">
        <v>2</v>
      </c>
      <c r="E23" s="50">
        <v>2</v>
      </c>
      <c r="F23" s="50">
        <v>21</v>
      </c>
      <c r="G23" s="50">
        <v>2</v>
      </c>
      <c r="H23" s="50">
        <v>1</v>
      </c>
      <c r="I23" s="50">
        <v>4</v>
      </c>
      <c r="J23" s="50">
        <v>4</v>
      </c>
      <c r="K23" s="50">
        <v>2</v>
      </c>
      <c r="L23" s="50">
        <v>0</v>
      </c>
      <c r="M23" s="50">
        <v>24</v>
      </c>
      <c r="N23" s="50">
        <v>0</v>
      </c>
      <c r="O23" s="15">
        <f t="shared" si="0"/>
        <v>52</v>
      </c>
      <c r="P23" s="15">
        <f t="shared" si="1"/>
        <v>76</v>
      </c>
      <c r="R23" s="38" t="s">
        <v>91</v>
      </c>
      <c r="S23" s="39">
        <f>MAX(S13:S18)</f>
        <v>168</v>
      </c>
      <c r="T23" s="39">
        <f t="shared" ref="T23:AF23" si="15">MAX(T13:T18)</f>
        <v>61</v>
      </c>
      <c r="U23" s="39">
        <f t="shared" si="15"/>
        <v>30</v>
      </c>
      <c r="V23" s="39">
        <f t="shared" si="15"/>
        <v>154</v>
      </c>
      <c r="W23" s="39">
        <f t="shared" si="15"/>
        <v>14</v>
      </c>
      <c r="X23" s="39">
        <f t="shared" si="15"/>
        <v>11</v>
      </c>
      <c r="Y23" s="39">
        <f t="shared" si="15"/>
        <v>49</v>
      </c>
      <c r="Z23" s="39">
        <f t="shared" si="15"/>
        <v>46</v>
      </c>
      <c r="AA23" s="39">
        <f t="shared" si="15"/>
        <v>14</v>
      </c>
      <c r="AB23" s="39">
        <f t="shared" si="15"/>
        <v>10</v>
      </c>
      <c r="AC23" s="39">
        <f t="shared" si="15"/>
        <v>92</v>
      </c>
      <c r="AD23" s="39">
        <f t="shared" si="15"/>
        <v>0</v>
      </c>
      <c r="AE23" s="40">
        <f t="shared" si="15"/>
        <v>499</v>
      </c>
      <c r="AF23" s="40">
        <f t="shared" si="15"/>
        <v>581</v>
      </c>
    </row>
    <row r="24" spans="2:32" ht="23.1" customHeight="1" x14ac:dyDescent="0.25">
      <c r="B24" s="23" t="s">
        <v>51</v>
      </c>
      <c r="C24" s="50">
        <v>28</v>
      </c>
      <c r="D24" s="50">
        <v>5</v>
      </c>
      <c r="E24" s="50">
        <v>2</v>
      </c>
      <c r="F24" s="50">
        <v>23</v>
      </c>
      <c r="G24" s="50">
        <v>3</v>
      </c>
      <c r="H24" s="50">
        <v>1</v>
      </c>
      <c r="I24" s="50">
        <v>5</v>
      </c>
      <c r="J24" s="50">
        <v>6</v>
      </c>
      <c r="K24" s="50">
        <v>0</v>
      </c>
      <c r="L24" s="50">
        <v>2</v>
      </c>
      <c r="M24" s="50">
        <v>14</v>
      </c>
      <c r="N24" s="50">
        <v>0</v>
      </c>
      <c r="O24" s="15">
        <f t="shared" si="0"/>
        <v>75</v>
      </c>
      <c r="P24" s="15">
        <f t="shared" si="1"/>
        <v>89</v>
      </c>
      <c r="R24" s="38" t="s">
        <v>92</v>
      </c>
      <c r="S24" s="39">
        <f>MAX(S19:S21)</f>
        <v>130</v>
      </c>
      <c r="T24" s="39">
        <f t="shared" ref="T24:AF24" si="16">MAX(T19:T21)</f>
        <v>23</v>
      </c>
      <c r="U24" s="39">
        <f t="shared" si="16"/>
        <v>24</v>
      </c>
      <c r="V24" s="39">
        <f t="shared" si="16"/>
        <v>112</v>
      </c>
      <c r="W24" s="39">
        <f t="shared" si="16"/>
        <v>8</v>
      </c>
      <c r="X24" s="39">
        <f t="shared" si="16"/>
        <v>7</v>
      </c>
      <c r="Y24" s="39">
        <f t="shared" si="16"/>
        <v>47</v>
      </c>
      <c r="Z24" s="39">
        <f t="shared" si="16"/>
        <v>35</v>
      </c>
      <c r="AA24" s="39">
        <f t="shared" si="16"/>
        <v>27</v>
      </c>
      <c r="AB24" s="39">
        <f t="shared" si="16"/>
        <v>10</v>
      </c>
      <c r="AC24" s="39">
        <f t="shared" si="16"/>
        <v>99</v>
      </c>
      <c r="AD24" s="39">
        <f t="shared" si="16"/>
        <v>0</v>
      </c>
      <c r="AE24" s="40">
        <f t="shared" si="16"/>
        <v>401</v>
      </c>
      <c r="AF24" s="40">
        <f t="shared" si="16"/>
        <v>492</v>
      </c>
    </row>
    <row r="25" spans="2:32" ht="23.1" customHeight="1" x14ac:dyDescent="0.25">
      <c r="B25" s="23" t="s">
        <v>52</v>
      </c>
      <c r="C25" s="50">
        <v>34</v>
      </c>
      <c r="D25" s="50">
        <v>7</v>
      </c>
      <c r="E25" s="50">
        <v>1</v>
      </c>
      <c r="F25" s="50">
        <v>15</v>
      </c>
      <c r="G25" s="50">
        <v>5</v>
      </c>
      <c r="H25" s="50">
        <v>2</v>
      </c>
      <c r="I25" s="50">
        <v>5</v>
      </c>
      <c r="J25" s="50">
        <v>6</v>
      </c>
      <c r="K25" s="50">
        <v>6</v>
      </c>
      <c r="L25" s="50">
        <v>0</v>
      </c>
      <c r="M25" s="50">
        <v>20</v>
      </c>
      <c r="N25" s="50">
        <v>0</v>
      </c>
      <c r="O25" s="15">
        <f t="shared" si="0"/>
        <v>81</v>
      </c>
      <c r="P25" s="15">
        <f t="shared" si="1"/>
        <v>101</v>
      </c>
      <c r="R25" s="37" t="s">
        <v>85</v>
      </c>
      <c r="S25" s="35">
        <f t="shared" ref="S25:AF25" si="17">SUM(S10:S12)</f>
        <v>299</v>
      </c>
      <c r="T25" s="16">
        <f t="shared" si="17"/>
        <v>73</v>
      </c>
      <c r="U25" s="16">
        <f t="shared" si="17"/>
        <v>69</v>
      </c>
      <c r="V25" s="16">
        <f t="shared" si="17"/>
        <v>212</v>
      </c>
      <c r="W25" s="16">
        <f t="shared" si="17"/>
        <v>15</v>
      </c>
      <c r="X25" s="16">
        <f t="shared" si="17"/>
        <v>14</v>
      </c>
      <c r="Y25" s="16">
        <f t="shared" si="17"/>
        <v>85</v>
      </c>
      <c r="Z25" s="16">
        <f t="shared" si="17"/>
        <v>63</v>
      </c>
      <c r="AA25" s="16">
        <f t="shared" si="17"/>
        <v>25</v>
      </c>
      <c r="AB25" s="16">
        <f t="shared" si="17"/>
        <v>20</v>
      </c>
      <c r="AC25" s="16">
        <f t="shared" si="17"/>
        <v>203</v>
      </c>
      <c r="AD25" s="16">
        <f t="shared" si="17"/>
        <v>0</v>
      </c>
      <c r="AE25" s="32">
        <f t="shared" si="17"/>
        <v>875</v>
      </c>
      <c r="AF25" s="32">
        <f t="shared" si="17"/>
        <v>1078</v>
      </c>
    </row>
    <row r="26" spans="2:32" ht="23.1" customHeight="1" x14ac:dyDescent="0.25">
      <c r="B26" s="23" t="s">
        <v>53</v>
      </c>
      <c r="C26" s="50">
        <v>27</v>
      </c>
      <c r="D26" s="50">
        <v>8</v>
      </c>
      <c r="E26" s="50">
        <v>9</v>
      </c>
      <c r="F26" s="50">
        <v>40</v>
      </c>
      <c r="G26" s="50">
        <v>4</v>
      </c>
      <c r="H26" s="50">
        <v>0</v>
      </c>
      <c r="I26" s="50">
        <v>11</v>
      </c>
      <c r="J26" s="50">
        <v>9</v>
      </c>
      <c r="K26" s="50">
        <v>2</v>
      </c>
      <c r="L26" s="50">
        <v>3</v>
      </c>
      <c r="M26" s="50">
        <v>10</v>
      </c>
      <c r="N26" s="50">
        <v>0</v>
      </c>
      <c r="O26" s="15">
        <f t="shared" si="0"/>
        <v>113</v>
      </c>
      <c r="P26" s="15">
        <f t="shared" si="1"/>
        <v>123</v>
      </c>
      <c r="R26" s="28" t="s">
        <v>86</v>
      </c>
      <c r="S26" s="16">
        <f t="shared" ref="S26:AF26" si="18">SUM(S13:S18)</f>
        <v>913</v>
      </c>
      <c r="T26" s="16">
        <f t="shared" si="18"/>
        <v>245</v>
      </c>
      <c r="U26" s="16">
        <f t="shared" si="18"/>
        <v>135</v>
      </c>
      <c r="V26" s="16">
        <f t="shared" si="18"/>
        <v>707</v>
      </c>
      <c r="W26" s="16">
        <f t="shared" si="18"/>
        <v>60</v>
      </c>
      <c r="X26" s="16">
        <f t="shared" si="18"/>
        <v>45</v>
      </c>
      <c r="Y26" s="16">
        <f t="shared" si="18"/>
        <v>227</v>
      </c>
      <c r="Z26" s="16">
        <f t="shared" si="18"/>
        <v>225</v>
      </c>
      <c r="AA26" s="16">
        <f t="shared" si="18"/>
        <v>60</v>
      </c>
      <c r="AB26" s="16">
        <f t="shared" si="18"/>
        <v>32</v>
      </c>
      <c r="AC26" s="16">
        <f t="shared" si="18"/>
        <v>502</v>
      </c>
      <c r="AD26" s="16">
        <f t="shared" si="18"/>
        <v>0</v>
      </c>
      <c r="AE26" s="32">
        <f t="shared" si="18"/>
        <v>2649</v>
      </c>
      <c r="AF26" s="32">
        <f t="shared" si="18"/>
        <v>3151</v>
      </c>
    </row>
    <row r="27" spans="2:32" ht="23.1" customHeight="1" x14ac:dyDescent="0.25">
      <c r="B27" s="23" t="s">
        <v>54</v>
      </c>
      <c r="C27" s="50">
        <v>49</v>
      </c>
      <c r="D27" s="50">
        <v>15</v>
      </c>
      <c r="E27" s="50">
        <v>8</v>
      </c>
      <c r="F27" s="50">
        <v>36</v>
      </c>
      <c r="G27" s="50">
        <v>0</v>
      </c>
      <c r="H27" s="50">
        <v>1</v>
      </c>
      <c r="I27" s="50">
        <v>14</v>
      </c>
      <c r="J27" s="50">
        <v>4</v>
      </c>
      <c r="K27" s="50">
        <v>4</v>
      </c>
      <c r="L27" s="50">
        <v>2</v>
      </c>
      <c r="M27" s="50">
        <v>25</v>
      </c>
      <c r="N27" s="50">
        <v>0</v>
      </c>
      <c r="O27" s="15">
        <f t="shared" si="0"/>
        <v>133</v>
      </c>
      <c r="P27" s="15">
        <f t="shared" si="1"/>
        <v>158</v>
      </c>
      <c r="R27" s="29" t="s">
        <v>87</v>
      </c>
      <c r="S27" s="16">
        <f t="shared" ref="S27:AF27" si="19">SUM(S19:S21)</f>
        <v>315</v>
      </c>
      <c r="T27" s="16">
        <f t="shared" si="19"/>
        <v>62</v>
      </c>
      <c r="U27" s="16">
        <f t="shared" si="19"/>
        <v>45</v>
      </c>
      <c r="V27" s="16">
        <f t="shared" si="19"/>
        <v>323</v>
      </c>
      <c r="W27" s="16">
        <f t="shared" si="19"/>
        <v>23</v>
      </c>
      <c r="X27" s="16">
        <f t="shared" si="19"/>
        <v>19</v>
      </c>
      <c r="Y27" s="16">
        <f t="shared" si="19"/>
        <v>140</v>
      </c>
      <c r="Z27" s="16">
        <f t="shared" si="19"/>
        <v>89</v>
      </c>
      <c r="AA27" s="16">
        <f t="shared" si="19"/>
        <v>66</v>
      </c>
      <c r="AB27" s="16">
        <f t="shared" si="19"/>
        <v>23</v>
      </c>
      <c r="AC27" s="16">
        <f t="shared" si="19"/>
        <v>281</v>
      </c>
      <c r="AD27" s="16">
        <f t="shared" si="19"/>
        <v>0</v>
      </c>
      <c r="AE27" s="32">
        <f t="shared" si="19"/>
        <v>1105</v>
      </c>
      <c r="AF27" s="32">
        <f t="shared" si="19"/>
        <v>1386</v>
      </c>
    </row>
    <row r="28" spans="2:32" ht="23.1" customHeight="1" x14ac:dyDescent="0.25">
      <c r="B28" s="23" t="s">
        <v>55</v>
      </c>
      <c r="C28" s="50">
        <v>42</v>
      </c>
      <c r="D28" s="50">
        <v>8</v>
      </c>
      <c r="E28" s="50">
        <v>6</v>
      </c>
      <c r="F28" s="50">
        <v>28</v>
      </c>
      <c r="G28" s="50">
        <v>3</v>
      </c>
      <c r="H28" s="50">
        <v>3</v>
      </c>
      <c r="I28" s="50">
        <v>8</v>
      </c>
      <c r="J28" s="50">
        <v>10</v>
      </c>
      <c r="K28" s="50">
        <v>1</v>
      </c>
      <c r="L28" s="50">
        <v>2</v>
      </c>
      <c r="M28" s="50">
        <v>17</v>
      </c>
      <c r="N28" s="50">
        <v>0</v>
      </c>
      <c r="O28" s="15">
        <f t="shared" si="0"/>
        <v>111</v>
      </c>
      <c r="P28" s="15">
        <f t="shared" si="1"/>
        <v>128</v>
      </c>
      <c r="R28" s="5" t="s">
        <v>17</v>
      </c>
      <c r="S28" s="16">
        <f t="shared" ref="S28:AF28" si="20">SUM(S10:S21)</f>
        <v>1527</v>
      </c>
      <c r="T28" s="16">
        <f t="shared" si="20"/>
        <v>380</v>
      </c>
      <c r="U28" s="16">
        <f t="shared" si="20"/>
        <v>249</v>
      </c>
      <c r="V28" s="16">
        <f t="shared" si="20"/>
        <v>1242</v>
      </c>
      <c r="W28" s="16">
        <f t="shared" si="20"/>
        <v>98</v>
      </c>
      <c r="X28" s="16">
        <f t="shared" si="20"/>
        <v>78</v>
      </c>
      <c r="Y28" s="16">
        <f t="shared" si="20"/>
        <v>452</v>
      </c>
      <c r="Z28" s="16">
        <f t="shared" si="20"/>
        <v>377</v>
      </c>
      <c r="AA28" s="16">
        <f t="shared" si="20"/>
        <v>151</v>
      </c>
      <c r="AB28" s="16">
        <f t="shared" si="20"/>
        <v>75</v>
      </c>
      <c r="AC28" s="16">
        <f t="shared" si="20"/>
        <v>986</v>
      </c>
      <c r="AD28" s="16">
        <f t="shared" si="20"/>
        <v>0</v>
      </c>
      <c r="AE28" s="32">
        <f t="shared" si="20"/>
        <v>4629</v>
      </c>
      <c r="AF28" s="32">
        <f t="shared" si="20"/>
        <v>5615</v>
      </c>
    </row>
    <row r="29" spans="2:32" ht="23.1" customHeight="1" x14ac:dyDescent="0.25">
      <c r="B29" s="23" t="s">
        <v>56</v>
      </c>
      <c r="C29" s="50">
        <v>35</v>
      </c>
      <c r="D29" s="50">
        <v>15</v>
      </c>
      <c r="E29" s="50">
        <v>7</v>
      </c>
      <c r="F29" s="50">
        <v>50</v>
      </c>
      <c r="G29" s="50">
        <v>7</v>
      </c>
      <c r="H29" s="50">
        <v>3</v>
      </c>
      <c r="I29" s="50">
        <v>6</v>
      </c>
      <c r="J29" s="50">
        <v>12</v>
      </c>
      <c r="K29" s="50">
        <v>4</v>
      </c>
      <c r="L29" s="50">
        <v>3</v>
      </c>
      <c r="M29" s="50">
        <v>30</v>
      </c>
      <c r="N29" s="50">
        <v>0</v>
      </c>
      <c r="O29" s="15">
        <f t="shared" si="0"/>
        <v>142</v>
      </c>
      <c r="P29" s="15">
        <f t="shared" si="1"/>
        <v>172</v>
      </c>
      <c r="R29"/>
      <c r="S29" s="20"/>
      <c r="T29" s="19"/>
    </row>
    <row r="30" spans="2:32" ht="23.1" customHeight="1" x14ac:dyDescent="0.25">
      <c r="B30" s="23" t="s">
        <v>57</v>
      </c>
      <c r="C30" s="50">
        <v>47</v>
      </c>
      <c r="D30" s="50">
        <v>4</v>
      </c>
      <c r="E30" s="50">
        <v>7</v>
      </c>
      <c r="F30" s="50">
        <v>33</v>
      </c>
      <c r="G30" s="50">
        <v>3</v>
      </c>
      <c r="H30" s="50">
        <v>1</v>
      </c>
      <c r="I30" s="50">
        <v>5</v>
      </c>
      <c r="J30" s="50">
        <v>12</v>
      </c>
      <c r="K30" s="50">
        <v>5</v>
      </c>
      <c r="L30" s="50">
        <v>1</v>
      </c>
      <c r="M30" s="50">
        <v>28</v>
      </c>
      <c r="N30" s="50">
        <v>0</v>
      </c>
      <c r="O30" s="15">
        <f t="shared" si="0"/>
        <v>118</v>
      </c>
      <c r="P30" s="15">
        <f t="shared" si="1"/>
        <v>146</v>
      </c>
    </row>
    <row r="31" spans="2:32" ht="23.1" customHeight="1" x14ac:dyDescent="0.25">
      <c r="B31" s="24" t="s">
        <v>58</v>
      </c>
      <c r="C31" s="50">
        <v>38</v>
      </c>
      <c r="D31" s="50">
        <v>14</v>
      </c>
      <c r="E31" s="50">
        <v>5</v>
      </c>
      <c r="F31" s="50">
        <v>36</v>
      </c>
      <c r="G31" s="50">
        <v>2</v>
      </c>
      <c r="H31" s="50">
        <v>3</v>
      </c>
      <c r="I31" s="50">
        <v>17</v>
      </c>
      <c r="J31" s="50">
        <v>3</v>
      </c>
      <c r="K31" s="50">
        <v>2</v>
      </c>
      <c r="L31" s="50">
        <v>2</v>
      </c>
      <c r="M31" s="50">
        <v>15</v>
      </c>
      <c r="N31" s="50">
        <v>0</v>
      </c>
      <c r="O31" s="15">
        <f t="shared" si="0"/>
        <v>122</v>
      </c>
      <c r="P31" s="15">
        <f t="shared" si="1"/>
        <v>137</v>
      </c>
    </row>
    <row r="32" spans="2:32" ht="23.1" customHeight="1" x14ac:dyDescent="0.25">
      <c r="B32" s="24" t="s">
        <v>59</v>
      </c>
      <c r="C32" s="50">
        <v>46</v>
      </c>
      <c r="D32" s="50">
        <v>10</v>
      </c>
      <c r="E32" s="50">
        <v>4</v>
      </c>
      <c r="F32" s="50">
        <v>23</v>
      </c>
      <c r="G32" s="50">
        <v>2</v>
      </c>
      <c r="H32" s="50">
        <v>6</v>
      </c>
      <c r="I32" s="50">
        <v>7</v>
      </c>
      <c r="J32" s="50">
        <v>15</v>
      </c>
      <c r="K32" s="50">
        <v>4</v>
      </c>
      <c r="L32" s="50">
        <v>4</v>
      </c>
      <c r="M32" s="50">
        <v>20</v>
      </c>
      <c r="N32" s="50">
        <v>0</v>
      </c>
      <c r="O32" s="15">
        <f t="shared" si="0"/>
        <v>121</v>
      </c>
      <c r="P32" s="15">
        <f t="shared" si="1"/>
        <v>141</v>
      </c>
    </row>
    <row r="33" spans="2:20" ht="23.1" customHeight="1" x14ac:dyDescent="0.25">
      <c r="B33" s="23" t="s">
        <v>60</v>
      </c>
      <c r="C33" s="50">
        <v>26</v>
      </c>
      <c r="D33" s="50">
        <v>13</v>
      </c>
      <c r="E33" s="50">
        <v>5</v>
      </c>
      <c r="F33" s="50">
        <v>39</v>
      </c>
      <c r="G33" s="50">
        <v>1</v>
      </c>
      <c r="H33" s="50">
        <v>1</v>
      </c>
      <c r="I33" s="50">
        <v>8</v>
      </c>
      <c r="J33" s="50">
        <v>15</v>
      </c>
      <c r="K33" s="50">
        <v>3</v>
      </c>
      <c r="L33" s="50">
        <v>0</v>
      </c>
      <c r="M33" s="50">
        <v>23</v>
      </c>
      <c r="N33" s="50">
        <v>0</v>
      </c>
      <c r="O33" s="15">
        <f t="shared" si="0"/>
        <v>111</v>
      </c>
      <c r="P33" s="15">
        <f t="shared" si="1"/>
        <v>134</v>
      </c>
    </row>
    <row r="34" spans="2:20" ht="23.1" customHeight="1" x14ac:dyDescent="0.25">
      <c r="B34" s="24" t="s">
        <v>61</v>
      </c>
      <c r="C34" s="50">
        <v>45</v>
      </c>
      <c r="D34" s="50">
        <v>11</v>
      </c>
      <c r="E34" s="50">
        <v>4</v>
      </c>
      <c r="F34" s="50">
        <v>26</v>
      </c>
      <c r="G34" s="50">
        <v>2</v>
      </c>
      <c r="H34" s="50">
        <v>2</v>
      </c>
      <c r="I34" s="50">
        <v>13</v>
      </c>
      <c r="J34" s="50">
        <v>9</v>
      </c>
      <c r="K34" s="50">
        <v>3</v>
      </c>
      <c r="L34" s="50">
        <v>0</v>
      </c>
      <c r="M34" s="50">
        <v>17</v>
      </c>
      <c r="N34" s="50">
        <v>0</v>
      </c>
      <c r="O34" s="15">
        <f t="shared" si="0"/>
        <v>115</v>
      </c>
      <c r="P34" s="15">
        <f t="shared" si="1"/>
        <v>132</v>
      </c>
    </row>
    <row r="35" spans="2:20" ht="23.1" customHeight="1" x14ac:dyDescent="0.25">
      <c r="B35" s="24" t="s">
        <v>62</v>
      </c>
      <c r="C35" s="50">
        <v>24</v>
      </c>
      <c r="D35" s="50">
        <v>10</v>
      </c>
      <c r="E35" s="50">
        <v>6</v>
      </c>
      <c r="F35" s="50">
        <v>25</v>
      </c>
      <c r="G35" s="50">
        <v>3</v>
      </c>
      <c r="H35" s="50">
        <v>1</v>
      </c>
      <c r="I35" s="50">
        <v>7</v>
      </c>
      <c r="J35" s="50">
        <v>11</v>
      </c>
      <c r="K35" s="50">
        <v>3</v>
      </c>
      <c r="L35" s="50">
        <v>0</v>
      </c>
      <c r="M35" s="50">
        <v>15</v>
      </c>
      <c r="N35" s="50">
        <v>0</v>
      </c>
      <c r="O35" s="15">
        <f t="shared" si="0"/>
        <v>90</v>
      </c>
      <c r="P35" s="15">
        <f t="shared" si="1"/>
        <v>105</v>
      </c>
    </row>
    <row r="36" spans="2:20" ht="23.1" customHeight="1" x14ac:dyDescent="0.25">
      <c r="B36" s="24" t="s">
        <v>63</v>
      </c>
      <c r="C36" s="50">
        <v>32</v>
      </c>
      <c r="D36" s="50">
        <v>7</v>
      </c>
      <c r="E36" s="50">
        <v>6</v>
      </c>
      <c r="F36" s="50">
        <v>34</v>
      </c>
      <c r="G36" s="50">
        <v>4</v>
      </c>
      <c r="H36" s="50">
        <v>1</v>
      </c>
      <c r="I36" s="50">
        <v>8</v>
      </c>
      <c r="J36" s="50">
        <v>14</v>
      </c>
      <c r="K36" s="50">
        <v>3</v>
      </c>
      <c r="L36" s="50">
        <v>1</v>
      </c>
      <c r="M36" s="50">
        <v>30</v>
      </c>
      <c r="N36" s="50">
        <v>0</v>
      </c>
      <c r="O36" s="15">
        <f t="shared" si="0"/>
        <v>110</v>
      </c>
      <c r="P36" s="15">
        <f t="shared" si="1"/>
        <v>140</v>
      </c>
    </row>
    <row r="37" spans="2:20" ht="23.1" customHeight="1" x14ac:dyDescent="0.25">
      <c r="B37" s="23" t="s">
        <v>64</v>
      </c>
      <c r="C37" s="50">
        <v>50</v>
      </c>
      <c r="D37" s="50">
        <v>12</v>
      </c>
      <c r="E37" s="50">
        <v>5</v>
      </c>
      <c r="F37" s="50">
        <v>40</v>
      </c>
      <c r="G37" s="50">
        <v>1</v>
      </c>
      <c r="H37" s="50">
        <v>1</v>
      </c>
      <c r="I37" s="50">
        <v>12</v>
      </c>
      <c r="J37" s="50">
        <v>12</v>
      </c>
      <c r="K37" s="50">
        <v>3</v>
      </c>
      <c r="L37" s="50">
        <v>2</v>
      </c>
      <c r="M37" s="50">
        <v>17</v>
      </c>
      <c r="N37" s="50">
        <v>0</v>
      </c>
      <c r="O37" s="15">
        <f t="shared" si="0"/>
        <v>138</v>
      </c>
      <c r="P37" s="15">
        <f t="shared" si="1"/>
        <v>155</v>
      </c>
    </row>
    <row r="38" spans="2:20" ht="23.1" customHeight="1" x14ac:dyDescent="0.25">
      <c r="B38" s="24" t="s">
        <v>65</v>
      </c>
      <c r="C38" s="50">
        <v>40</v>
      </c>
      <c r="D38" s="50">
        <v>10</v>
      </c>
      <c r="E38" s="50">
        <v>8</v>
      </c>
      <c r="F38" s="50">
        <v>39</v>
      </c>
      <c r="G38" s="50">
        <v>1</v>
      </c>
      <c r="H38" s="50">
        <v>3</v>
      </c>
      <c r="I38" s="50">
        <v>13</v>
      </c>
      <c r="J38" s="50">
        <v>2</v>
      </c>
      <c r="K38" s="50">
        <v>2</v>
      </c>
      <c r="L38" s="50">
        <v>1</v>
      </c>
      <c r="M38" s="50">
        <v>25</v>
      </c>
      <c r="N38" s="50">
        <v>0</v>
      </c>
      <c r="O38" s="15">
        <f t="shared" si="0"/>
        <v>119</v>
      </c>
      <c r="P38" s="15">
        <f t="shared" si="1"/>
        <v>144</v>
      </c>
    </row>
    <row r="39" spans="2:20" ht="23.1" customHeight="1" x14ac:dyDescent="0.25">
      <c r="B39" s="24" t="s">
        <v>66</v>
      </c>
      <c r="C39" s="50">
        <v>42</v>
      </c>
      <c r="D39" s="50">
        <v>8</v>
      </c>
      <c r="E39" s="50">
        <v>8</v>
      </c>
      <c r="F39" s="50">
        <v>27</v>
      </c>
      <c r="G39" s="50">
        <v>1</v>
      </c>
      <c r="H39" s="50">
        <v>1</v>
      </c>
      <c r="I39" s="50">
        <v>7</v>
      </c>
      <c r="J39" s="50">
        <v>7</v>
      </c>
      <c r="K39" s="50">
        <v>0</v>
      </c>
      <c r="L39" s="50">
        <v>1</v>
      </c>
      <c r="M39" s="50">
        <v>20</v>
      </c>
      <c r="N39" s="50">
        <v>0</v>
      </c>
      <c r="O39" s="15">
        <f t="shared" si="0"/>
        <v>102</v>
      </c>
      <c r="P39" s="15">
        <f t="shared" si="1"/>
        <v>122</v>
      </c>
    </row>
    <row r="40" spans="2:20" ht="23.1" customHeight="1" x14ac:dyDescent="0.25">
      <c r="B40" s="24" t="s">
        <v>67</v>
      </c>
      <c r="C40" s="50">
        <v>37</v>
      </c>
      <c r="D40" s="50">
        <v>10</v>
      </c>
      <c r="E40" s="50">
        <v>5</v>
      </c>
      <c r="F40" s="50">
        <v>19</v>
      </c>
      <c r="G40" s="50">
        <v>1</v>
      </c>
      <c r="H40" s="50">
        <v>2</v>
      </c>
      <c r="I40" s="50">
        <v>9</v>
      </c>
      <c r="J40" s="50">
        <v>12</v>
      </c>
      <c r="K40" s="50">
        <v>6</v>
      </c>
      <c r="L40" s="50">
        <v>2</v>
      </c>
      <c r="M40" s="50">
        <v>18</v>
      </c>
      <c r="N40" s="50">
        <v>0</v>
      </c>
      <c r="O40" s="15">
        <f t="shared" si="0"/>
        <v>103</v>
      </c>
      <c r="P40" s="15">
        <f t="shared" si="1"/>
        <v>121</v>
      </c>
    </row>
    <row r="41" spans="2:20" ht="23.1" customHeight="1" x14ac:dyDescent="0.25">
      <c r="B41" s="23" t="s">
        <v>68</v>
      </c>
      <c r="C41" s="50">
        <v>47</v>
      </c>
      <c r="D41" s="50">
        <v>8</v>
      </c>
      <c r="E41" s="50">
        <v>8</v>
      </c>
      <c r="F41" s="50">
        <v>32</v>
      </c>
      <c r="G41" s="50">
        <v>8</v>
      </c>
      <c r="H41" s="50">
        <v>1</v>
      </c>
      <c r="I41" s="50">
        <v>8</v>
      </c>
      <c r="J41" s="50">
        <v>10</v>
      </c>
      <c r="K41" s="50">
        <v>2</v>
      </c>
      <c r="L41" s="50">
        <v>0</v>
      </c>
      <c r="M41" s="50">
        <v>15</v>
      </c>
      <c r="N41" s="50">
        <v>0</v>
      </c>
      <c r="O41" s="15">
        <f t="shared" si="0"/>
        <v>124</v>
      </c>
      <c r="P41" s="15">
        <f t="shared" si="1"/>
        <v>139</v>
      </c>
    </row>
    <row r="42" spans="2:20" ht="23.1" customHeight="1" x14ac:dyDescent="0.25">
      <c r="B42" s="24" t="s">
        <v>69</v>
      </c>
      <c r="C42" s="50">
        <v>44</v>
      </c>
      <c r="D42" s="50">
        <v>20</v>
      </c>
      <c r="E42" s="50">
        <v>8</v>
      </c>
      <c r="F42" s="50">
        <v>24</v>
      </c>
      <c r="G42" s="50">
        <v>1</v>
      </c>
      <c r="H42" s="50">
        <v>2</v>
      </c>
      <c r="I42" s="50">
        <v>7</v>
      </c>
      <c r="J42" s="50">
        <v>6</v>
      </c>
      <c r="K42" s="50">
        <v>0</v>
      </c>
      <c r="L42" s="50">
        <v>1</v>
      </c>
      <c r="M42" s="50">
        <v>40</v>
      </c>
      <c r="N42" s="50">
        <v>0</v>
      </c>
      <c r="O42" s="15">
        <f t="shared" si="0"/>
        <v>113</v>
      </c>
      <c r="P42" s="15">
        <f t="shared" si="1"/>
        <v>153</v>
      </c>
    </row>
    <row r="43" spans="2:20" ht="23.1" customHeight="1" x14ac:dyDescent="0.25">
      <c r="B43" s="23" t="s">
        <v>70</v>
      </c>
      <c r="C43" s="50">
        <v>63</v>
      </c>
      <c r="D43" s="50">
        <v>16</v>
      </c>
      <c r="E43" s="50">
        <v>4</v>
      </c>
      <c r="F43" s="50">
        <v>24</v>
      </c>
      <c r="G43" s="50">
        <v>3</v>
      </c>
      <c r="H43" s="50">
        <v>0</v>
      </c>
      <c r="I43" s="50">
        <v>16</v>
      </c>
      <c r="J43" s="50">
        <v>7</v>
      </c>
      <c r="K43" s="50">
        <v>0</v>
      </c>
      <c r="L43" s="50">
        <v>1</v>
      </c>
      <c r="M43" s="50">
        <v>22</v>
      </c>
      <c r="N43" s="50">
        <v>0</v>
      </c>
      <c r="O43" s="15">
        <f t="shared" si="0"/>
        <v>134</v>
      </c>
      <c r="P43" s="15">
        <f t="shared" si="1"/>
        <v>156</v>
      </c>
    </row>
    <row r="44" spans="2:20" ht="23.1" customHeight="1" x14ac:dyDescent="0.25">
      <c r="B44" s="25" t="s">
        <v>71</v>
      </c>
      <c r="C44" s="50">
        <v>34</v>
      </c>
      <c r="D44" s="50">
        <v>15</v>
      </c>
      <c r="E44" s="50">
        <v>4</v>
      </c>
      <c r="F44" s="50">
        <v>29</v>
      </c>
      <c r="G44" s="50">
        <v>1</v>
      </c>
      <c r="H44" s="50">
        <v>2</v>
      </c>
      <c r="I44" s="50">
        <v>18</v>
      </c>
      <c r="J44" s="50">
        <v>15</v>
      </c>
      <c r="K44" s="50">
        <v>1</v>
      </c>
      <c r="L44" s="50">
        <v>1</v>
      </c>
      <c r="M44" s="50">
        <v>14</v>
      </c>
      <c r="N44" s="50">
        <v>0</v>
      </c>
      <c r="O44" s="15">
        <f t="shared" si="0"/>
        <v>120</v>
      </c>
      <c r="P44" s="15">
        <f t="shared" si="1"/>
        <v>134</v>
      </c>
    </row>
    <row r="45" spans="2:20" ht="23.1" customHeight="1" x14ac:dyDescent="0.25">
      <c r="B45" s="23" t="s">
        <v>72</v>
      </c>
      <c r="C45" s="50">
        <v>27</v>
      </c>
      <c r="D45" s="50">
        <v>10</v>
      </c>
      <c r="E45" s="50">
        <v>4</v>
      </c>
      <c r="F45" s="50">
        <v>20</v>
      </c>
      <c r="G45" s="50">
        <v>1</v>
      </c>
      <c r="H45" s="50">
        <v>5</v>
      </c>
      <c r="I45" s="50">
        <v>8</v>
      </c>
      <c r="J45" s="50">
        <v>11</v>
      </c>
      <c r="K45" s="50">
        <v>1</v>
      </c>
      <c r="L45" s="50">
        <v>0</v>
      </c>
      <c r="M45" s="50">
        <v>16</v>
      </c>
      <c r="N45" s="50">
        <v>0</v>
      </c>
      <c r="O45" s="15">
        <f t="shared" si="0"/>
        <v>87</v>
      </c>
      <c r="P45" s="15">
        <f t="shared" si="1"/>
        <v>103</v>
      </c>
    </row>
    <row r="46" spans="2:20" ht="23.1" customHeight="1" x14ac:dyDescent="0.25">
      <c r="B46" s="24" t="s">
        <v>73</v>
      </c>
      <c r="C46" s="50">
        <v>40</v>
      </c>
      <c r="D46" s="50">
        <v>6</v>
      </c>
      <c r="E46" s="50">
        <v>7</v>
      </c>
      <c r="F46" s="50">
        <v>27</v>
      </c>
      <c r="G46" s="50">
        <v>3</v>
      </c>
      <c r="H46" s="50">
        <v>1</v>
      </c>
      <c r="I46" s="50">
        <v>14</v>
      </c>
      <c r="J46" s="50">
        <v>5</v>
      </c>
      <c r="K46" s="50">
        <v>4</v>
      </c>
      <c r="L46" s="50">
        <v>2</v>
      </c>
      <c r="M46" s="50">
        <v>17</v>
      </c>
      <c r="N46" s="50">
        <v>0</v>
      </c>
      <c r="O46" s="15">
        <f t="shared" si="0"/>
        <v>109</v>
      </c>
      <c r="P46" s="15">
        <f t="shared" si="1"/>
        <v>126</v>
      </c>
      <c r="R46" s="8"/>
      <c r="T46"/>
    </row>
    <row r="47" spans="2:20" ht="23.1" customHeight="1" x14ac:dyDescent="0.25">
      <c r="B47" s="24" t="s">
        <v>74</v>
      </c>
      <c r="C47" s="50">
        <v>46</v>
      </c>
      <c r="D47" s="50">
        <v>4</v>
      </c>
      <c r="E47" s="50">
        <v>12</v>
      </c>
      <c r="F47" s="50">
        <v>27</v>
      </c>
      <c r="G47" s="50">
        <v>2</v>
      </c>
      <c r="H47" s="50">
        <v>2</v>
      </c>
      <c r="I47" s="50">
        <v>15</v>
      </c>
      <c r="J47" s="50">
        <v>5</v>
      </c>
      <c r="K47" s="50">
        <v>3</v>
      </c>
      <c r="L47" s="50">
        <v>4</v>
      </c>
      <c r="M47" s="50">
        <v>26</v>
      </c>
      <c r="N47" s="50">
        <v>0</v>
      </c>
      <c r="O47" s="15">
        <f t="shared" si="0"/>
        <v>120</v>
      </c>
      <c r="P47" s="15">
        <f t="shared" si="1"/>
        <v>146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7</v>
      </c>
      <c r="E48" s="50">
        <v>2</v>
      </c>
      <c r="F48" s="50">
        <v>23</v>
      </c>
      <c r="G48" s="50">
        <v>2</v>
      </c>
      <c r="H48" s="50">
        <v>1</v>
      </c>
      <c r="I48" s="50">
        <v>14</v>
      </c>
      <c r="J48" s="50">
        <v>7</v>
      </c>
      <c r="K48" s="50">
        <v>7</v>
      </c>
      <c r="L48" s="50">
        <v>3</v>
      </c>
      <c r="M48" s="50">
        <v>24</v>
      </c>
      <c r="N48" s="50">
        <v>0</v>
      </c>
      <c r="O48" s="15">
        <f t="shared" si="0"/>
        <v>87</v>
      </c>
      <c r="P48" s="15">
        <f t="shared" si="1"/>
        <v>111</v>
      </c>
      <c r="R48" s="8"/>
      <c r="T48"/>
    </row>
    <row r="49" spans="2:20" ht="23.1" customHeight="1" x14ac:dyDescent="0.25">
      <c r="B49" s="23" t="s">
        <v>76</v>
      </c>
      <c r="C49" s="50">
        <v>23</v>
      </c>
      <c r="D49" s="50">
        <v>6</v>
      </c>
      <c r="E49" s="50">
        <v>3</v>
      </c>
      <c r="F49" s="50">
        <v>30</v>
      </c>
      <c r="G49" s="50">
        <v>1</v>
      </c>
      <c r="H49" s="50">
        <v>1</v>
      </c>
      <c r="I49" s="50">
        <v>4</v>
      </c>
      <c r="J49" s="50">
        <v>3</v>
      </c>
      <c r="K49" s="50">
        <v>13</v>
      </c>
      <c r="L49" s="50">
        <v>1</v>
      </c>
      <c r="M49" s="50">
        <v>24</v>
      </c>
      <c r="N49" s="50">
        <v>0</v>
      </c>
      <c r="O49" s="15">
        <f t="shared" si="0"/>
        <v>85</v>
      </c>
      <c r="P49" s="15">
        <f t="shared" si="1"/>
        <v>109</v>
      </c>
      <c r="R49" s="8"/>
      <c r="T49"/>
    </row>
    <row r="50" spans="2:20" ht="23.1" customHeight="1" x14ac:dyDescent="0.25">
      <c r="B50" s="24" t="s">
        <v>77</v>
      </c>
      <c r="C50" s="50">
        <v>42</v>
      </c>
      <c r="D50" s="50">
        <v>7</v>
      </c>
      <c r="E50" s="50">
        <v>4</v>
      </c>
      <c r="F50" s="50">
        <v>20</v>
      </c>
      <c r="G50" s="50">
        <v>2</v>
      </c>
      <c r="H50" s="50">
        <v>2</v>
      </c>
      <c r="I50" s="50">
        <v>8</v>
      </c>
      <c r="J50" s="50">
        <v>14</v>
      </c>
      <c r="K50" s="50">
        <v>7</v>
      </c>
      <c r="L50" s="50">
        <v>5</v>
      </c>
      <c r="M50" s="50">
        <v>19</v>
      </c>
      <c r="N50" s="50">
        <v>0</v>
      </c>
      <c r="O50" s="15">
        <f t="shared" si="0"/>
        <v>111</v>
      </c>
      <c r="P50" s="15">
        <f t="shared" si="1"/>
        <v>130</v>
      </c>
      <c r="R50" s="8"/>
      <c r="T50"/>
    </row>
    <row r="51" spans="2:20" ht="23.1" customHeight="1" x14ac:dyDescent="0.25">
      <c r="B51" s="24" t="s">
        <v>78</v>
      </c>
      <c r="C51" s="50">
        <v>37</v>
      </c>
      <c r="D51" s="50">
        <v>6</v>
      </c>
      <c r="E51" s="50">
        <v>5</v>
      </c>
      <c r="F51" s="50">
        <v>31</v>
      </c>
      <c r="G51" s="50">
        <v>2</v>
      </c>
      <c r="H51" s="50">
        <v>3</v>
      </c>
      <c r="I51" s="50">
        <v>13</v>
      </c>
      <c r="J51" s="50">
        <v>8</v>
      </c>
      <c r="K51" s="50">
        <v>5</v>
      </c>
      <c r="L51" s="50">
        <v>0</v>
      </c>
      <c r="M51" s="50">
        <v>34</v>
      </c>
      <c r="N51" s="50">
        <v>0</v>
      </c>
      <c r="O51" s="15">
        <f t="shared" si="0"/>
        <v>110</v>
      </c>
      <c r="P51" s="15">
        <f t="shared" si="1"/>
        <v>144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4</v>
      </c>
      <c r="E52" s="50">
        <v>4</v>
      </c>
      <c r="F52" s="50">
        <v>38</v>
      </c>
      <c r="G52" s="50">
        <v>1</v>
      </c>
      <c r="H52" s="50">
        <v>1</v>
      </c>
      <c r="I52" s="50">
        <v>17</v>
      </c>
      <c r="J52" s="50">
        <v>7</v>
      </c>
      <c r="K52" s="50">
        <v>6</v>
      </c>
      <c r="L52" s="50">
        <v>1</v>
      </c>
      <c r="M52" s="50">
        <v>23</v>
      </c>
      <c r="N52" s="50">
        <v>0</v>
      </c>
      <c r="O52" s="15">
        <f t="shared" si="0"/>
        <v>98</v>
      </c>
      <c r="P52" s="15">
        <f t="shared" si="1"/>
        <v>121</v>
      </c>
      <c r="R52" s="8"/>
      <c r="T52"/>
    </row>
    <row r="53" spans="2:20" ht="23.1" customHeight="1" x14ac:dyDescent="0.25">
      <c r="B53" s="23" t="s">
        <v>80</v>
      </c>
      <c r="C53" s="50">
        <v>22</v>
      </c>
      <c r="D53" s="50">
        <v>5</v>
      </c>
      <c r="E53" s="50">
        <v>1</v>
      </c>
      <c r="F53" s="50">
        <v>23</v>
      </c>
      <c r="G53" s="50">
        <v>2</v>
      </c>
      <c r="H53" s="50">
        <v>1</v>
      </c>
      <c r="I53" s="50">
        <v>9</v>
      </c>
      <c r="J53" s="50">
        <v>5</v>
      </c>
      <c r="K53" s="50">
        <v>1</v>
      </c>
      <c r="L53" s="50">
        <v>1</v>
      </c>
      <c r="M53" s="50">
        <v>23</v>
      </c>
      <c r="N53" s="50">
        <v>0</v>
      </c>
      <c r="O53" s="15">
        <f t="shared" si="0"/>
        <v>70</v>
      </c>
      <c r="P53" s="15">
        <f t="shared" si="1"/>
        <v>93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4</v>
      </c>
      <c r="E54" s="50">
        <v>2</v>
      </c>
      <c r="F54" s="50">
        <v>23</v>
      </c>
      <c r="G54" s="50">
        <v>4</v>
      </c>
      <c r="H54" s="50">
        <v>1</v>
      </c>
      <c r="I54" s="50">
        <v>10</v>
      </c>
      <c r="J54" s="50">
        <v>11</v>
      </c>
      <c r="K54" s="50">
        <v>7</v>
      </c>
      <c r="L54" s="50">
        <v>3</v>
      </c>
      <c r="M54" s="50">
        <v>26</v>
      </c>
      <c r="N54" s="50">
        <v>0</v>
      </c>
      <c r="O54" s="15">
        <f t="shared" si="0"/>
        <v>90</v>
      </c>
      <c r="P54" s="15">
        <f t="shared" si="1"/>
        <v>116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9</v>
      </c>
      <c r="E55" s="50">
        <v>3</v>
      </c>
      <c r="F55" s="50">
        <v>30</v>
      </c>
      <c r="G55" s="50">
        <v>3</v>
      </c>
      <c r="H55" s="50">
        <v>1</v>
      </c>
      <c r="I55" s="50">
        <v>15</v>
      </c>
      <c r="J55" s="50">
        <v>9</v>
      </c>
      <c r="K55" s="50">
        <v>6</v>
      </c>
      <c r="L55" s="50">
        <v>3</v>
      </c>
      <c r="M55" s="50">
        <v>23</v>
      </c>
      <c r="N55" s="50">
        <v>0</v>
      </c>
      <c r="O55" s="15">
        <f t="shared" si="0"/>
        <v>93</v>
      </c>
      <c r="P55" s="15">
        <f t="shared" si="1"/>
        <v>116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1</v>
      </c>
      <c r="E56" s="50">
        <v>1</v>
      </c>
      <c r="F56" s="50">
        <v>26</v>
      </c>
      <c r="G56" s="50">
        <v>1</v>
      </c>
      <c r="H56" s="50">
        <v>3</v>
      </c>
      <c r="I56" s="50">
        <v>10</v>
      </c>
      <c r="J56" s="50">
        <v>8</v>
      </c>
      <c r="K56" s="50">
        <v>2</v>
      </c>
      <c r="L56" s="50">
        <v>0</v>
      </c>
      <c r="M56" s="50">
        <v>22</v>
      </c>
      <c r="N56" s="50">
        <v>0</v>
      </c>
      <c r="O56" s="15">
        <f t="shared" si="0"/>
        <v>67</v>
      </c>
      <c r="P56" s="15">
        <f t="shared" si="1"/>
        <v>89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1</v>
      </c>
      <c r="F57" s="50">
        <v>25</v>
      </c>
      <c r="G57" s="50">
        <v>0</v>
      </c>
      <c r="H57" s="50">
        <v>2</v>
      </c>
      <c r="I57" s="50">
        <v>11</v>
      </c>
      <c r="J57" s="50">
        <v>7</v>
      </c>
      <c r="K57" s="50">
        <v>5</v>
      </c>
      <c r="L57" s="50">
        <v>0</v>
      </c>
      <c r="M57" s="50">
        <v>20</v>
      </c>
      <c r="N57" s="50">
        <v>0</v>
      </c>
      <c r="O57" s="15">
        <f t="shared" si="0"/>
        <v>65</v>
      </c>
      <c r="P57" s="15">
        <f t="shared" si="1"/>
        <v>85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1527</v>
      </c>
      <c r="D58" s="16">
        <f t="shared" si="21"/>
        <v>380</v>
      </c>
      <c r="E58" s="16">
        <f t="shared" si="21"/>
        <v>249</v>
      </c>
      <c r="F58" s="16">
        <f t="shared" si="21"/>
        <v>1242</v>
      </c>
      <c r="G58" s="16">
        <f t="shared" si="21"/>
        <v>98</v>
      </c>
      <c r="H58" s="16">
        <f t="shared" si="21"/>
        <v>78</v>
      </c>
      <c r="I58" s="16">
        <f t="shared" si="21"/>
        <v>452</v>
      </c>
      <c r="J58" s="16">
        <f t="shared" si="21"/>
        <v>377</v>
      </c>
      <c r="K58" s="16">
        <f t="shared" si="21"/>
        <v>151</v>
      </c>
      <c r="L58" s="16">
        <f t="shared" si="21"/>
        <v>75</v>
      </c>
      <c r="M58" s="16">
        <f t="shared" si="21"/>
        <v>986</v>
      </c>
      <c r="N58" s="16">
        <f t="shared" si="21"/>
        <v>0</v>
      </c>
      <c r="O58" s="16">
        <f t="shared" si="21"/>
        <v>4629</v>
      </c>
      <c r="P58" s="16">
        <f t="shared" si="21"/>
        <v>5615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0.27195013357079251</v>
      </c>
      <c r="D59" s="43">
        <f t="shared" si="22"/>
        <v>6.7675868210151383E-2</v>
      </c>
      <c r="E59" s="43">
        <f t="shared" si="22"/>
        <v>4.4345503116651828E-2</v>
      </c>
      <c r="F59" s="43">
        <f t="shared" si="22"/>
        <v>0.22119323241317898</v>
      </c>
      <c r="G59" s="43">
        <f t="shared" si="22"/>
        <v>1.7453250222617987E-2</v>
      </c>
      <c r="H59" s="43">
        <f t="shared" si="22"/>
        <v>1.3891362422083704E-2</v>
      </c>
      <c r="I59" s="43">
        <f t="shared" si="22"/>
        <v>8.0498664292074806E-2</v>
      </c>
      <c r="J59" s="43">
        <f t="shared" si="22"/>
        <v>6.7141585040071242E-2</v>
      </c>
      <c r="K59" s="43">
        <f t="shared" si="22"/>
        <v>2.6892252894033838E-2</v>
      </c>
      <c r="L59" s="43">
        <f t="shared" si="22"/>
        <v>1.3357079252003561E-2</v>
      </c>
      <c r="M59" s="43">
        <f t="shared" si="22"/>
        <v>0.17560106856634017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0.32987686325340249</v>
      </c>
      <c r="D60" s="44">
        <f t="shared" ref="D60:N60" si="23">D58/$O$58</f>
        <v>8.2091164398358174E-2</v>
      </c>
      <c r="E60" s="44">
        <f t="shared" si="23"/>
        <v>5.3791315618924175E-2</v>
      </c>
      <c r="F60" s="44">
        <f t="shared" si="23"/>
        <v>0.26830848995463386</v>
      </c>
      <c r="G60" s="44">
        <f t="shared" si="23"/>
        <v>2.1170879239576581E-2</v>
      </c>
      <c r="H60" s="44">
        <f t="shared" si="23"/>
        <v>1.6850291639662993E-2</v>
      </c>
      <c r="I60" s="44">
        <f t="shared" si="23"/>
        <v>9.7645279758047099E-2</v>
      </c>
      <c r="J60" s="44">
        <f t="shared" si="23"/>
        <v>8.1443076258371133E-2</v>
      </c>
      <c r="K60" s="44">
        <f t="shared" si="23"/>
        <v>3.2620436379347591E-2</v>
      </c>
      <c r="L60" s="44">
        <f t="shared" si="23"/>
        <v>1.6202203499675955E-2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'28.10 Masaka-Maya'!G5:H5</f>
        <v>Maya</v>
      </c>
      <c r="H5" s="67"/>
      <c r="I5" s="14"/>
      <c r="J5" s="2" t="s">
        <v>5</v>
      </c>
      <c r="K5" s="66" t="str">
        <f>'28.10 Masaka-Maya'!K5:L5</f>
        <v>Kato joseph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'28.10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</v>
      </c>
      <c r="D10" s="50">
        <v>2</v>
      </c>
      <c r="E10" s="50">
        <v>4</v>
      </c>
      <c r="F10" s="50">
        <v>24</v>
      </c>
      <c r="G10" s="50">
        <v>2</v>
      </c>
      <c r="H10" s="50">
        <v>2</v>
      </c>
      <c r="I10" s="50">
        <v>9</v>
      </c>
      <c r="J10" s="50">
        <v>1</v>
      </c>
      <c r="K10" s="50">
        <v>0</v>
      </c>
      <c r="L10" s="50">
        <v>2</v>
      </c>
      <c r="M10" s="50">
        <v>29</v>
      </c>
      <c r="N10" s="50">
        <v>0</v>
      </c>
      <c r="O10" s="15">
        <f t="shared" ref="O10:O57" si="0">SUM(C10:L10,N10)</f>
        <v>59</v>
      </c>
      <c r="P10" s="15">
        <f t="shared" ref="P10:P57" si="1">SUM(C10:N10)</f>
        <v>88</v>
      </c>
      <c r="R10" s="1" t="s">
        <v>6</v>
      </c>
      <c r="S10" s="17">
        <f t="shared" ref="S10:AF10" si="2">SUM(C10:C13)</f>
        <v>67</v>
      </c>
      <c r="T10" s="17">
        <f t="shared" si="2"/>
        <v>10</v>
      </c>
      <c r="U10" s="17">
        <f t="shared" si="2"/>
        <v>8</v>
      </c>
      <c r="V10" s="17">
        <f t="shared" si="2"/>
        <v>86</v>
      </c>
      <c r="W10" s="17">
        <f t="shared" si="2"/>
        <v>4</v>
      </c>
      <c r="X10" s="17">
        <f t="shared" si="2"/>
        <v>3</v>
      </c>
      <c r="Y10" s="17">
        <f t="shared" si="2"/>
        <v>40</v>
      </c>
      <c r="Z10" s="17">
        <f t="shared" si="2"/>
        <v>7</v>
      </c>
      <c r="AA10" s="17">
        <f t="shared" si="2"/>
        <v>2</v>
      </c>
      <c r="AB10" s="17">
        <f t="shared" si="2"/>
        <v>13</v>
      </c>
      <c r="AC10" s="17">
        <f t="shared" si="2"/>
        <v>147</v>
      </c>
      <c r="AD10" s="17">
        <f t="shared" si="2"/>
        <v>0</v>
      </c>
      <c r="AE10" s="31">
        <f t="shared" si="2"/>
        <v>240</v>
      </c>
      <c r="AF10" s="31">
        <f t="shared" si="2"/>
        <v>387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2</v>
      </c>
      <c r="E11" s="50">
        <v>2</v>
      </c>
      <c r="F11" s="50">
        <v>14</v>
      </c>
      <c r="G11" s="50">
        <v>0</v>
      </c>
      <c r="H11" s="50">
        <v>0</v>
      </c>
      <c r="I11" s="50">
        <v>8</v>
      </c>
      <c r="J11" s="50">
        <v>1</v>
      </c>
      <c r="K11" s="50">
        <v>0</v>
      </c>
      <c r="L11" s="50">
        <v>1</v>
      </c>
      <c r="M11" s="50">
        <v>40</v>
      </c>
      <c r="N11" s="50">
        <v>0</v>
      </c>
      <c r="O11" s="15">
        <f t="shared" si="0"/>
        <v>42</v>
      </c>
      <c r="P11" s="15">
        <f t="shared" si="1"/>
        <v>82</v>
      </c>
      <c r="R11" s="1" t="s">
        <v>7</v>
      </c>
      <c r="S11" s="17">
        <f t="shared" ref="S11:AF11" si="3">SUM(C14:C17)</f>
        <v>44</v>
      </c>
      <c r="T11" s="17">
        <f t="shared" si="3"/>
        <v>11</v>
      </c>
      <c r="U11" s="17">
        <f t="shared" si="3"/>
        <v>13</v>
      </c>
      <c r="V11" s="17">
        <f t="shared" si="3"/>
        <v>99</v>
      </c>
      <c r="W11" s="17">
        <f t="shared" si="3"/>
        <v>1</v>
      </c>
      <c r="X11" s="17">
        <f t="shared" si="3"/>
        <v>4</v>
      </c>
      <c r="Y11" s="17">
        <f t="shared" si="3"/>
        <v>33</v>
      </c>
      <c r="Z11" s="17">
        <f t="shared" si="3"/>
        <v>5</v>
      </c>
      <c r="AA11" s="17">
        <f t="shared" si="3"/>
        <v>1</v>
      </c>
      <c r="AB11" s="17">
        <f t="shared" si="3"/>
        <v>12</v>
      </c>
      <c r="AC11" s="17">
        <f t="shared" si="3"/>
        <v>125</v>
      </c>
      <c r="AD11" s="17">
        <f t="shared" si="3"/>
        <v>0</v>
      </c>
      <c r="AE11" s="31">
        <f t="shared" si="3"/>
        <v>223</v>
      </c>
      <c r="AF11" s="31">
        <f t="shared" si="3"/>
        <v>348</v>
      </c>
    </row>
    <row r="12" spans="2:32" ht="23.1" customHeight="1" x14ac:dyDescent="0.25">
      <c r="B12" s="23" t="s">
        <v>39</v>
      </c>
      <c r="C12" s="50">
        <v>22</v>
      </c>
      <c r="D12" s="50">
        <v>3</v>
      </c>
      <c r="E12" s="50">
        <v>1</v>
      </c>
      <c r="F12" s="50">
        <v>16</v>
      </c>
      <c r="G12" s="50">
        <v>1</v>
      </c>
      <c r="H12" s="50">
        <v>1</v>
      </c>
      <c r="I12" s="50">
        <v>16</v>
      </c>
      <c r="J12" s="50">
        <v>2</v>
      </c>
      <c r="K12" s="50">
        <v>1</v>
      </c>
      <c r="L12" s="50">
        <v>4</v>
      </c>
      <c r="M12" s="50">
        <v>42</v>
      </c>
      <c r="N12" s="50">
        <v>0</v>
      </c>
      <c r="O12" s="15">
        <f t="shared" si="0"/>
        <v>67</v>
      </c>
      <c r="P12" s="15">
        <f t="shared" si="1"/>
        <v>109</v>
      </c>
      <c r="R12" s="1" t="s">
        <v>8</v>
      </c>
      <c r="S12" s="17">
        <f t="shared" ref="S12:AF12" si="4">SUM(C18:C21)</f>
        <v>58</v>
      </c>
      <c r="T12" s="17">
        <f t="shared" si="4"/>
        <v>11</v>
      </c>
      <c r="U12" s="17">
        <f t="shared" si="4"/>
        <v>13</v>
      </c>
      <c r="V12" s="17">
        <f t="shared" si="4"/>
        <v>89</v>
      </c>
      <c r="W12" s="17">
        <f t="shared" si="4"/>
        <v>1</v>
      </c>
      <c r="X12" s="17">
        <f t="shared" si="4"/>
        <v>3</v>
      </c>
      <c r="Y12" s="17">
        <f t="shared" si="4"/>
        <v>41</v>
      </c>
      <c r="Z12" s="17">
        <f t="shared" si="4"/>
        <v>5</v>
      </c>
      <c r="AA12" s="17">
        <f t="shared" si="4"/>
        <v>3</v>
      </c>
      <c r="AB12" s="17">
        <f t="shared" si="4"/>
        <v>9</v>
      </c>
      <c r="AC12" s="17">
        <f t="shared" si="4"/>
        <v>102</v>
      </c>
      <c r="AD12" s="17">
        <f t="shared" si="4"/>
        <v>0</v>
      </c>
      <c r="AE12" s="31">
        <f t="shared" si="4"/>
        <v>233</v>
      </c>
      <c r="AF12" s="31">
        <f t="shared" si="4"/>
        <v>335</v>
      </c>
    </row>
    <row r="13" spans="2:32" ht="23.1" customHeight="1" x14ac:dyDescent="0.25">
      <c r="B13" s="23" t="s">
        <v>40</v>
      </c>
      <c r="C13" s="50">
        <v>18</v>
      </c>
      <c r="D13" s="50">
        <v>3</v>
      </c>
      <c r="E13" s="50">
        <v>1</v>
      </c>
      <c r="F13" s="50">
        <v>32</v>
      </c>
      <c r="G13" s="50">
        <v>1</v>
      </c>
      <c r="H13" s="50">
        <v>0</v>
      </c>
      <c r="I13" s="50">
        <v>7</v>
      </c>
      <c r="J13" s="50">
        <v>3</v>
      </c>
      <c r="K13" s="50">
        <v>1</v>
      </c>
      <c r="L13" s="50">
        <v>6</v>
      </c>
      <c r="M13" s="50">
        <v>36</v>
      </c>
      <c r="N13" s="50">
        <v>0</v>
      </c>
      <c r="O13" s="15">
        <f t="shared" si="0"/>
        <v>72</v>
      </c>
      <c r="P13" s="15">
        <f t="shared" si="1"/>
        <v>108</v>
      </c>
      <c r="R13" s="1" t="s">
        <v>9</v>
      </c>
      <c r="S13" s="17">
        <f t="shared" ref="S13:AF13" si="5">SUM(C22:C25)</f>
        <v>61</v>
      </c>
      <c r="T13" s="17">
        <f t="shared" si="5"/>
        <v>10</v>
      </c>
      <c r="U13" s="17">
        <f t="shared" si="5"/>
        <v>12</v>
      </c>
      <c r="V13" s="17">
        <f t="shared" si="5"/>
        <v>106</v>
      </c>
      <c r="W13" s="17">
        <f t="shared" si="5"/>
        <v>1</v>
      </c>
      <c r="X13" s="17">
        <f t="shared" si="5"/>
        <v>3</v>
      </c>
      <c r="Y13" s="17">
        <f t="shared" si="5"/>
        <v>52</v>
      </c>
      <c r="Z13" s="17">
        <f t="shared" si="5"/>
        <v>6</v>
      </c>
      <c r="AA13" s="17">
        <f t="shared" si="5"/>
        <v>6</v>
      </c>
      <c r="AB13" s="17">
        <f t="shared" si="5"/>
        <v>12</v>
      </c>
      <c r="AC13" s="17">
        <f t="shared" si="5"/>
        <v>90</v>
      </c>
      <c r="AD13" s="17">
        <f t="shared" si="5"/>
        <v>0</v>
      </c>
      <c r="AE13" s="31">
        <f t="shared" si="5"/>
        <v>269</v>
      </c>
      <c r="AF13" s="31">
        <f t="shared" si="5"/>
        <v>359</v>
      </c>
    </row>
    <row r="14" spans="2:32" ht="23.1" customHeight="1" x14ac:dyDescent="0.25">
      <c r="B14" s="23" t="s">
        <v>41</v>
      </c>
      <c r="C14" s="50">
        <v>7</v>
      </c>
      <c r="D14" s="50">
        <v>3</v>
      </c>
      <c r="E14" s="50">
        <v>3</v>
      </c>
      <c r="F14" s="50">
        <v>29</v>
      </c>
      <c r="G14" s="50">
        <v>1</v>
      </c>
      <c r="H14" s="50">
        <v>2</v>
      </c>
      <c r="I14" s="50">
        <v>3</v>
      </c>
      <c r="J14" s="50">
        <v>2</v>
      </c>
      <c r="K14" s="50">
        <v>0</v>
      </c>
      <c r="L14" s="50">
        <v>3</v>
      </c>
      <c r="M14" s="50">
        <v>40</v>
      </c>
      <c r="N14" s="50">
        <v>0</v>
      </c>
      <c r="O14" s="15">
        <f t="shared" si="0"/>
        <v>53</v>
      </c>
      <c r="P14" s="15">
        <f t="shared" si="1"/>
        <v>93</v>
      </c>
      <c r="R14" s="1" t="s">
        <v>10</v>
      </c>
      <c r="S14" s="17">
        <f t="shared" ref="S14:AF14" si="6">SUM(C26:C29)</f>
        <v>57</v>
      </c>
      <c r="T14" s="17">
        <f t="shared" si="6"/>
        <v>14</v>
      </c>
      <c r="U14" s="17">
        <f t="shared" si="6"/>
        <v>11</v>
      </c>
      <c r="V14" s="17">
        <f t="shared" si="6"/>
        <v>87</v>
      </c>
      <c r="W14" s="17">
        <f t="shared" si="6"/>
        <v>1</v>
      </c>
      <c r="X14" s="17">
        <f t="shared" si="6"/>
        <v>1</v>
      </c>
      <c r="Y14" s="17">
        <f t="shared" si="6"/>
        <v>39</v>
      </c>
      <c r="Z14" s="17">
        <f t="shared" si="6"/>
        <v>6</v>
      </c>
      <c r="AA14" s="17">
        <f t="shared" si="6"/>
        <v>4</v>
      </c>
      <c r="AB14" s="17">
        <f t="shared" si="6"/>
        <v>13</v>
      </c>
      <c r="AC14" s="17">
        <f t="shared" si="6"/>
        <v>98</v>
      </c>
      <c r="AD14" s="17">
        <f t="shared" si="6"/>
        <v>0</v>
      </c>
      <c r="AE14" s="31">
        <f t="shared" si="6"/>
        <v>233</v>
      </c>
      <c r="AF14" s="31">
        <f t="shared" si="6"/>
        <v>331</v>
      </c>
    </row>
    <row r="15" spans="2:32" ht="23.1" customHeight="1" x14ac:dyDescent="0.25">
      <c r="B15" s="23" t="s">
        <v>42</v>
      </c>
      <c r="C15" s="50">
        <v>15</v>
      </c>
      <c r="D15" s="50">
        <v>1</v>
      </c>
      <c r="E15" s="50">
        <v>6</v>
      </c>
      <c r="F15" s="50">
        <v>28</v>
      </c>
      <c r="G15" s="50">
        <v>0</v>
      </c>
      <c r="H15" s="50">
        <v>1</v>
      </c>
      <c r="I15" s="50">
        <v>12</v>
      </c>
      <c r="J15" s="50">
        <v>2</v>
      </c>
      <c r="K15" s="50">
        <v>1</v>
      </c>
      <c r="L15" s="50">
        <v>3</v>
      </c>
      <c r="M15" s="50">
        <v>34</v>
      </c>
      <c r="N15" s="50">
        <v>0</v>
      </c>
      <c r="O15" s="15">
        <f t="shared" si="0"/>
        <v>69</v>
      </c>
      <c r="P15" s="15">
        <f t="shared" si="1"/>
        <v>103</v>
      </c>
      <c r="R15" s="1" t="s">
        <v>11</v>
      </c>
      <c r="S15" s="17">
        <f t="shared" ref="S15:AF15" si="7">SUM(C30:C33)</f>
        <v>79</v>
      </c>
      <c r="T15" s="17">
        <f t="shared" si="7"/>
        <v>21</v>
      </c>
      <c r="U15" s="17">
        <f t="shared" si="7"/>
        <v>16</v>
      </c>
      <c r="V15" s="17">
        <f t="shared" si="7"/>
        <v>91</v>
      </c>
      <c r="W15" s="17">
        <f t="shared" si="7"/>
        <v>2</v>
      </c>
      <c r="X15" s="17">
        <f t="shared" si="7"/>
        <v>5</v>
      </c>
      <c r="Y15" s="17">
        <f t="shared" si="7"/>
        <v>44</v>
      </c>
      <c r="Z15" s="17">
        <f t="shared" si="7"/>
        <v>4</v>
      </c>
      <c r="AA15" s="17">
        <f t="shared" si="7"/>
        <v>2</v>
      </c>
      <c r="AB15" s="17">
        <f t="shared" si="7"/>
        <v>8</v>
      </c>
      <c r="AC15" s="17">
        <f t="shared" si="7"/>
        <v>88</v>
      </c>
      <c r="AD15" s="17">
        <f t="shared" si="7"/>
        <v>0</v>
      </c>
      <c r="AE15" s="31">
        <f t="shared" si="7"/>
        <v>272</v>
      </c>
      <c r="AF15" s="31">
        <f t="shared" si="7"/>
        <v>360</v>
      </c>
    </row>
    <row r="16" spans="2:32" ht="23.1" customHeight="1" x14ac:dyDescent="0.25">
      <c r="B16" s="23" t="s">
        <v>43</v>
      </c>
      <c r="C16" s="50">
        <v>11</v>
      </c>
      <c r="D16" s="50">
        <v>3</v>
      </c>
      <c r="E16" s="50">
        <v>3</v>
      </c>
      <c r="F16" s="50">
        <v>20</v>
      </c>
      <c r="G16" s="50">
        <v>0</v>
      </c>
      <c r="H16" s="50">
        <v>0</v>
      </c>
      <c r="I16" s="50">
        <v>13</v>
      </c>
      <c r="J16" s="50">
        <v>1</v>
      </c>
      <c r="K16" s="50">
        <v>0</v>
      </c>
      <c r="L16" s="50">
        <v>2</v>
      </c>
      <c r="M16" s="50">
        <v>23</v>
      </c>
      <c r="N16" s="50">
        <v>0</v>
      </c>
      <c r="O16" s="15">
        <f t="shared" si="0"/>
        <v>53</v>
      </c>
      <c r="P16" s="15">
        <f t="shared" si="1"/>
        <v>76</v>
      </c>
      <c r="R16" s="1" t="s">
        <v>12</v>
      </c>
      <c r="S16" s="17">
        <f t="shared" ref="S16:AF16" si="8">SUM(C34:C37)</f>
        <v>81</v>
      </c>
      <c r="T16" s="17">
        <f t="shared" si="8"/>
        <v>18</v>
      </c>
      <c r="U16" s="17">
        <f t="shared" si="8"/>
        <v>12</v>
      </c>
      <c r="V16" s="17">
        <f t="shared" si="8"/>
        <v>77</v>
      </c>
      <c r="W16" s="17">
        <f t="shared" si="8"/>
        <v>2</v>
      </c>
      <c r="X16" s="17">
        <f t="shared" si="8"/>
        <v>3</v>
      </c>
      <c r="Y16" s="17">
        <f t="shared" si="8"/>
        <v>45</v>
      </c>
      <c r="Z16" s="17">
        <f t="shared" si="8"/>
        <v>6</v>
      </c>
      <c r="AA16" s="17">
        <f t="shared" si="8"/>
        <v>0</v>
      </c>
      <c r="AB16" s="17">
        <f t="shared" si="8"/>
        <v>7</v>
      </c>
      <c r="AC16" s="17">
        <f t="shared" si="8"/>
        <v>67</v>
      </c>
      <c r="AD16" s="17">
        <f t="shared" si="8"/>
        <v>0</v>
      </c>
      <c r="AE16" s="31">
        <f t="shared" si="8"/>
        <v>251</v>
      </c>
      <c r="AF16" s="31">
        <f t="shared" si="8"/>
        <v>318</v>
      </c>
    </row>
    <row r="17" spans="2:32" ht="23.1" customHeight="1" x14ac:dyDescent="0.25">
      <c r="B17" s="23" t="s">
        <v>44</v>
      </c>
      <c r="C17" s="50">
        <v>11</v>
      </c>
      <c r="D17" s="50">
        <v>4</v>
      </c>
      <c r="E17" s="50">
        <v>1</v>
      </c>
      <c r="F17" s="50">
        <v>22</v>
      </c>
      <c r="G17" s="50">
        <v>0</v>
      </c>
      <c r="H17" s="50">
        <v>1</v>
      </c>
      <c r="I17" s="50">
        <v>5</v>
      </c>
      <c r="J17" s="50">
        <v>0</v>
      </c>
      <c r="K17" s="50">
        <v>0</v>
      </c>
      <c r="L17" s="50">
        <v>4</v>
      </c>
      <c r="M17" s="50">
        <v>28</v>
      </c>
      <c r="N17" s="50">
        <v>0</v>
      </c>
      <c r="O17" s="15">
        <f t="shared" si="0"/>
        <v>48</v>
      </c>
      <c r="P17" s="15">
        <f t="shared" si="1"/>
        <v>76</v>
      </c>
      <c r="R17" s="1" t="s">
        <v>13</v>
      </c>
      <c r="S17" s="17">
        <f t="shared" ref="S17:AF17" si="9">SUM(C38:C41)</f>
        <v>93</v>
      </c>
      <c r="T17" s="17">
        <f t="shared" si="9"/>
        <v>19</v>
      </c>
      <c r="U17" s="17">
        <f t="shared" si="9"/>
        <v>15</v>
      </c>
      <c r="V17" s="17">
        <f t="shared" si="9"/>
        <v>83</v>
      </c>
      <c r="W17" s="17">
        <f t="shared" si="9"/>
        <v>2</v>
      </c>
      <c r="X17" s="17">
        <f t="shared" si="9"/>
        <v>4</v>
      </c>
      <c r="Y17" s="17">
        <f t="shared" si="9"/>
        <v>52</v>
      </c>
      <c r="Z17" s="17">
        <f t="shared" si="9"/>
        <v>3</v>
      </c>
      <c r="AA17" s="17">
        <f t="shared" si="9"/>
        <v>0</v>
      </c>
      <c r="AB17" s="17">
        <f t="shared" si="9"/>
        <v>9</v>
      </c>
      <c r="AC17" s="17">
        <f t="shared" si="9"/>
        <v>87</v>
      </c>
      <c r="AD17" s="17">
        <f t="shared" si="9"/>
        <v>0</v>
      </c>
      <c r="AE17" s="31">
        <f t="shared" si="9"/>
        <v>280</v>
      </c>
      <c r="AF17" s="31">
        <f t="shared" si="9"/>
        <v>367</v>
      </c>
    </row>
    <row r="18" spans="2:32" ht="23.1" customHeight="1" x14ac:dyDescent="0.25">
      <c r="B18" s="23" t="s">
        <v>45</v>
      </c>
      <c r="C18" s="50">
        <v>14</v>
      </c>
      <c r="D18" s="50">
        <v>2</v>
      </c>
      <c r="E18" s="50">
        <v>4</v>
      </c>
      <c r="F18" s="50">
        <v>27</v>
      </c>
      <c r="G18" s="50">
        <v>1</v>
      </c>
      <c r="H18" s="50">
        <v>0</v>
      </c>
      <c r="I18" s="50">
        <v>13</v>
      </c>
      <c r="J18" s="50">
        <v>2</v>
      </c>
      <c r="K18" s="50">
        <v>2</v>
      </c>
      <c r="L18" s="50">
        <v>5</v>
      </c>
      <c r="M18" s="50">
        <v>26</v>
      </c>
      <c r="N18" s="50">
        <v>0</v>
      </c>
      <c r="O18" s="15">
        <f t="shared" si="0"/>
        <v>70</v>
      </c>
      <c r="P18" s="15">
        <f t="shared" si="1"/>
        <v>96</v>
      </c>
      <c r="R18" s="1" t="s">
        <v>14</v>
      </c>
      <c r="S18" s="17">
        <f t="shared" ref="S18:AF18" si="10">SUM(C42:C45)</f>
        <v>120</v>
      </c>
      <c r="T18" s="17">
        <f t="shared" si="10"/>
        <v>21</v>
      </c>
      <c r="U18" s="17">
        <f t="shared" si="10"/>
        <v>24</v>
      </c>
      <c r="V18" s="17">
        <f t="shared" si="10"/>
        <v>78</v>
      </c>
      <c r="W18" s="17">
        <f t="shared" si="10"/>
        <v>1</v>
      </c>
      <c r="X18" s="17">
        <f t="shared" si="10"/>
        <v>9</v>
      </c>
      <c r="Y18" s="17">
        <f t="shared" si="10"/>
        <v>61</v>
      </c>
      <c r="Z18" s="17">
        <f t="shared" si="10"/>
        <v>8</v>
      </c>
      <c r="AA18" s="17">
        <f t="shared" si="10"/>
        <v>5</v>
      </c>
      <c r="AB18" s="17">
        <f t="shared" si="10"/>
        <v>8</v>
      </c>
      <c r="AC18" s="17">
        <f t="shared" si="10"/>
        <v>85</v>
      </c>
      <c r="AD18" s="17">
        <f t="shared" si="10"/>
        <v>0</v>
      </c>
      <c r="AE18" s="31">
        <f t="shared" si="10"/>
        <v>335</v>
      </c>
      <c r="AF18" s="31">
        <f t="shared" si="10"/>
        <v>420</v>
      </c>
    </row>
    <row r="19" spans="2:32" ht="23.1" customHeight="1" x14ac:dyDescent="0.25">
      <c r="B19" s="23" t="s">
        <v>46</v>
      </c>
      <c r="C19" s="50">
        <v>23</v>
      </c>
      <c r="D19" s="50">
        <v>4</v>
      </c>
      <c r="E19" s="50">
        <v>4</v>
      </c>
      <c r="F19" s="50">
        <v>25</v>
      </c>
      <c r="G19" s="50">
        <v>0</v>
      </c>
      <c r="H19" s="50">
        <v>1</v>
      </c>
      <c r="I19" s="50">
        <v>12</v>
      </c>
      <c r="J19" s="50">
        <v>2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71</v>
      </c>
      <c r="P19" s="15">
        <f t="shared" si="1"/>
        <v>93</v>
      </c>
      <c r="R19" s="1" t="s">
        <v>15</v>
      </c>
      <c r="S19" s="17">
        <f t="shared" ref="S19:AF19" si="11">SUM(C46:C49)</f>
        <v>133</v>
      </c>
      <c r="T19" s="17">
        <f t="shared" si="11"/>
        <v>22</v>
      </c>
      <c r="U19" s="17">
        <f t="shared" si="11"/>
        <v>22</v>
      </c>
      <c r="V19" s="17">
        <f t="shared" si="11"/>
        <v>94</v>
      </c>
      <c r="W19" s="17">
        <f t="shared" si="11"/>
        <v>13</v>
      </c>
      <c r="X19" s="17">
        <f t="shared" si="11"/>
        <v>9</v>
      </c>
      <c r="Y19" s="17">
        <f t="shared" si="11"/>
        <v>72</v>
      </c>
      <c r="Z19" s="17">
        <f t="shared" si="11"/>
        <v>9</v>
      </c>
      <c r="AA19" s="17">
        <f t="shared" si="11"/>
        <v>4</v>
      </c>
      <c r="AB19" s="17">
        <f t="shared" si="11"/>
        <v>8</v>
      </c>
      <c r="AC19" s="17">
        <f t="shared" si="11"/>
        <v>96</v>
      </c>
      <c r="AD19" s="17">
        <f t="shared" si="11"/>
        <v>0</v>
      </c>
      <c r="AE19" s="31">
        <f t="shared" si="11"/>
        <v>386</v>
      </c>
      <c r="AF19" s="31">
        <f t="shared" si="11"/>
        <v>482</v>
      </c>
    </row>
    <row r="20" spans="2:32" ht="23.1" customHeight="1" x14ac:dyDescent="0.25">
      <c r="B20" s="23" t="s">
        <v>47</v>
      </c>
      <c r="C20" s="50">
        <v>11</v>
      </c>
      <c r="D20" s="50">
        <v>3</v>
      </c>
      <c r="E20" s="50">
        <v>3</v>
      </c>
      <c r="F20" s="50">
        <v>15</v>
      </c>
      <c r="G20" s="50">
        <v>0</v>
      </c>
      <c r="H20" s="50">
        <v>2</v>
      </c>
      <c r="I20" s="50">
        <v>6</v>
      </c>
      <c r="J20" s="50">
        <v>0</v>
      </c>
      <c r="K20" s="50">
        <v>0</v>
      </c>
      <c r="L20" s="50">
        <v>3</v>
      </c>
      <c r="M20" s="50">
        <v>21</v>
      </c>
      <c r="N20" s="50">
        <v>0</v>
      </c>
      <c r="O20" s="15">
        <f t="shared" si="0"/>
        <v>43</v>
      </c>
      <c r="P20" s="15">
        <f t="shared" si="1"/>
        <v>64</v>
      </c>
      <c r="R20" s="1" t="s">
        <v>16</v>
      </c>
      <c r="S20" s="17">
        <f t="shared" ref="S20:AF20" si="12">SUM(C50:C53)</f>
        <v>157</v>
      </c>
      <c r="T20" s="17">
        <f t="shared" si="12"/>
        <v>37</v>
      </c>
      <c r="U20" s="17">
        <f t="shared" si="12"/>
        <v>16</v>
      </c>
      <c r="V20" s="17">
        <f t="shared" si="12"/>
        <v>118</v>
      </c>
      <c r="W20" s="17">
        <f t="shared" si="12"/>
        <v>18</v>
      </c>
      <c r="X20" s="17">
        <f t="shared" si="12"/>
        <v>8</v>
      </c>
      <c r="Y20" s="17">
        <f t="shared" si="12"/>
        <v>55</v>
      </c>
      <c r="Z20" s="17">
        <f t="shared" si="12"/>
        <v>21</v>
      </c>
      <c r="AA20" s="17">
        <f t="shared" si="12"/>
        <v>2</v>
      </c>
      <c r="AB20" s="17">
        <f t="shared" si="12"/>
        <v>15</v>
      </c>
      <c r="AC20" s="17">
        <f t="shared" si="12"/>
        <v>107</v>
      </c>
      <c r="AD20" s="17">
        <f t="shared" si="12"/>
        <v>0</v>
      </c>
      <c r="AE20" s="31">
        <f t="shared" si="12"/>
        <v>447</v>
      </c>
      <c r="AF20" s="31">
        <f t="shared" si="12"/>
        <v>554</v>
      </c>
    </row>
    <row r="21" spans="2:32" ht="23.1" customHeight="1" x14ac:dyDescent="0.25">
      <c r="B21" s="23" t="s">
        <v>48</v>
      </c>
      <c r="C21" s="50">
        <v>10</v>
      </c>
      <c r="D21" s="50">
        <v>2</v>
      </c>
      <c r="E21" s="50">
        <v>2</v>
      </c>
      <c r="F21" s="50">
        <v>22</v>
      </c>
      <c r="G21" s="50">
        <v>0</v>
      </c>
      <c r="H21" s="50">
        <v>0</v>
      </c>
      <c r="I21" s="50">
        <v>10</v>
      </c>
      <c r="J21" s="50">
        <v>1</v>
      </c>
      <c r="K21" s="50">
        <v>1</v>
      </c>
      <c r="L21" s="50">
        <v>1</v>
      </c>
      <c r="M21" s="50">
        <v>33</v>
      </c>
      <c r="N21" s="50">
        <v>0</v>
      </c>
      <c r="O21" s="15">
        <f t="shared" si="0"/>
        <v>49</v>
      </c>
      <c r="P21" s="15">
        <f t="shared" si="1"/>
        <v>82</v>
      </c>
      <c r="R21" s="36" t="s">
        <v>20</v>
      </c>
      <c r="S21" s="34">
        <f t="shared" ref="S21:AF21" si="13">SUM(C54:C57)</f>
        <v>172</v>
      </c>
      <c r="T21" s="17">
        <f t="shared" si="13"/>
        <v>34</v>
      </c>
      <c r="U21" s="17">
        <f t="shared" si="13"/>
        <v>28</v>
      </c>
      <c r="V21" s="17">
        <f t="shared" si="13"/>
        <v>115</v>
      </c>
      <c r="W21" s="17">
        <f t="shared" si="13"/>
        <v>16</v>
      </c>
      <c r="X21" s="17">
        <f t="shared" si="13"/>
        <v>4</v>
      </c>
      <c r="Y21" s="17">
        <f t="shared" si="13"/>
        <v>49</v>
      </c>
      <c r="Z21" s="17">
        <f t="shared" si="13"/>
        <v>5</v>
      </c>
      <c r="AA21" s="17">
        <f t="shared" si="13"/>
        <v>4</v>
      </c>
      <c r="AB21" s="17">
        <f t="shared" si="13"/>
        <v>14</v>
      </c>
      <c r="AC21" s="17">
        <f t="shared" si="13"/>
        <v>117</v>
      </c>
      <c r="AD21" s="17">
        <f t="shared" si="13"/>
        <v>0</v>
      </c>
      <c r="AE21" s="31">
        <f t="shared" si="13"/>
        <v>441</v>
      </c>
      <c r="AF21" s="31">
        <f t="shared" si="13"/>
        <v>558</v>
      </c>
    </row>
    <row r="22" spans="2:32" ht="23.1" customHeight="1" x14ac:dyDescent="0.25">
      <c r="B22" s="23" t="s">
        <v>49</v>
      </c>
      <c r="C22" s="50">
        <v>13</v>
      </c>
      <c r="D22" s="50">
        <v>1</v>
      </c>
      <c r="E22" s="50">
        <v>4</v>
      </c>
      <c r="F22" s="50">
        <v>26</v>
      </c>
      <c r="G22" s="50">
        <v>0</v>
      </c>
      <c r="H22" s="50">
        <v>0</v>
      </c>
      <c r="I22" s="50">
        <v>16</v>
      </c>
      <c r="J22" s="50">
        <v>1</v>
      </c>
      <c r="K22" s="50">
        <v>2</v>
      </c>
      <c r="L22" s="50">
        <v>3</v>
      </c>
      <c r="M22" s="50">
        <v>24</v>
      </c>
      <c r="N22" s="50">
        <v>0</v>
      </c>
      <c r="O22" s="15">
        <f t="shared" si="0"/>
        <v>66</v>
      </c>
      <c r="P22" s="15">
        <f t="shared" si="1"/>
        <v>90</v>
      </c>
      <c r="R22" s="38" t="s">
        <v>90</v>
      </c>
      <c r="S22" s="39">
        <f>MAX(S10:S12)</f>
        <v>67</v>
      </c>
      <c r="T22" s="39">
        <f t="shared" ref="T22:AF22" si="14">MAX(T10:T12)</f>
        <v>11</v>
      </c>
      <c r="U22" s="39">
        <f t="shared" si="14"/>
        <v>13</v>
      </c>
      <c r="V22" s="39">
        <f t="shared" si="14"/>
        <v>99</v>
      </c>
      <c r="W22" s="39">
        <f t="shared" si="14"/>
        <v>4</v>
      </c>
      <c r="X22" s="39">
        <f t="shared" si="14"/>
        <v>4</v>
      </c>
      <c r="Y22" s="39">
        <f t="shared" si="14"/>
        <v>41</v>
      </c>
      <c r="Z22" s="39">
        <f t="shared" si="14"/>
        <v>7</v>
      </c>
      <c r="AA22" s="39">
        <f t="shared" si="14"/>
        <v>3</v>
      </c>
      <c r="AB22" s="39">
        <f t="shared" si="14"/>
        <v>13</v>
      </c>
      <c r="AC22" s="39">
        <f t="shared" si="14"/>
        <v>147</v>
      </c>
      <c r="AD22" s="39">
        <f t="shared" si="14"/>
        <v>0</v>
      </c>
      <c r="AE22" s="40">
        <f t="shared" si="14"/>
        <v>240</v>
      </c>
      <c r="AF22" s="40">
        <f t="shared" si="14"/>
        <v>387</v>
      </c>
    </row>
    <row r="23" spans="2:32" ht="23.1" customHeight="1" x14ac:dyDescent="0.25">
      <c r="B23" s="23" t="s">
        <v>50</v>
      </c>
      <c r="C23" s="50">
        <v>17</v>
      </c>
      <c r="D23" s="50">
        <v>1</v>
      </c>
      <c r="E23" s="50">
        <v>2</v>
      </c>
      <c r="F23" s="50">
        <v>26</v>
      </c>
      <c r="G23" s="50">
        <v>1</v>
      </c>
      <c r="H23" s="50">
        <v>0</v>
      </c>
      <c r="I23" s="50">
        <v>10</v>
      </c>
      <c r="J23" s="50">
        <v>2</v>
      </c>
      <c r="K23" s="50">
        <v>1</v>
      </c>
      <c r="L23" s="50">
        <v>2</v>
      </c>
      <c r="M23" s="50">
        <v>22</v>
      </c>
      <c r="N23" s="50">
        <v>0</v>
      </c>
      <c r="O23" s="15">
        <f t="shared" si="0"/>
        <v>62</v>
      </c>
      <c r="P23" s="15">
        <f t="shared" si="1"/>
        <v>84</v>
      </c>
      <c r="R23" s="38" t="s">
        <v>91</v>
      </c>
      <c r="S23" s="39">
        <f>MAX(S13:S18)</f>
        <v>120</v>
      </c>
      <c r="T23" s="39">
        <f t="shared" ref="T23:AF23" si="15">MAX(T13:T18)</f>
        <v>21</v>
      </c>
      <c r="U23" s="39">
        <f t="shared" si="15"/>
        <v>24</v>
      </c>
      <c r="V23" s="39">
        <f t="shared" si="15"/>
        <v>106</v>
      </c>
      <c r="W23" s="39">
        <f t="shared" si="15"/>
        <v>2</v>
      </c>
      <c r="X23" s="39">
        <f t="shared" si="15"/>
        <v>9</v>
      </c>
      <c r="Y23" s="39">
        <f t="shared" si="15"/>
        <v>61</v>
      </c>
      <c r="Z23" s="39">
        <f t="shared" si="15"/>
        <v>8</v>
      </c>
      <c r="AA23" s="39">
        <f t="shared" si="15"/>
        <v>6</v>
      </c>
      <c r="AB23" s="39">
        <f t="shared" si="15"/>
        <v>13</v>
      </c>
      <c r="AC23" s="39">
        <f t="shared" si="15"/>
        <v>98</v>
      </c>
      <c r="AD23" s="39">
        <f t="shared" si="15"/>
        <v>0</v>
      </c>
      <c r="AE23" s="40">
        <f t="shared" si="15"/>
        <v>335</v>
      </c>
      <c r="AF23" s="40">
        <f t="shared" si="15"/>
        <v>420</v>
      </c>
    </row>
    <row r="24" spans="2:32" ht="23.1" customHeight="1" x14ac:dyDescent="0.25">
      <c r="B24" s="23" t="s">
        <v>51</v>
      </c>
      <c r="C24" s="50">
        <v>19</v>
      </c>
      <c r="D24" s="50">
        <v>4</v>
      </c>
      <c r="E24" s="50">
        <v>5</v>
      </c>
      <c r="F24" s="50">
        <v>27</v>
      </c>
      <c r="G24" s="50">
        <v>0</v>
      </c>
      <c r="H24" s="50">
        <v>1</v>
      </c>
      <c r="I24" s="50">
        <v>14</v>
      </c>
      <c r="J24" s="50">
        <v>1</v>
      </c>
      <c r="K24" s="50">
        <v>1</v>
      </c>
      <c r="L24" s="50">
        <v>5</v>
      </c>
      <c r="M24" s="50">
        <v>21</v>
      </c>
      <c r="N24" s="50">
        <v>0</v>
      </c>
      <c r="O24" s="15">
        <f t="shared" si="0"/>
        <v>77</v>
      </c>
      <c r="P24" s="15">
        <f t="shared" si="1"/>
        <v>98</v>
      </c>
      <c r="R24" s="38" t="s">
        <v>92</v>
      </c>
      <c r="S24" s="39">
        <f>MAX(S19:S21)</f>
        <v>172</v>
      </c>
      <c r="T24" s="39">
        <f t="shared" ref="T24:AF24" si="16">MAX(T19:T21)</f>
        <v>37</v>
      </c>
      <c r="U24" s="39">
        <f t="shared" si="16"/>
        <v>28</v>
      </c>
      <c r="V24" s="39">
        <f t="shared" si="16"/>
        <v>118</v>
      </c>
      <c r="W24" s="39">
        <f t="shared" si="16"/>
        <v>18</v>
      </c>
      <c r="X24" s="39">
        <f t="shared" si="16"/>
        <v>9</v>
      </c>
      <c r="Y24" s="39">
        <f t="shared" si="16"/>
        <v>72</v>
      </c>
      <c r="Z24" s="39">
        <f t="shared" si="16"/>
        <v>21</v>
      </c>
      <c r="AA24" s="39">
        <f t="shared" si="16"/>
        <v>4</v>
      </c>
      <c r="AB24" s="39">
        <f t="shared" si="16"/>
        <v>15</v>
      </c>
      <c r="AC24" s="39">
        <f t="shared" si="16"/>
        <v>117</v>
      </c>
      <c r="AD24" s="39">
        <f t="shared" si="16"/>
        <v>0</v>
      </c>
      <c r="AE24" s="40">
        <f t="shared" si="16"/>
        <v>447</v>
      </c>
      <c r="AF24" s="40">
        <f t="shared" si="16"/>
        <v>558</v>
      </c>
    </row>
    <row r="25" spans="2:32" ht="23.1" customHeight="1" x14ac:dyDescent="0.25">
      <c r="B25" s="23" t="s">
        <v>52</v>
      </c>
      <c r="C25" s="50">
        <v>12</v>
      </c>
      <c r="D25" s="50">
        <v>4</v>
      </c>
      <c r="E25" s="50">
        <v>1</v>
      </c>
      <c r="F25" s="50">
        <v>27</v>
      </c>
      <c r="G25" s="50">
        <v>0</v>
      </c>
      <c r="H25" s="50">
        <v>2</v>
      </c>
      <c r="I25" s="50">
        <v>12</v>
      </c>
      <c r="J25" s="50">
        <v>2</v>
      </c>
      <c r="K25" s="50">
        <v>2</v>
      </c>
      <c r="L25" s="50">
        <v>2</v>
      </c>
      <c r="M25" s="50">
        <v>23</v>
      </c>
      <c r="N25" s="50">
        <v>0</v>
      </c>
      <c r="O25" s="15">
        <f t="shared" si="0"/>
        <v>64</v>
      </c>
      <c r="P25" s="15">
        <f t="shared" si="1"/>
        <v>87</v>
      </c>
      <c r="R25" s="37" t="s">
        <v>85</v>
      </c>
      <c r="S25" s="35">
        <f t="shared" ref="S25:AF25" si="17">SUM(S10:S12)</f>
        <v>169</v>
      </c>
      <c r="T25" s="16">
        <f t="shared" si="17"/>
        <v>32</v>
      </c>
      <c r="U25" s="16">
        <f t="shared" si="17"/>
        <v>34</v>
      </c>
      <c r="V25" s="16">
        <f t="shared" si="17"/>
        <v>274</v>
      </c>
      <c r="W25" s="16">
        <f t="shared" si="17"/>
        <v>6</v>
      </c>
      <c r="X25" s="16">
        <f t="shared" si="17"/>
        <v>10</v>
      </c>
      <c r="Y25" s="16">
        <f t="shared" si="17"/>
        <v>114</v>
      </c>
      <c r="Z25" s="16">
        <f t="shared" si="17"/>
        <v>17</v>
      </c>
      <c r="AA25" s="16">
        <f t="shared" si="17"/>
        <v>6</v>
      </c>
      <c r="AB25" s="16">
        <f t="shared" si="17"/>
        <v>34</v>
      </c>
      <c r="AC25" s="16">
        <f t="shared" si="17"/>
        <v>374</v>
      </c>
      <c r="AD25" s="16">
        <f t="shared" si="17"/>
        <v>0</v>
      </c>
      <c r="AE25" s="32">
        <f t="shared" si="17"/>
        <v>696</v>
      </c>
      <c r="AF25" s="32">
        <f t="shared" si="17"/>
        <v>1070</v>
      </c>
    </row>
    <row r="26" spans="2:32" ht="23.1" customHeight="1" x14ac:dyDescent="0.25">
      <c r="B26" s="23" t="s">
        <v>53</v>
      </c>
      <c r="C26" s="50">
        <v>16</v>
      </c>
      <c r="D26" s="50">
        <v>3</v>
      </c>
      <c r="E26" s="50">
        <v>2</v>
      </c>
      <c r="F26" s="50">
        <v>21</v>
      </c>
      <c r="G26" s="50">
        <v>0</v>
      </c>
      <c r="H26" s="50">
        <v>0</v>
      </c>
      <c r="I26" s="50">
        <v>9</v>
      </c>
      <c r="J26" s="50">
        <v>2</v>
      </c>
      <c r="K26" s="50">
        <v>0</v>
      </c>
      <c r="L26" s="50">
        <v>2</v>
      </c>
      <c r="M26" s="50">
        <v>20</v>
      </c>
      <c r="N26" s="50">
        <v>0</v>
      </c>
      <c r="O26" s="15">
        <f t="shared" si="0"/>
        <v>55</v>
      </c>
      <c r="P26" s="15">
        <f t="shared" si="1"/>
        <v>75</v>
      </c>
      <c r="R26" s="28" t="s">
        <v>86</v>
      </c>
      <c r="S26" s="16">
        <f t="shared" ref="S26:AF26" si="18">SUM(S13:S18)</f>
        <v>491</v>
      </c>
      <c r="T26" s="16">
        <f t="shared" si="18"/>
        <v>103</v>
      </c>
      <c r="U26" s="16">
        <f t="shared" si="18"/>
        <v>90</v>
      </c>
      <c r="V26" s="16">
        <f t="shared" si="18"/>
        <v>522</v>
      </c>
      <c r="W26" s="16">
        <f t="shared" si="18"/>
        <v>9</v>
      </c>
      <c r="X26" s="16">
        <f t="shared" si="18"/>
        <v>25</v>
      </c>
      <c r="Y26" s="16">
        <f t="shared" si="18"/>
        <v>293</v>
      </c>
      <c r="Z26" s="16">
        <f t="shared" si="18"/>
        <v>33</v>
      </c>
      <c r="AA26" s="16">
        <f t="shared" si="18"/>
        <v>17</v>
      </c>
      <c r="AB26" s="16">
        <f t="shared" si="18"/>
        <v>57</v>
      </c>
      <c r="AC26" s="16">
        <f t="shared" si="18"/>
        <v>515</v>
      </c>
      <c r="AD26" s="16">
        <f t="shared" si="18"/>
        <v>0</v>
      </c>
      <c r="AE26" s="32">
        <f t="shared" si="18"/>
        <v>1640</v>
      </c>
      <c r="AF26" s="32">
        <f t="shared" si="18"/>
        <v>2155</v>
      </c>
    </row>
    <row r="27" spans="2:32" ht="23.1" customHeight="1" x14ac:dyDescent="0.25">
      <c r="B27" s="23" t="s">
        <v>54</v>
      </c>
      <c r="C27" s="50">
        <v>20</v>
      </c>
      <c r="D27" s="50">
        <v>4</v>
      </c>
      <c r="E27" s="50">
        <v>5</v>
      </c>
      <c r="F27" s="50">
        <v>23</v>
      </c>
      <c r="G27" s="50">
        <v>0</v>
      </c>
      <c r="H27" s="50">
        <v>1</v>
      </c>
      <c r="I27" s="50">
        <v>8</v>
      </c>
      <c r="J27" s="50">
        <v>3</v>
      </c>
      <c r="K27" s="50">
        <v>0</v>
      </c>
      <c r="L27" s="50">
        <v>3</v>
      </c>
      <c r="M27" s="50">
        <v>21</v>
      </c>
      <c r="N27" s="50">
        <v>0</v>
      </c>
      <c r="O27" s="15">
        <f t="shared" si="0"/>
        <v>67</v>
      </c>
      <c r="P27" s="15">
        <f t="shared" si="1"/>
        <v>88</v>
      </c>
      <c r="R27" s="29" t="s">
        <v>87</v>
      </c>
      <c r="S27" s="16">
        <f t="shared" ref="S27:AF27" si="19">SUM(S19:S21)</f>
        <v>462</v>
      </c>
      <c r="T27" s="16">
        <f t="shared" si="19"/>
        <v>93</v>
      </c>
      <c r="U27" s="16">
        <f t="shared" si="19"/>
        <v>66</v>
      </c>
      <c r="V27" s="16">
        <f t="shared" si="19"/>
        <v>327</v>
      </c>
      <c r="W27" s="16">
        <f t="shared" si="19"/>
        <v>47</v>
      </c>
      <c r="X27" s="16">
        <f t="shared" si="19"/>
        <v>21</v>
      </c>
      <c r="Y27" s="16">
        <f t="shared" si="19"/>
        <v>176</v>
      </c>
      <c r="Z27" s="16">
        <f t="shared" si="19"/>
        <v>35</v>
      </c>
      <c r="AA27" s="16">
        <f t="shared" si="19"/>
        <v>10</v>
      </c>
      <c r="AB27" s="16">
        <f t="shared" si="19"/>
        <v>37</v>
      </c>
      <c r="AC27" s="16">
        <f t="shared" si="19"/>
        <v>320</v>
      </c>
      <c r="AD27" s="16">
        <f t="shared" si="19"/>
        <v>0</v>
      </c>
      <c r="AE27" s="32">
        <f t="shared" si="19"/>
        <v>1274</v>
      </c>
      <c r="AF27" s="32">
        <f t="shared" si="19"/>
        <v>1594</v>
      </c>
    </row>
    <row r="28" spans="2:32" ht="23.1" customHeight="1" x14ac:dyDescent="0.25">
      <c r="B28" s="23" t="s">
        <v>55</v>
      </c>
      <c r="C28" s="50">
        <v>12</v>
      </c>
      <c r="D28" s="50">
        <v>4</v>
      </c>
      <c r="E28" s="50">
        <v>3</v>
      </c>
      <c r="F28" s="50">
        <v>22</v>
      </c>
      <c r="G28" s="50">
        <v>1</v>
      </c>
      <c r="H28" s="50">
        <v>0</v>
      </c>
      <c r="I28" s="50">
        <v>12</v>
      </c>
      <c r="J28" s="50">
        <v>1</v>
      </c>
      <c r="K28" s="50">
        <v>3</v>
      </c>
      <c r="L28" s="50">
        <v>3</v>
      </c>
      <c r="M28" s="50">
        <v>25</v>
      </c>
      <c r="N28" s="50">
        <v>0</v>
      </c>
      <c r="O28" s="15">
        <f t="shared" si="0"/>
        <v>61</v>
      </c>
      <c r="P28" s="15">
        <f t="shared" si="1"/>
        <v>86</v>
      </c>
      <c r="R28" s="5" t="s">
        <v>17</v>
      </c>
      <c r="S28" s="16">
        <f t="shared" ref="S28:AF28" si="20">SUM(S10:S21)</f>
        <v>1122</v>
      </c>
      <c r="T28" s="16">
        <f t="shared" si="20"/>
        <v>228</v>
      </c>
      <c r="U28" s="16">
        <f t="shared" si="20"/>
        <v>190</v>
      </c>
      <c r="V28" s="16">
        <f t="shared" si="20"/>
        <v>1123</v>
      </c>
      <c r="W28" s="16">
        <f t="shared" si="20"/>
        <v>62</v>
      </c>
      <c r="X28" s="16">
        <f t="shared" si="20"/>
        <v>56</v>
      </c>
      <c r="Y28" s="16">
        <f t="shared" si="20"/>
        <v>583</v>
      </c>
      <c r="Z28" s="16">
        <f t="shared" si="20"/>
        <v>85</v>
      </c>
      <c r="AA28" s="16">
        <f t="shared" si="20"/>
        <v>33</v>
      </c>
      <c r="AB28" s="16">
        <f t="shared" si="20"/>
        <v>128</v>
      </c>
      <c r="AC28" s="16">
        <f t="shared" si="20"/>
        <v>1209</v>
      </c>
      <c r="AD28" s="16">
        <f t="shared" si="20"/>
        <v>0</v>
      </c>
      <c r="AE28" s="32">
        <f t="shared" si="20"/>
        <v>3610</v>
      </c>
      <c r="AF28" s="32">
        <f t="shared" si="20"/>
        <v>4819</v>
      </c>
    </row>
    <row r="29" spans="2:32" ht="23.1" customHeight="1" x14ac:dyDescent="0.25">
      <c r="B29" s="23" t="s">
        <v>56</v>
      </c>
      <c r="C29" s="50">
        <v>9</v>
      </c>
      <c r="D29" s="50">
        <v>3</v>
      </c>
      <c r="E29" s="50">
        <v>1</v>
      </c>
      <c r="F29" s="50">
        <v>21</v>
      </c>
      <c r="G29" s="50">
        <v>0</v>
      </c>
      <c r="H29" s="50">
        <v>0</v>
      </c>
      <c r="I29" s="50">
        <v>10</v>
      </c>
      <c r="J29" s="50">
        <v>0</v>
      </c>
      <c r="K29" s="50">
        <v>1</v>
      </c>
      <c r="L29" s="50">
        <v>5</v>
      </c>
      <c r="M29" s="50">
        <v>32</v>
      </c>
      <c r="N29" s="50">
        <v>0</v>
      </c>
      <c r="O29" s="15">
        <f t="shared" si="0"/>
        <v>50</v>
      </c>
      <c r="P29" s="15">
        <f t="shared" si="1"/>
        <v>82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6</v>
      </c>
      <c r="E30" s="50">
        <v>3</v>
      </c>
      <c r="F30" s="50">
        <v>25</v>
      </c>
      <c r="G30" s="50">
        <v>1</v>
      </c>
      <c r="H30" s="50">
        <v>1</v>
      </c>
      <c r="I30" s="50">
        <v>8</v>
      </c>
      <c r="J30" s="50">
        <v>1</v>
      </c>
      <c r="K30" s="50">
        <v>0</v>
      </c>
      <c r="L30" s="50">
        <v>5</v>
      </c>
      <c r="M30" s="50">
        <v>27</v>
      </c>
      <c r="N30" s="50">
        <v>0</v>
      </c>
      <c r="O30" s="15">
        <f t="shared" si="0"/>
        <v>70</v>
      </c>
      <c r="P30" s="15">
        <f t="shared" si="1"/>
        <v>97</v>
      </c>
    </row>
    <row r="31" spans="2:32" ht="23.1" customHeight="1" x14ac:dyDescent="0.25">
      <c r="B31" s="24" t="s">
        <v>58</v>
      </c>
      <c r="C31" s="50">
        <v>17</v>
      </c>
      <c r="D31" s="50">
        <v>4</v>
      </c>
      <c r="E31" s="50">
        <v>2</v>
      </c>
      <c r="F31" s="50">
        <v>16</v>
      </c>
      <c r="G31" s="50">
        <v>0</v>
      </c>
      <c r="H31" s="50">
        <v>0</v>
      </c>
      <c r="I31" s="50">
        <v>13</v>
      </c>
      <c r="J31" s="50">
        <v>0</v>
      </c>
      <c r="K31" s="50">
        <v>1</v>
      </c>
      <c r="L31" s="50">
        <v>1</v>
      </c>
      <c r="M31" s="50">
        <v>23</v>
      </c>
      <c r="N31" s="50">
        <v>0</v>
      </c>
      <c r="O31" s="15">
        <f t="shared" si="0"/>
        <v>54</v>
      </c>
      <c r="P31" s="15">
        <f t="shared" si="1"/>
        <v>77</v>
      </c>
    </row>
    <row r="32" spans="2:32" ht="23.1" customHeight="1" x14ac:dyDescent="0.25">
      <c r="B32" s="24" t="s">
        <v>59</v>
      </c>
      <c r="C32" s="50">
        <v>24</v>
      </c>
      <c r="D32" s="50">
        <v>3</v>
      </c>
      <c r="E32" s="50">
        <v>4</v>
      </c>
      <c r="F32" s="50">
        <v>25</v>
      </c>
      <c r="G32" s="50">
        <v>0</v>
      </c>
      <c r="H32" s="50">
        <v>0</v>
      </c>
      <c r="I32" s="50">
        <v>15</v>
      </c>
      <c r="J32" s="50">
        <v>1</v>
      </c>
      <c r="K32" s="50">
        <v>0</v>
      </c>
      <c r="L32" s="50">
        <v>1</v>
      </c>
      <c r="M32" s="50">
        <v>20</v>
      </c>
      <c r="N32" s="50">
        <v>0</v>
      </c>
      <c r="O32" s="15">
        <f t="shared" si="0"/>
        <v>73</v>
      </c>
      <c r="P32" s="15">
        <f t="shared" si="1"/>
        <v>93</v>
      </c>
    </row>
    <row r="33" spans="2:20" ht="23.1" customHeight="1" x14ac:dyDescent="0.25">
      <c r="B33" s="23" t="s">
        <v>60</v>
      </c>
      <c r="C33" s="50">
        <v>18</v>
      </c>
      <c r="D33" s="50">
        <v>8</v>
      </c>
      <c r="E33" s="50">
        <v>7</v>
      </c>
      <c r="F33" s="50">
        <v>25</v>
      </c>
      <c r="G33" s="50">
        <v>1</v>
      </c>
      <c r="H33" s="50">
        <v>4</v>
      </c>
      <c r="I33" s="50">
        <v>8</v>
      </c>
      <c r="J33" s="50">
        <v>2</v>
      </c>
      <c r="K33" s="50">
        <v>1</v>
      </c>
      <c r="L33" s="50">
        <v>1</v>
      </c>
      <c r="M33" s="50">
        <v>18</v>
      </c>
      <c r="N33" s="50">
        <v>0</v>
      </c>
      <c r="O33" s="15">
        <f t="shared" si="0"/>
        <v>75</v>
      </c>
      <c r="P33" s="15">
        <f t="shared" si="1"/>
        <v>93</v>
      </c>
    </row>
    <row r="34" spans="2:20" ht="23.1" customHeight="1" x14ac:dyDescent="0.25">
      <c r="B34" s="24" t="s">
        <v>61</v>
      </c>
      <c r="C34" s="50">
        <v>18</v>
      </c>
      <c r="D34" s="50">
        <v>6</v>
      </c>
      <c r="E34" s="50">
        <v>3</v>
      </c>
      <c r="F34" s="50">
        <v>19</v>
      </c>
      <c r="G34" s="50">
        <v>0</v>
      </c>
      <c r="H34" s="50">
        <v>0</v>
      </c>
      <c r="I34" s="50">
        <v>15</v>
      </c>
      <c r="J34" s="50">
        <v>0</v>
      </c>
      <c r="K34" s="50">
        <v>0</v>
      </c>
      <c r="L34" s="50">
        <v>3</v>
      </c>
      <c r="M34" s="50">
        <v>17</v>
      </c>
      <c r="N34" s="50">
        <v>0</v>
      </c>
      <c r="O34" s="15">
        <f t="shared" si="0"/>
        <v>64</v>
      </c>
      <c r="P34" s="15">
        <f t="shared" si="1"/>
        <v>81</v>
      </c>
    </row>
    <row r="35" spans="2:20" ht="23.1" customHeight="1" x14ac:dyDescent="0.25">
      <c r="B35" s="24" t="s">
        <v>62</v>
      </c>
      <c r="C35" s="50">
        <v>21</v>
      </c>
      <c r="D35" s="50">
        <v>3</v>
      </c>
      <c r="E35" s="50">
        <v>4</v>
      </c>
      <c r="F35" s="50">
        <v>20</v>
      </c>
      <c r="G35" s="50">
        <v>0</v>
      </c>
      <c r="H35" s="50">
        <v>0</v>
      </c>
      <c r="I35" s="50">
        <v>14</v>
      </c>
      <c r="J35" s="50">
        <v>3</v>
      </c>
      <c r="K35" s="50">
        <v>0</v>
      </c>
      <c r="L35" s="50">
        <v>1</v>
      </c>
      <c r="M35" s="50">
        <v>15</v>
      </c>
      <c r="N35" s="50">
        <v>0</v>
      </c>
      <c r="O35" s="15">
        <f t="shared" si="0"/>
        <v>66</v>
      </c>
      <c r="P35" s="15">
        <f t="shared" si="1"/>
        <v>81</v>
      </c>
    </row>
    <row r="36" spans="2:20" ht="23.1" customHeight="1" x14ac:dyDescent="0.25">
      <c r="B36" s="24" t="s">
        <v>63</v>
      </c>
      <c r="C36" s="50">
        <v>22</v>
      </c>
      <c r="D36" s="50">
        <v>2</v>
      </c>
      <c r="E36" s="50">
        <v>2</v>
      </c>
      <c r="F36" s="50">
        <v>16</v>
      </c>
      <c r="G36" s="50">
        <v>1</v>
      </c>
      <c r="H36" s="50">
        <v>2</v>
      </c>
      <c r="I36" s="50">
        <v>10</v>
      </c>
      <c r="J36" s="50">
        <v>1</v>
      </c>
      <c r="K36" s="50">
        <v>0</v>
      </c>
      <c r="L36" s="50">
        <v>2</v>
      </c>
      <c r="M36" s="50">
        <v>16</v>
      </c>
      <c r="N36" s="50">
        <v>0</v>
      </c>
      <c r="O36" s="15">
        <f t="shared" si="0"/>
        <v>58</v>
      </c>
      <c r="P36" s="15">
        <f t="shared" si="1"/>
        <v>74</v>
      </c>
    </row>
    <row r="37" spans="2:20" ht="23.1" customHeight="1" x14ac:dyDescent="0.25">
      <c r="B37" s="23" t="s">
        <v>64</v>
      </c>
      <c r="C37" s="50">
        <v>20</v>
      </c>
      <c r="D37" s="50">
        <v>7</v>
      </c>
      <c r="E37" s="50">
        <v>3</v>
      </c>
      <c r="F37" s="50">
        <v>22</v>
      </c>
      <c r="G37" s="50">
        <v>1</v>
      </c>
      <c r="H37" s="50">
        <v>1</v>
      </c>
      <c r="I37" s="50">
        <v>6</v>
      </c>
      <c r="J37" s="50">
        <v>2</v>
      </c>
      <c r="K37" s="50">
        <v>0</v>
      </c>
      <c r="L37" s="50">
        <v>1</v>
      </c>
      <c r="M37" s="50">
        <v>19</v>
      </c>
      <c r="N37" s="50">
        <v>0</v>
      </c>
      <c r="O37" s="15">
        <f t="shared" si="0"/>
        <v>63</v>
      </c>
      <c r="P37" s="15">
        <f t="shared" si="1"/>
        <v>82</v>
      </c>
    </row>
    <row r="38" spans="2:20" ht="23.1" customHeight="1" x14ac:dyDescent="0.25">
      <c r="B38" s="24" t="s">
        <v>65</v>
      </c>
      <c r="C38" s="50">
        <v>25</v>
      </c>
      <c r="D38" s="50">
        <v>4</v>
      </c>
      <c r="E38" s="50">
        <v>5</v>
      </c>
      <c r="F38" s="50">
        <v>21</v>
      </c>
      <c r="G38" s="50">
        <v>1</v>
      </c>
      <c r="H38" s="50">
        <v>0</v>
      </c>
      <c r="I38" s="50">
        <v>13</v>
      </c>
      <c r="J38" s="50">
        <v>0</v>
      </c>
      <c r="K38" s="50">
        <v>0</v>
      </c>
      <c r="L38" s="50">
        <v>3</v>
      </c>
      <c r="M38" s="50">
        <v>24</v>
      </c>
      <c r="N38" s="50">
        <v>0</v>
      </c>
      <c r="O38" s="15">
        <f t="shared" si="0"/>
        <v>72</v>
      </c>
      <c r="P38" s="15">
        <f t="shared" si="1"/>
        <v>96</v>
      </c>
    </row>
    <row r="39" spans="2:20" ht="23.1" customHeight="1" x14ac:dyDescent="0.25">
      <c r="B39" s="24" t="s">
        <v>66</v>
      </c>
      <c r="C39" s="50">
        <v>26</v>
      </c>
      <c r="D39" s="50">
        <v>8</v>
      </c>
      <c r="E39" s="50">
        <v>4</v>
      </c>
      <c r="F39" s="50">
        <v>22</v>
      </c>
      <c r="G39" s="50">
        <v>0</v>
      </c>
      <c r="H39" s="50">
        <v>3</v>
      </c>
      <c r="I39" s="50">
        <v>6</v>
      </c>
      <c r="J39" s="50">
        <v>1</v>
      </c>
      <c r="K39" s="50">
        <v>0</v>
      </c>
      <c r="L39" s="50">
        <v>3</v>
      </c>
      <c r="M39" s="50">
        <v>20</v>
      </c>
      <c r="N39" s="50">
        <v>0</v>
      </c>
      <c r="O39" s="15">
        <f t="shared" si="0"/>
        <v>73</v>
      </c>
      <c r="P39" s="15">
        <f t="shared" si="1"/>
        <v>93</v>
      </c>
    </row>
    <row r="40" spans="2:20" ht="23.1" customHeight="1" x14ac:dyDescent="0.25">
      <c r="B40" s="24" t="s">
        <v>67</v>
      </c>
      <c r="C40" s="50">
        <v>18</v>
      </c>
      <c r="D40" s="50">
        <v>4</v>
      </c>
      <c r="E40" s="50">
        <v>5</v>
      </c>
      <c r="F40" s="50">
        <v>17</v>
      </c>
      <c r="G40" s="50">
        <v>0</v>
      </c>
      <c r="H40" s="50">
        <v>1</v>
      </c>
      <c r="I40" s="50">
        <v>19</v>
      </c>
      <c r="J40" s="50">
        <v>1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65</v>
      </c>
      <c r="P40" s="15">
        <f t="shared" si="1"/>
        <v>80</v>
      </c>
    </row>
    <row r="41" spans="2:20" ht="23.1" customHeight="1" x14ac:dyDescent="0.25">
      <c r="B41" s="23" t="s">
        <v>68</v>
      </c>
      <c r="C41" s="50">
        <v>24</v>
      </c>
      <c r="D41" s="50">
        <v>3</v>
      </c>
      <c r="E41" s="50">
        <v>1</v>
      </c>
      <c r="F41" s="50">
        <v>23</v>
      </c>
      <c r="G41" s="50">
        <v>1</v>
      </c>
      <c r="H41" s="50">
        <v>0</v>
      </c>
      <c r="I41" s="50">
        <v>14</v>
      </c>
      <c r="J41" s="50">
        <v>1</v>
      </c>
      <c r="K41" s="50">
        <v>0</v>
      </c>
      <c r="L41" s="50">
        <v>3</v>
      </c>
      <c r="M41" s="50">
        <v>28</v>
      </c>
      <c r="N41" s="50">
        <v>0</v>
      </c>
      <c r="O41" s="15">
        <f t="shared" si="0"/>
        <v>70</v>
      </c>
      <c r="P41" s="15">
        <f t="shared" si="1"/>
        <v>98</v>
      </c>
    </row>
    <row r="42" spans="2:20" ht="23.1" customHeight="1" x14ac:dyDescent="0.25">
      <c r="B42" s="24" t="s">
        <v>69</v>
      </c>
      <c r="C42" s="50">
        <v>23</v>
      </c>
      <c r="D42" s="50">
        <v>1</v>
      </c>
      <c r="E42" s="50">
        <v>8</v>
      </c>
      <c r="F42" s="50">
        <v>19</v>
      </c>
      <c r="G42" s="50">
        <v>0</v>
      </c>
      <c r="H42" s="50">
        <v>3</v>
      </c>
      <c r="I42" s="50">
        <v>9</v>
      </c>
      <c r="J42" s="50">
        <v>1</v>
      </c>
      <c r="K42" s="50">
        <v>2</v>
      </c>
      <c r="L42" s="50">
        <v>1</v>
      </c>
      <c r="M42" s="50">
        <v>24</v>
      </c>
      <c r="N42" s="50">
        <v>0</v>
      </c>
      <c r="O42" s="15">
        <f t="shared" si="0"/>
        <v>67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26</v>
      </c>
      <c r="D43" s="50">
        <v>6</v>
      </c>
      <c r="E43" s="50">
        <v>4</v>
      </c>
      <c r="F43" s="50">
        <v>14</v>
      </c>
      <c r="G43" s="50">
        <v>0</v>
      </c>
      <c r="H43" s="50">
        <v>1</v>
      </c>
      <c r="I43" s="50">
        <v>23</v>
      </c>
      <c r="J43" s="50">
        <v>2</v>
      </c>
      <c r="K43" s="50">
        <v>1</v>
      </c>
      <c r="L43" s="50">
        <v>4</v>
      </c>
      <c r="M43" s="50">
        <v>23</v>
      </c>
      <c r="N43" s="50">
        <v>0</v>
      </c>
      <c r="O43" s="15">
        <f t="shared" si="0"/>
        <v>81</v>
      </c>
      <c r="P43" s="15">
        <f t="shared" si="1"/>
        <v>104</v>
      </c>
    </row>
    <row r="44" spans="2:20" ht="23.1" customHeight="1" x14ac:dyDescent="0.25">
      <c r="B44" s="25" t="s">
        <v>71</v>
      </c>
      <c r="C44" s="50">
        <v>39</v>
      </c>
      <c r="D44" s="50">
        <v>9</v>
      </c>
      <c r="E44" s="50">
        <v>5</v>
      </c>
      <c r="F44" s="50">
        <v>23</v>
      </c>
      <c r="G44" s="50">
        <v>1</v>
      </c>
      <c r="H44" s="50">
        <v>2</v>
      </c>
      <c r="I44" s="50">
        <v>15</v>
      </c>
      <c r="J44" s="50">
        <v>3</v>
      </c>
      <c r="K44" s="50">
        <v>1</v>
      </c>
      <c r="L44" s="50">
        <v>1</v>
      </c>
      <c r="M44" s="50">
        <v>18</v>
      </c>
      <c r="N44" s="50">
        <v>0</v>
      </c>
      <c r="O44" s="15">
        <f t="shared" si="0"/>
        <v>99</v>
      </c>
      <c r="P44" s="15">
        <f t="shared" si="1"/>
        <v>117</v>
      </c>
    </row>
    <row r="45" spans="2:20" ht="23.1" customHeight="1" x14ac:dyDescent="0.25">
      <c r="B45" s="23" t="s">
        <v>72</v>
      </c>
      <c r="C45" s="50">
        <v>32</v>
      </c>
      <c r="D45" s="50">
        <v>5</v>
      </c>
      <c r="E45" s="50">
        <v>7</v>
      </c>
      <c r="F45" s="50">
        <v>22</v>
      </c>
      <c r="G45" s="50">
        <v>0</v>
      </c>
      <c r="H45" s="50">
        <v>3</v>
      </c>
      <c r="I45" s="50">
        <v>14</v>
      </c>
      <c r="J45" s="50">
        <v>2</v>
      </c>
      <c r="K45" s="50">
        <v>1</v>
      </c>
      <c r="L45" s="50">
        <v>2</v>
      </c>
      <c r="M45" s="50">
        <v>20</v>
      </c>
      <c r="N45" s="50">
        <v>0</v>
      </c>
      <c r="O45" s="15">
        <f t="shared" si="0"/>
        <v>88</v>
      </c>
      <c r="P45" s="15">
        <f t="shared" si="1"/>
        <v>108</v>
      </c>
    </row>
    <row r="46" spans="2:20" ht="23.1" customHeight="1" x14ac:dyDescent="0.25">
      <c r="B46" s="24" t="s">
        <v>73</v>
      </c>
      <c r="C46" s="50">
        <v>23</v>
      </c>
      <c r="D46" s="50">
        <v>7</v>
      </c>
      <c r="E46" s="50">
        <v>4</v>
      </c>
      <c r="F46" s="50">
        <v>17</v>
      </c>
      <c r="G46" s="50">
        <v>0</v>
      </c>
      <c r="H46" s="50">
        <v>0</v>
      </c>
      <c r="I46" s="50">
        <v>20</v>
      </c>
      <c r="J46" s="50">
        <v>3</v>
      </c>
      <c r="K46" s="50">
        <v>0</v>
      </c>
      <c r="L46" s="50">
        <v>2</v>
      </c>
      <c r="M46" s="50">
        <v>23</v>
      </c>
      <c r="N46" s="50">
        <v>0</v>
      </c>
      <c r="O46" s="15">
        <f t="shared" si="0"/>
        <v>76</v>
      </c>
      <c r="P46" s="15">
        <f t="shared" si="1"/>
        <v>99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7</v>
      </c>
      <c r="E47" s="50">
        <v>1</v>
      </c>
      <c r="F47" s="50">
        <v>20</v>
      </c>
      <c r="G47" s="50">
        <v>2</v>
      </c>
      <c r="H47" s="50">
        <v>4</v>
      </c>
      <c r="I47" s="50">
        <v>24</v>
      </c>
      <c r="J47" s="50">
        <v>2</v>
      </c>
      <c r="K47" s="50">
        <v>0</v>
      </c>
      <c r="L47" s="50">
        <v>2</v>
      </c>
      <c r="M47" s="50">
        <v>18</v>
      </c>
      <c r="N47" s="50">
        <v>0</v>
      </c>
      <c r="O47" s="15">
        <f t="shared" si="0"/>
        <v>103</v>
      </c>
      <c r="P47" s="15">
        <f t="shared" si="1"/>
        <v>121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4</v>
      </c>
      <c r="E48" s="50">
        <v>7</v>
      </c>
      <c r="F48" s="50">
        <v>20</v>
      </c>
      <c r="G48" s="50">
        <v>6</v>
      </c>
      <c r="H48" s="50">
        <v>3</v>
      </c>
      <c r="I48" s="50">
        <v>14</v>
      </c>
      <c r="J48" s="50">
        <v>1</v>
      </c>
      <c r="K48" s="50">
        <v>4</v>
      </c>
      <c r="L48" s="50">
        <v>3</v>
      </c>
      <c r="M48" s="50">
        <v>28</v>
      </c>
      <c r="N48" s="50">
        <v>0</v>
      </c>
      <c r="O48" s="15">
        <f t="shared" si="0"/>
        <v>98</v>
      </c>
      <c r="P48" s="15">
        <f t="shared" si="1"/>
        <v>126</v>
      </c>
      <c r="R48" s="8"/>
      <c r="T48"/>
    </row>
    <row r="49" spans="2:20" ht="23.1" customHeight="1" x14ac:dyDescent="0.25">
      <c r="B49" s="23" t="s">
        <v>76</v>
      </c>
      <c r="C49" s="50">
        <v>33</v>
      </c>
      <c r="D49" s="50">
        <v>4</v>
      </c>
      <c r="E49" s="50">
        <v>10</v>
      </c>
      <c r="F49" s="50">
        <v>37</v>
      </c>
      <c r="G49" s="50">
        <v>5</v>
      </c>
      <c r="H49" s="50">
        <v>2</v>
      </c>
      <c r="I49" s="50">
        <v>14</v>
      </c>
      <c r="J49" s="50">
        <v>3</v>
      </c>
      <c r="K49" s="50">
        <v>0</v>
      </c>
      <c r="L49" s="50">
        <v>1</v>
      </c>
      <c r="M49" s="50">
        <v>27</v>
      </c>
      <c r="N49" s="50">
        <v>0</v>
      </c>
      <c r="O49" s="15">
        <f t="shared" si="0"/>
        <v>109</v>
      </c>
      <c r="P49" s="15">
        <f t="shared" si="1"/>
        <v>136</v>
      </c>
      <c r="R49" s="8"/>
      <c r="T49"/>
    </row>
    <row r="50" spans="2:20" ht="23.1" customHeight="1" x14ac:dyDescent="0.25">
      <c r="B50" s="24" t="s">
        <v>77</v>
      </c>
      <c r="C50" s="50">
        <v>35</v>
      </c>
      <c r="D50" s="50">
        <v>9</v>
      </c>
      <c r="E50" s="50">
        <v>8</v>
      </c>
      <c r="F50" s="50">
        <v>26</v>
      </c>
      <c r="G50" s="50">
        <v>7</v>
      </c>
      <c r="H50" s="50">
        <v>2</v>
      </c>
      <c r="I50" s="50">
        <v>15</v>
      </c>
      <c r="J50" s="50">
        <v>4</v>
      </c>
      <c r="K50" s="50">
        <v>0</v>
      </c>
      <c r="L50" s="50">
        <v>2</v>
      </c>
      <c r="M50" s="50">
        <v>22</v>
      </c>
      <c r="N50" s="50">
        <v>0</v>
      </c>
      <c r="O50" s="15">
        <f t="shared" si="0"/>
        <v>108</v>
      </c>
      <c r="P50" s="15">
        <f t="shared" si="1"/>
        <v>130</v>
      </c>
      <c r="R50" s="8"/>
      <c r="T50"/>
    </row>
    <row r="51" spans="2:20" ht="23.1" customHeight="1" x14ac:dyDescent="0.25">
      <c r="B51" s="24" t="s">
        <v>78</v>
      </c>
      <c r="C51" s="50">
        <v>37</v>
      </c>
      <c r="D51" s="50">
        <v>8</v>
      </c>
      <c r="E51" s="50">
        <v>3</v>
      </c>
      <c r="F51" s="50">
        <v>35</v>
      </c>
      <c r="G51" s="50">
        <v>7</v>
      </c>
      <c r="H51" s="50">
        <v>3</v>
      </c>
      <c r="I51" s="50">
        <v>18</v>
      </c>
      <c r="J51" s="50">
        <v>3</v>
      </c>
      <c r="K51" s="50">
        <v>1</v>
      </c>
      <c r="L51" s="50">
        <v>7</v>
      </c>
      <c r="M51" s="50">
        <v>31</v>
      </c>
      <c r="N51" s="50">
        <v>0</v>
      </c>
      <c r="O51" s="15">
        <f t="shared" si="0"/>
        <v>122</v>
      </c>
      <c r="P51" s="15">
        <f t="shared" si="1"/>
        <v>153</v>
      </c>
      <c r="R51" s="8"/>
      <c r="T51"/>
    </row>
    <row r="52" spans="2:20" ht="23.1" customHeight="1" x14ac:dyDescent="0.25">
      <c r="B52" s="24" t="s">
        <v>79</v>
      </c>
      <c r="C52" s="50">
        <v>43</v>
      </c>
      <c r="D52" s="50">
        <v>8</v>
      </c>
      <c r="E52" s="50">
        <v>3</v>
      </c>
      <c r="F52" s="50">
        <v>30</v>
      </c>
      <c r="G52" s="50">
        <v>3</v>
      </c>
      <c r="H52" s="50">
        <v>2</v>
      </c>
      <c r="I52" s="50">
        <v>4</v>
      </c>
      <c r="J52" s="50">
        <v>10</v>
      </c>
      <c r="K52" s="50">
        <v>0</v>
      </c>
      <c r="L52" s="50">
        <v>2</v>
      </c>
      <c r="M52" s="50">
        <v>25</v>
      </c>
      <c r="N52" s="50">
        <v>0</v>
      </c>
      <c r="O52" s="15">
        <f t="shared" si="0"/>
        <v>105</v>
      </c>
      <c r="P52" s="15">
        <f t="shared" si="1"/>
        <v>130</v>
      </c>
      <c r="R52" s="8"/>
      <c r="T52"/>
    </row>
    <row r="53" spans="2:20" ht="23.1" customHeight="1" x14ac:dyDescent="0.25">
      <c r="B53" s="23" t="s">
        <v>80</v>
      </c>
      <c r="C53" s="50">
        <v>42</v>
      </c>
      <c r="D53" s="50">
        <v>12</v>
      </c>
      <c r="E53" s="50">
        <v>2</v>
      </c>
      <c r="F53" s="50">
        <v>27</v>
      </c>
      <c r="G53" s="50">
        <v>1</v>
      </c>
      <c r="H53" s="50">
        <v>1</v>
      </c>
      <c r="I53" s="50">
        <v>18</v>
      </c>
      <c r="J53" s="50">
        <v>4</v>
      </c>
      <c r="K53" s="50">
        <v>1</v>
      </c>
      <c r="L53" s="50">
        <v>4</v>
      </c>
      <c r="M53" s="50">
        <v>29</v>
      </c>
      <c r="N53" s="50">
        <v>0</v>
      </c>
      <c r="O53" s="15">
        <f t="shared" si="0"/>
        <v>112</v>
      </c>
      <c r="P53" s="15">
        <f t="shared" si="1"/>
        <v>141</v>
      </c>
      <c r="R53" s="8"/>
      <c r="T53"/>
    </row>
    <row r="54" spans="2:20" ht="23.1" customHeight="1" x14ac:dyDescent="0.25">
      <c r="B54" s="23" t="s">
        <v>81</v>
      </c>
      <c r="C54" s="50">
        <v>41</v>
      </c>
      <c r="D54" s="50">
        <v>6</v>
      </c>
      <c r="E54" s="50">
        <v>9</v>
      </c>
      <c r="F54" s="50">
        <v>27</v>
      </c>
      <c r="G54" s="50">
        <v>2</v>
      </c>
      <c r="H54" s="50">
        <v>1</v>
      </c>
      <c r="I54" s="50">
        <v>13</v>
      </c>
      <c r="J54" s="50">
        <v>2</v>
      </c>
      <c r="K54" s="50">
        <v>1</v>
      </c>
      <c r="L54" s="50">
        <v>3</v>
      </c>
      <c r="M54" s="50">
        <v>36</v>
      </c>
      <c r="N54" s="50">
        <v>0</v>
      </c>
      <c r="O54" s="15">
        <f t="shared" si="0"/>
        <v>105</v>
      </c>
      <c r="P54" s="15">
        <f t="shared" si="1"/>
        <v>141</v>
      </c>
      <c r="R54" s="8"/>
      <c r="T54"/>
    </row>
    <row r="55" spans="2:20" ht="23.1" customHeight="1" x14ac:dyDescent="0.25">
      <c r="B55" s="23" t="s">
        <v>82</v>
      </c>
      <c r="C55" s="50">
        <v>46</v>
      </c>
      <c r="D55" s="50">
        <v>12</v>
      </c>
      <c r="E55" s="50">
        <v>7</v>
      </c>
      <c r="F55" s="50">
        <v>34</v>
      </c>
      <c r="G55" s="50">
        <v>8</v>
      </c>
      <c r="H55" s="50">
        <v>1</v>
      </c>
      <c r="I55" s="50">
        <v>15</v>
      </c>
      <c r="J55" s="50">
        <v>1</v>
      </c>
      <c r="K55" s="50">
        <v>1</v>
      </c>
      <c r="L55" s="50">
        <v>6</v>
      </c>
      <c r="M55" s="50">
        <v>28</v>
      </c>
      <c r="N55" s="50">
        <v>0</v>
      </c>
      <c r="O55" s="15">
        <f t="shared" si="0"/>
        <v>131</v>
      </c>
      <c r="P55" s="15">
        <f t="shared" si="1"/>
        <v>159</v>
      </c>
      <c r="R55" s="8"/>
      <c r="T55"/>
    </row>
    <row r="56" spans="2:20" ht="23.1" customHeight="1" x14ac:dyDescent="0.25">
      <c r="B56" s="23" t="s">
        <v>83</v>
      </c>
      <c r="C56" s="50">
        <v>48</v>
      </c>
      <c r="D56" s="50">
        <v>5</v>
      </c>
      <c r="E56" s="50">
        <v>7</v>
      </c>
      <c r="F56" s="50">
        <v>30</v>
      </c>
      <c r="G56" s="50">
        <v>1</v>
      </c>
      <c r="H56" s="50">
        <v>2</v>
      </c>
      <c r="I56" s="50">
        <v>14</v>
      </c>
      <c r="J56" s="50">
        <v>1</v>
      </c>
      <c r="K56" s="50">
        <v>1</v>
      </c>
      <c r="L56" s="50">
        <v>3</v>
      </c>
      <c r="M56" s="50">
        <v>31</v>
      </c>
      <c r="N56" s="50">
        <v>0</v>
      </c>
      <c r="O56" s="15">
        <f t="shared" si="0"/>
        <v>112</v>
      </c>
      <c r="P56" s="15">
        <f t="shared" si="1"/>
        <v>143</v>
      </c>
      <c r="R56" s="8"/>
      <c r="T56"/>
    </row>
    <row r="57" spans="2:20" ht="23.1" customHeight="1" x14ac:dyDescent="0.25">
      <c r="B57" s="23" t="s">
        <v>84</v>
      </c>
      <c r="C57" s="50">
        <v>37</v>
      </c>
      <c r="D57" s="50">
        <v>11</v>
      </c>
      <c r="E57" s="50">
        <v>5</v>
      </c>
      <c r="F57" s="50">
        <v>24</v>
      </c>
      <c r="G57" s="50">
        <v>5</v>
      </c>
      <c r="H57" s="50">
        <v>0</v>
      </c>
      <c r="I57" s="50">
        <v>7</v>
      </c>
      <c r="J57" s="50">
        <v>1</v>
      </c>
      <c r="K57" s="50">
        <v>1</v>
      </c>
      <c r="L57" s="50">
        <v>2</v>
      </c>
      <c r="M57" s="50">
        <v>22</v>
      </c>
      <c r="N57" s="50">
        <v>0</v>
      </c>
      <c r="O57" s="15">
        <f t="shared" si="0"/>
        <v>93</v>
      </c>
      <c r="P57" s="15">
        <f t="shared" si="1"/>
        <v>115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1122</v>
      </c>
      <c r="D58" s="16">
        <f t="shared" si="21"/>
        <v>228</v>
      </c>
      <c r="E58" s="16">
        <f t="shared" si="21"/>
        <v>190</v>
      </c>
      <c r="F58" s="16">
        <f t="shared" si="21"/>
        <v>1123</v>
      </c>
      <c r="G58" s="16">
        <f t="shared" si="21"/>
        <v>62</v>
      </c>
      <c r="H58" s="16">
        <f t="shared" si="21"/>
        <v>56</v>
      </c>
      <c r="I58" s="16">
        <f t="shared" si="21"/>
        <v>583</v>
      </c>
      <c r="J58" s="16">
        <f t="shared" si="21"/>
        <v>85</v>
      </c>
      <c r="K58" s="16">
        <f t="shared" si="21"/>
        <v>33</v>
      </c>
      <c r="L58" s="16">
        <f t="shared" si="21"/>
        <v>128</v>
      </c>
      <c r="M58" s="16">
        <f t="shared" si="21"/>
        <v>1209</v>
      </c>
      <c r="N58" s="16">
        <f t="shared" si="21"/>
        <v>0</v>
      </c>
      <c r="O58" s="16">
        <f t="shared" si="21"/>
        <v>3610</v>
      </c>
      <c r="P58" s="16">
        <f t="shared" si="21"/>
        <v>4819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0.23282838763228886</v>
      </c>
      <c r="D59" s="43">
        <f t="shared" si="22"/>
        <v>4.7312720481427685E-2</v>
      </c>
      <c r="E59" s="43">
        <f t="shared" si="22"/>
        <v>3.9427267067856403E-2</v>
      </c>
      <c r="F59" s="43">
        <f t="shared" si="22"/>
        <v>0.23303589956422494</v>
      </c>
      <c r="G59" s="43">
        <f t="shared" si="22"/>
        <v>1.2865739780037352E-2</v>
      </c>
      <c r="H59" s="43">
        <f t="shared" si="22"/>
        <v>1.1620668188420833E-2</v>
      </c>
      <c r="I59" s="43">
        <f t="shared" si="22"/>
        <v>0.12097945631873833</v>
      </c>
      <c r="J59" s="43">
        <f t="shared" si="22"/>
        <v>1.7638514214567337E-2</v>
      </c>
      <c r="K59" s="43">
        <f t="shared" si="22"/>
        <v>6.8478937538908489E-3</v>
      </c>
      <c r="L59" s="43">
        <f t="shared" si="22"/>
        <v>2.6561527287819051E-2</v>
      </c>
      <c r="M59" s="43">
        <f t="shared" si="22"/>
        <v>0.25088192571072837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0.310803324099723</v>
      </c>
      <c r="D60" s="44">
        <f t="shared" ref="D60:N60" si="23">D58/$O$58</f>
        <v>6.3157894736842107E-2</v>
      </c>
      <c r="E60" s="44">
        <f t="shared" si="23"/>
        <v>5.2631578947368418E-2</v>
      </c>
      <c r="F60" s="44">
        <f t="shared" si="23"/>
        <v>0.31108033240997229</v>
      </c>
      <c r="G60" s="44">
        <f t="shared" si="23"/>
        <v>1.7174515235457065E-2</v>
      </c>
      <c r="H60" s="44">
        <f t="shared" si="23"/>
        <v>1.5512465373961219E-2</v>
      </c>
      <c r="I60" s="44">
        <f t="shared" si="23"/>
        <v>0.16149584487534627</v>
      </c>
      <c r="J60" s="44">
        <f t="shared" si="23"/>
        <v>2.3545706371191136E-2</v>
      </c>
      <c r="K60" s="44">
        <f t="shared" si="23"/>
        <v>9.1412742382271477E-3</v>
      </c>
      <c r="L60" s="44">
        <f t="shared" si="23"/>
        <v>3.545706371191136E-2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'29.10 Masaka-Maya'!D5</f>
        <v>29.10.19</v>
      </c>
      <c r="E5" s="3"/>
      <c r="F5" s="41" t="s">
        <v>1</v>
      </c>
      <c r="G5" s="66" t="str">
        <f>'28.10 Masaka-Maya'!G5:H5</f>
        <v>Maya</v>
      </c>
      <c r="H5" s="67"/>
      <c r="I5" s="14"/>
      <c r="J5" s="2" t="s">
        <v>5</v>
      </c>
      <c r="K5" s="66" t="s">
        <v>169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'28.10 Maya-Masaka'!G6:H6</f>
        <v>Masaka</v>
      </c>
      <c r="H6" s="67"/>
      <c r="J6" s="2" t="s">
        <v>21</v>
      </c>
      <c r="K6" s="66" t="str">
        <f>'28.10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6</v>
      </c>
      <c r="E10" s="50">
        <v>3</v>
      </c>
      <c r="F10" s="50">
        <v>12</v>
      </c>
      <c r="G10" s="50">
        <v>1</v>
      </c>
      <c r="H10" s="50">
        <v>0</v>
      </c>
      <c r="I10" s="50">
        <v>8</v>
      </c>
      <c r="J10" s="50">
        <v>4</v>
      </c>
      <c r="K10" s="50">
        <v>0</v>
      </c>
      <c r="L10" s="50">
        <v>4</v>
      </c>
      <c r="M10" s="50">
        <v>12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66</v>
      </c>
      <c r="R10" s="1" t="s">
        <v>6</v>
      </c>
      <c r="S10" s="17">
        <f t="shared" ref="S10:AF10" si="2">SUM(C10:C13)</f>
        <v>81</v>
      </c>
      <c r="T10" s="17">
        <f t="shared" si="2"/>
        <v>17</v>
      </c>
      <c r="U10" s="17">
        <f t="shared" si="2"/>
        <v>15</v>
      </c>
      <c r="V10" s="17">
        <f t="shared" si="2"/>
        <v>50</v>
      </c>
      <c r="W10" s="17">
        <f t="shared" si="2"/>
        <v>4</v>
      </c>
      <c r="X10" s="17">
        <f t="shared" si="2"/>
        <v>2</v>
      </c>
      <c r="Y10" s="17">
        <f t="shared" si="2"/>
        <v>31</v>
      </c>
      <c r="Z10" s="17">
        <f t="shared" si="2"/>
        <v>14</v>
      </c>
      <c r="AA10" s="17">
        <f t="shared" si="2"/>
        <v>5</v>
      </c>
      <c r="AB10" s="17">
        <f t="shared" si="2"/>
        <v>5</v>
      </c>
      <c r="AC10" s="17">
        <f t="shared" si="2"/>
        <v>73</v>
      </c>
      <c r="AD10" s="17">
        <f t="shared" si="2"/>
        <v>0</v>
      </c>
      <c r="AE10" s="31">
        <f t="shared" si="2"/>
        <v>224</v>
      </c>
      <c r="AF10" s="31">
        <f t="shared" si="2"/>
        <v>297</v>
      </c>
    </row>
    <row r="11" spans="2:32" s="6" customFormat="1" ht="23.1" customHeight="1" x14ac:dyDescent="0.25">
      <c r="B11" s="23" t="s">
        <v>38</v>
      </c>
      <c r="C11" s="50">
        <v>26</v>
      </c>
      <c r="D11" s="50">
        <v>8</v>
      </c>
      <c r="E11" s="50">
        <v>3</v>
      </c>
      <c r="F11" s="50">
        <v>19</v>
      </c>
      <c r="G11" s="50">
        <v>1</v>
      </c>
      <c r="H11" s="50">
        <v>0</v>
      </c>
      <c r="I11" s="50">
        <v>9</v>
      </c>
      <c r="J11" s="50">
        <v>6</v>
      </c>
      <c r="K11" s="50">
        <v>1</v>
      </c>
      <c r="L11" s="50">
        <v>1</v>
      </c>
      <c r="M11" s="50">
        <v>19</v>
      </c>
      <c r="N11" s="50">
        <v>0</v>
      </c>
      <c r="O11" s="15">
        <f t="shared" si="0"/>
        <v>74</v>
      </c>
      <c r="P11" s="15">
        <f t="shared" si="1"/>
        <v>93</v>
      </c>
      <c r="R11" s="1" t="s">
        <v>7</v>
      </c>
      <c r="S11" s="17">
        <f t="shared" ref="S11:AF11" si="3">SUM(C14:C17)</f>
        <v>122</v>
      </c>
      <c r="T11" s="17">
        <f t="shared" si="3"/>
        <v>21</v>
      </c>
      <c r="U11" s="17">
        <f t="shared" si="3"/>
        <v>19</v>
      </c>
      <c r="V11" s="17">
        <f t="shared" si="3"/>
        <v>82</v>
      </c>
      <c r="W11" s="17">
        <f t="shared" si="3"/>
        <v>4</v>
      </c>
      <c r="X11" s="17">
        <f t="shared" si="3"/>
        <v>1</v>
      </c>
      <c r="Y11" s="17">
        <f t="shared" si="3"/>
        <v>51</v>
      </c>
      <c r="Z11" s="17">
        <f t="shared" si="3"/>
        <v>16</v>
      </c>
      <c r="AA11" s="17">
        <f t="shared" si="3"/>
        <v>11</v>
      </c>
      <c r="AB11" s="17">
        <f t="shared" si="3"/>
        <v>5</v>
      </c>
      <c r="AC11" s="17">
        <f t="shared" si="3"/>
        <v>86</v>
      </c>
      <c r="AD11" s="17">
        <f t="shared" si="3"/>
        <v>0</v>
      </c>
      <c r="AE11" s="31">
        <f t="shared" si="3"/>
        <v>332</v>
      </c>
      <c r="AF11" s="31">
        <f t="shared" si="3"/>
        <v>418</v>
      </c>
    </row>
    <row r="12" spans="2:32" ht="23.1" customHeight="1" x14ac:dyDescent="0.25">
      <c r="B12" s="23" t="s">
        <v>39</v>
      </c>
      <c r="C12" s="50">
        <v>23</v>
      </c>
      <c r="D12" s="50">
        <v>1</v>
      </c>
      <c r="E12" s="50">
        <v>6</v>
      </c>
      <c r="F12" s="50">
        <v>14</v>
      </c>
      <c r="G12" s="50">
        <v>2</v>
      </c>
      <c r="H12" s="50">
        <v>2</v>
      </c>
      <c r="I12" s="50">
        <v>7</v>
      </c>
      <c r="J12" s="50">
        <v>2</v>
      </c>
      <c r="K12" s="50">
        <v>4</v>
      </c>
      <c r="L12" s="50">
        <v>0</v>
      </c>
      <c r="M12" s="50">
        <v>23</v>
      </c>
      <c r="N12" s="50">
        <v>0</v>
      </c>
      <c r="O12" s="15">
        <f t="shared" si="0"/>
        <v>61</v>
      </c>
      <c r="P12" s="15">
        <f t="shared" si="1"/>
        <v>84</v>
      </c>
      <c r="R12" s="1" t="s">
        <v>8</v>
      </c>
      <c r="S12" s="17">
        <f t="shared" ref="S12:AF12" si="4">SUM(C18:C21)</f>
        <v>122</v>
      </c>
      <c r="T12" s="17">
        <f t="shared" si="4"/>
        <v>23</v>
      </c>
      <c r="U12" s="17">
        <f t="shared" si="4"/>
        <v>25</v>
      </c>
      <c r="V12" s="17">
        <f t="shared" si="4"/>
        <v>96</v>
      </c>
      <c r="W12" s="17">
        <f t="shared" si="4"/>
        <v>3</v>
      </c>
      <c r="X12" s="17">
        <f t="shared" si="4"/>
        <v>7</v>
      </c>
      <c r="Y12" s="17">
        <f t="shared" si="4"/>
        <v>48</v>
      </c>
      <c r="Z12" s="17">
        <f t="shared" si="4"/>
        <v>22</v>
      </c>
      <c r="AA12" s="17">
        <f t="shared" si="4"/>
        <v>9</v>
      </c>
      <c r="AB12" s="17">
        <f t="shared" si="4"/>
        <v>0</v>
      </c>
      <c r="AC12" s="17">
        <f t="shared" si="4"/>
        <v>81</v>
      </c>
      <c r="AD12" s="17">
        <f t="shared" si="4"/>
        <v>0</v>
      </c>
      <c r="AE12" s="31">
        <f t="shared" si="4"/>
        <v>355</v>
      </c>
      <c r="AF12" s="31">
        <f t="shared" si="4"/>
        <v>436</v>
      </c>
    </row>
    <row r="13" spans="2:32" ht="23.1" customHeight="1" x14ac:dyDescent="0.25">
      <c r="B13" s="23" t="s">
        <v>40</v>
      </c>
      <c r="C13" s="50">
        <v>16</v>
      </c>
      <c r="D13" s="50">
        <v>2</v>
      </c>
      <c r="E13" s="50">
        <v>3</v>
      </c>
      <c r="F13" s="50">
        <v>5</v>
      </c>
      <c r="G13" s="50">
        <v>0</v>
      </c>
      <c r="H13" s="50">
        <v>0</v>
      </c>
      <c r="I13" s="50">
        <v>7</v>
      </c>
      <c r="J13" s="50">
        <v>2</v>
      </c>
      <c r="K13" s="50">
        <v>0</v>
      </c>
      <c r="L13" s="50">
        <v>0</v>
      </c>
      <c r="M13" s="50">
        <v>19</v>
      </c>
      <c r="N13" s="50">
        <v>0</v>
      </c>
      <c r="O13" s="15">
        <f t="shared" si="0"/>
        <v>35</v>
      </c>
      <c r="P13" s="15">
        <f t="shared" si="1"/>
        <v>54</v>
      </c>
      <c r="R13" s="1" t="s">
        <v>9</v>
      </c>
      <c r="S13" s="17">
        <f t="shared" ref="S13:AF13" si="5">SUM(C22:C25)</f>
        <v>115</v>
      </c>
      <c r="T13" s="17">
        <f t="shared" si="5"/>
        <v>30</v>
      </c>
      <c r="U13" s="17">
        <f t="shared" si="5"/>
        <v>25</v>
      </c>
      <c r="V13" s="17">
        <f t="shared" si="5"/>
        <v>95</v>
      </c>
      <c r="W13" s="17">
        <f t="shared" si="5"/>
        <v>7</v>
      </c>
      <c r="X13" s="17">
        <f t="shared" si="5"/>
        <v>6</v>
      </c>
      <c r="Y13" s="17">
        <f t="shared" si="5"/>
        <v>46</v>
      </c>
      <c r="Z13" s="17">
        <f t="shared" si="5"/>
        <v>30</v>
      </c>
      <c r="AA13" s="17">
        <f t="shared" si="5"/>
        <v>9</v>
      </c>
      <c r="AB13" s="17">
        <f t="shared" si="5"/>
        <v>8</v>
      </c>
      <c r="AC13" s="17">
        <f t="shared" si="5"/>
        <v>92</v>
      </c>
      <c r="AD13" s="17">
        <f t="shared" si="5"/>
        <v>0</v>
      </c>
      <c r="AE13" s="31">
        <f t="shared" si="5"/>
        <v>371</v>
      </c>
      <c r="AF13" s="31">
        <f t="shared" si="5"/>
        <v>463</v>
      </c>
    </row>
    <row r="14" spans="2:32" ht="23.1" customHeight="1" x14ac:dyDescent="0.25">
      <c r="B14" s="23" t="s">
        <v>41</v>
      </c>
      <c r="C14" s="50">
        <v>28</v>
      </c>
      <c r="D14" s="50">
        <v>9</v>
      </c>
      <c r="E14" s="50">
        <v>5</v>
      </c>
      <c r="F14" s="50">
        <v>15</v>
      </c>
      <c r="G14" s="50">
        <v>1</v>
      </c>
      <c r="H14" s="50">
        <v>1</v>
      </c>
      <c r="I14" s="50">
        <v>18</v>
      </c>
      <c r="J14" s="50">
        <v>3</v>
      </c>
      <c r="K14" s="50">
        <v>4</v>
      </c>
      <c r="L14" s="50">
        <v>2</v>
      </c>
      <c r="M14" s="50">
        <v>16</v>
      </c>
      <c r="N14" s="50">
        <v>0</v>
      </c>
      <c r="O14" s="15">
        <f t="shared" si="0"/>
        <v>86</v>
      </c>
      <c r="P14" s="15">
        <f t="shared" si="1"/>
        <v>102</v>
      </c>
      <c r="R14" s="1" t="s">
        <v>10</v>
      </c>
      <c r="S14" s="17">
        <f t="shared" ref="S14:AF14" si="6">SUM(C26:C29)</f>
        <v>116</v>
      </c>
      <c r="T14" s="17">
        <f t="shared" si="6"/>
        <v>36</v>
      </c>
      <c r="U14" s="17">
        <f t="shared" si="6"/>
        <v>21</v>
      </c>
      <c r="V14" s="17">
        <f t="shared" si="6"/>
        <v>108</v>
      </c>
      <c r="W14" s="17">
        <f t="shared" si="6"/>
        <v>7</v>
      </c>
      <c r="X14" s="17">
        <f t="shared" si="6"/>
        <v>6</v>
      </c>
      <c r="Y14" s="17">
        <f t="shared" si="6"/>
        <v>47</v>
      </c>
      <c r="Z14" s="17">
        <f t="shared" si="6"/>
        <v>43</v>
      </c>
      <c r="AA14" s="17">
        <f t="shared" si="6"/>
        <v>16</v>
      </c>
      <c r="AB14" s="17">
        <f t="shared" si="6"/>
        <v>8</v>
      </c>
      <c r="AC14" s="17">
        <f t="shared" si="6"/>
        <v>86</v>
      </c>
      <c r="AD14" s="17">
        <f t="shared" si="6"/>
        <v>0</v>
      </c>
      <c r="AE14" s="31">
        <f t="shared" si="6"/>
        <v>408</v>
      </c>
      <c r="AF14" s="31">
        <f t="shared" si="6"/>
        <v>494</v>
      </c>
    </row>
    <row r="15" spans="2:32" ht="23.1" customHeight="1" x14ac:dyDescent="0.25">
      <c r="B15" s="23" t="s">
        <v>42</v>
      </c>
      <c r="C15" s="50">
        <v>24</v>
      </c>
      <c r="D15" s="50">
        <v>6</v>
      </c>
      <c r="E15" s="50">
        <v>7</v>
      </c>
      <c r="F15" s="50">
        <v>27</v>
      </c>
      <c r="G15" s="50">
        <v>1</v>
      </c>
      <c r="H15" s="50">
        <v>0</v>
      </c>
      <c r="I15" s="50">
        <v>8</v>
      </c>
      <c r="J15" s="50">
        <v>3</v>
      </c>
      <c r="K15" s="50">
        <v>3</v>
      </c>
      <c r="L15" s="50">
        <v>1</v>
      </c>
      <c r="M15" s="50">
        <v>28</v>
      </c>
      <c r="N15" s="50">
        <v>0</v>
      </c>
      <c r="O15" s="15">
        <f t="shared" si="0"/>
        <v>80</v>
      </c>
      <c r="P15" s="15">
        <f t="shared" si="1"/>
        <v>108</v>
      </c>
      <c r="R15" s="1" t="s">
        <v>11</v>
      </c>
      <c r="S15" s="17">
        <f t="shared" ref="S15:AF15" si="7">SUM(C30:C33)</f>
        <v>134</v>
      </c>
      <c r="T15" s="17">
        <f t="shared" si="7"/>
        <v>27</v>
      </c>
      <c r="U15" s="17">
        <f t="shared" si="7"/>
        <v>25</v>
      </c>
      <c r="V15" s="17">
        <f t="shared" si="7"/>
        <v>103</v>
      </c>
      <c r="W15" s="17">
        <f t="shared" si="7"/>
        <v>10</v>
      </c>
      <c r="X15" s="17">
        <f t="shared" si="7"/>
        <v>2</v>
      </c>
      <c r="Y15" s="17">
        <f t="shared" si="7"/>
        <v>47</v>
      </c>
      <c r="Z15" s="17">
        <f t="shared" si="7"/>
        <v>35</v>
      </c>
      <c r="AA15" s="17">
        <f t="shared" si="7"/>
        <v>11</v>
      </c>
      <c r="AB15" s="17">
        <f t="shared" si="7"/>
        <v>8</v>
      </c>
      <c r="AC15" s="17">
        <f t="shared" si="7"/>
        <v>99</v>
      </c>
      <c r="AD15" s="17">
        <f t="shared" si="7"/>
        <v>0</v>
      </c>
      <c r="AE15" s="31">
        <f t="shared" si="7"/>
        <v>402</v>
      </c>
      <c r="AF15" s="31">
        <f t="shared" si="7"/>
        <v>501</v>
      </c>
    </row>
    <row r="16" spans="2:32" ht="23.1" customHeight="1" x14ac:dyDescent="0.25">
      <c r="B16" s="23" t="s">
        <v>43</v>
      </c>
      <c r="C16" s="50">
        <v>45</v>
      </c>
      <c r="D16" s="50">
        <v>4</v>
      </c>
      <c r="E16" s="50">
        <v>4</v>
      </c>
      <c r="F16" s="50">
        <v>21</v>
      </c>
      <c r="G16" s="50">
        <v>1</v>
      </c>
      <c r="H16" s="50">
        <v>0</v>
      </c>
      <c r="I16" s="50">
        <v>15</v>
      </c>
      <c r="J16" s="50">
        <v>5</v>
      </c>
      <c r="K16" s="50">
        <v>1</v>
      </c>
      <c r="L16" s="50">
        <v>2</v>
      </c>
      <c r="M16" s="50">
        <v>30</v>
      </c>
      <c r="N16" s="50">
        <v>0</v>
      </c>
      <c r="O16" s="15">
        <f t="shared" si="0"/>
        <v>98</v>
      </c>
      <c r="P16" s="15">
        <f t="shared" si="1"/>
        <v>128</v>
      </c>
      <c r="R16" s="1" t="s">
        <v>12</v>
      </c>
      <c r="S16" s="17">
        <f t="shared" ref="S16:AF16" si="8">SUM(C34:C37)</f>
        <v>128</v>
      </c>
      <c r="T16" s="17">
        <f t="shared" si="8"/>
        <v>22</v>
      </c>
      <c r="U16" s="17">
        <f t="shared" si="8"/>
        <v>20</v>
      </c>
      <c r="V16" s="17">
        <f t="shared" si="8"/>
        <v>112</v>
      </c>
      <c r="W16" s="17">
        <f t="shared" si="8"/>
        <v>7</v>
      </c>
      <c r="X16" s="17">
        <f t="shared" si="8"/>
        <v>5</v>
      </c>
      <c r="Y16" s="17">
        <f t="shared" si="8"/>
        <v>48</v>
      </c>
      <c r="Z16" s="17">
        <f t="shared" si="8"/>
        <v>44</v>
      </c>
      <c r="AA16" s="17">
        <f t="shared" si="8"/>
        <v>10</v>
      </c>
      <c r="AB16" s="17">
        <f t="shared" si="8"/>
        <v>11</v>
      </c>
      <c r="AC16" s="17">
        <f t="shared" si="8"/>
        <v>97</v>
      </c>
      <c r="AD16" s="17">
        <f t="shared" si="8"/>
        <v>0</v>
      </c>
      <c r="AE16" s="31">
        <f t="shared" si="8"/>
        <v>407</v>
      </c>
      <c r="AF16" s="31">
        <f t="shared" si="8"/>
        <v>504</v>
      </c>
    </row>
    <row r="17" spans="2:32" ht="23.1" customHeight="1" x14ac:dyDescent="0.25">
      <c r="B17" s="23" t="s">
        <v>44</v>
      </c>
      <c r="C17" s="50">
        <v>25</v>
      </c>
      <c r="D17" s="50">
        <v>2</v>
      </c>
      <c r="E17" s="50">
        <v>3</v>
      </c>
      <c r="F17" s="50">
        <v>19</v>
      </c>
      <c r="G17" s="50">
        <v>1</v>
      </c>
      <c r="H17" s="50">
        <v>0</v>
      </c>
      <c r="I17" s="50">
        <v>10</v>
      </c>
      <c r="J17" s="50">
        <v>5</v>
      </c>
      <c r="K17" s="50">
        <v>3</v>
      </c>
      <c r="L17" s="50">
        <v>0</v>
      </c>
      <c r="M17" s="50">
        <v>12</v>
      </c>
      <c r="N17" s="50">
        <v>0</v>
      </c>
      <c r="O17" s="15">
        <f t="shared" si="0"/>
        <v>68</v>
      </c>
      <c r="P17" s="15">
        <f t="shared" si="1"/>
        <v>80</v>
      </c>
      <c r="R17" s="1" t="s">
        <v>13</v>
      </c>
      <c r="S17" s="17">
        <f t="shared" ref="S17:AF17" si="9">SUM(C38:C41)</f>
        <v>93</v>
      </c>
      <c r="T17" s="17">
        <f t="shared" si="9"/>
        <v>26</v>
      </c>
      <c r="U17" s="17">
        <f t="shared" si="9"/>
        <v>10</v>
      </c>
      <c r="V17" s="17">
        <f t="shared" si="9"/>
        <v>109</v>
      </c>
      <c r="W17" s="17">
        <f t="shared" si="9"/>
        <v>6</v>
      </c>
      <c r="X17" s="17">
        <f t="shared" si="9"/>
        <v>6</v>
      </c>
      <c r="Y17" s="17">
        <f t="shared" si="9"/>
        <v>56</v>
      </c>
      <c r="Z17" s="17">
        <f t="shared" si="9"/>
        <v>45</v>
      </c>
      <c r="AA17" s="17">
        <f t="shared" si="9"/>
        <v>10</v>
      </c>
      <c r="AB17" s="17">
        <f t="shared" si="9"/>
        <v>8</v>
      </c>
      <c r="AC17" s="17">
        <f t="shared" si="9"/>
        <v>105</v>
      </c>
      <c r="AD17" s="17">
        <f t="shared" si="9"/>
        <v>0</v>
      </c>
      <c r="AE17" s="31">
        <f t="shared" si="9"/>
        <v>369</v>
      </c>
      <c r="AF17" s="31">
        <f t="shared" si="9"/>
        <v>474</v>
      </c>
    </row>
    <row r="18" spans="2:32" ht="23.1" customHeight="1" x14ac:dyDescent="0.25">
      <c r="B18" s="23" t="s">
        <v>45</v>
      </c>
      <c r="C18" s="50">
        <v>40</v>
      </c>
      <c r="D18" s="50">
        <v>11</v>
      </c>
      <c r="E18" s="50">
        <v>13</v>
      </c>
      <c r="F18" s="50">
        <v>31</v>
      </c>
      <c r="G18" s="50">
        <v>0</v>
      </c>
      <c r="H18" s="50">
        <v>2</v>
      </c>
      <c r="I18" s="50">
        <v>22</v>
      </c>
      <c r="J18" s="50">
        <v>8</v>
      </c>
      <c r="K18" s="50">
        <v>2</v>
      </c>
      <c r="L18" s="50">
        <v>0</v>
      </c>
      <c r="M18" s="50">
        <v>24</v>
      </c>
      <c r="N18" s="50">
        <v>0</v>
      </c>
      <c r="O18" s="15">
        <f t="shared" si="0"/>
        <v>129</v>
      </c>
      <c r="P18" s="15">
        <f t="shared" si="1"/>
        <v>153</v>
      </c>
      <c r="R18" s="1" t="s">
        <v>14</v>
      </c>
      <c r="S18" s="17">
        <f t="shared" ref="S18:AF18" si="10">SUM(C42:C45)</f>
        <v>87</v>
      </c>
      <c r="T18" s="17">
        <f t="shared" si="10"/>
        <v>20</v>
      </c>
      <c r="U18" s="17">
        <f t="shared" si="10"/>
        <v>7</v>
      </c>
      <c r="V18" s="17">
        <f t="shared" si="10"/>
        <v>100</v>
      </c>
      <c r="W18" s="17">
        <f t="shared" si="10"/>
        <v>4</v>
      </c>
      <c r="X18" s="17">
        <f t="shared" si="10"/>
        <v>8</v>
      </c>
      <c r="Y18" s="17">
        <f t="shared" si="10"/>
        <v>65</v>
      </c>
      <c r="Z18" s="17">
        <f t="shared" si="10"/>
        <v>29</v>
      </c>
      <c r="AA18" s="17">
        <f t="shared" si="10"/>
        <v>5</v>
      </c>
      <c r="AB18" s="17">
        <f t="shared" si="10"/>
        <v>5</v>
      </c>
      <c r="AC18" s="17">
        <f t="shared" si="10"/>
        <v>72</v>
      </c>
      <c r="AD18" s="17">
        <f t="shared" si="10"/>
        <v>0</v>
      </c>
      <c r="AE18" s="31">
        <f t="shared" si="10"/>
        <v>330</v>
      </c>
      <c r="AF18" s="31">
        <f t="shared" si="10"/>
        <v>402</v>
      </c>
    </row>
    <row r="19" spans="2:32" ht="23.1" customHeight="1" x14ac:dyDescent="0.25">
      <c r="B19" s="23" t="s">
        <v>46</v>
      </c>
      <c r="C19" s="50">
        <v>20</v>
      </c>
      <c r="D19" s="50">
        <v>2</v>
      </c>
      <c r="E19" s="50">
        <v>1</v>
      </c>
      <c r="F19" s="50">
        <v>6</v>
      </c>
      <c r="G19" s="50">
        <v>1</v>
      </c>
      <c r="H19" s="50">
        <v>1</v>
      </c>
      <c r="I19" s="50">
        <v>4</v>
      </c>
      <c r="J19" s="50">
        <v>3</v>
      </c>
      <c r="K19" s="50">
        <v>1</v>
      </c>
      <c r="L19" s="50">
        <v>0</v>
      </c>
      <c r="M19" s="50">
        <v>20</v>
      </c>
      <c r="N19" s="50">
        <v>0</v>
      </c>
      <c r="O19" s="15">
        <f t="shared" si="0"/>
        <v>39</v>
      </c>
      <c r="P19" s="15">
        <f t="shared" si="1"/>
        <v>59</v>
      </c>
      <c r="R19" s="1" t="s">
        <v>15</v>
      </c>
      <c r="S19" s="17">
        <f t="shared" ref="S19:AF19" si="11">SUM(C46:C49)</f>
        <v>84</v>
      </c>
      <c r="T19" s="17">
        <f t="shared" si="11"/>
        <v>25</v>
      </c>
      <c r="U19" s="17">
        <f t="shared" si="11"/>
        <v>19</v>
      </c>
      <c r="V19" s="17">
        <f t="shared" si="11"/>
        <v>100</v>
      </c>
      <c r="W19" s="17">
        <f t="shared" si="11"/>
        <v>3</v>
      </c>
      <c r="X19" s="17">
        <f t="shared" si="11"/>
        <v>5</v>
      </c>
      <c r="Y19" s="17">
        <f t="shared" si="11"/>
        <v>46</v>
      </c>
      <c r="Z19" s="17">
        <f t="shared" si="11"/>
        <v>37</v>
      </c>
      <c r="AA19" s="17">
        <f t="shared" si="11"/>
        <v>16</v>
      </c>
      <c r="AB19" s="17">
        <f t="shared" si="11"/>
        <v>11</v>
      </c>
      <c r="AC19" s="17">
        <f t="shared" si="11"/>
        <v>79</v>
      </c>
      <c r="AD19" s="17">
        <f t="shared" si="11"/>
        <v>0</v>
      </c>
      <c r="AE19" s="31">
        <f t="shared" si="11"/>
        <v>346</v>
      </c>
      <c r="AF19" s="31">
        <f t="shared" si="11"/>
        <v>425</v>
      </c>
    </row>
    <row r="20" spans="2:32" ht="23.1" customHeight="1" x14ac:dyDescent="0.25">
      <c r="B20" s="23" t="s">
        <v>47</v>
      </c>
      <c r="C20" s="50">
        <v>30</v>
      </c>
      <c r="D20" s="50">
        <v>6</v>
      </c>
      <c r="E20" s="50">
        <v>5</v>
      </c>
      <c r="F20" s="50">
        <v>27</v>
      </c>
      <c r="G20" s="50">
        <v>1</v>
      </c>
      <c r="H20" s="50">
        <v>1</v>
      </c>
      <c r="I20" s="50">
        <v>7</v>
      </c>
      <c r="J20" s="50">
        <v>4</v>
      </c>
      <c r="K20" s="50">
        <v>4</v>
      </c>
      <c r="L20" s="50">
        <v>0</v>
      </c>
      <c r="M20" s="50">
        <v>16</v>
      </c>
      <c r="N20" s="50">
        <v>0</v>
      </c>
      <c r="O20" s="15">
        <f t="shared" si="0"/>
        <v>85</v>
      </c>
      <c r="P20" s="15">
        <f t="shared" si="1"/>
        <v>101</v>
      </c>
      <c r="R20" s="1" t="s">
        <v>16</v>
      </c>
      <c r="S20" s="17">
        <f t="shared" ref="S20:AF20" si="12">SUM(C50:C53)</f>
        <v>72</v>
      </c>
      <c r="T20" s="17">
        <f t="shared" si="12"/>
        <v>24</v>
      </c>
      <c r="U20" s="17">
        <f t="shared" si="12"/>
        <v>15</v>
      </c>
      <c r="V20" s="17">
        <f t="shared" si="12"/>
        <v>91</v>
      </c>
      <c r="W20" s="17">
        <f t="shared" si="12"/>
        <v>5</v>
      </c>
      <c r="X20" s="17">
        <f t="shared" si="12"/>
        <v>6</v>
      </c>
      <c r="Y20" s="17">
        <f t="shared" si="12"/>
        <v>43</v>
      </c>
      <c r="Z20" s="17">
        <f t="shared" si="12"/>
        <v>39</v>
      </c>
      <c r="AA20" s="17">
        <f t="shared" si="12"/>
        <v>8</v>
      </c>
      <c r="AB20" s="17">
        <f t="shared" si="12"/>
        <v>3</v>
      </c>
      <c r="AC20" s="17">
        <f t="shared" si="12"/>
        <v>73</v>
      </c>
      <c r="AD20" s="17">
        <f t="shared" si="12"/>
        <v>0</v>
      </c>
      <c r="AE20" s="31">
        <f t="shared" si="12"/>
        <v>306</v>
      </c>
      <c r="AF20" s="31">
        <f t="shared" si="12"/>
        <v>379</v>
      </c>
    </row>
    <row r="21" spans="2:32" ht="23.1" customHeight="1" x14ac:dyDescent="0.25">
      <c r="B21" s="23" t="s">
        <v>48</v>
      </c>
      <c r="C21" s="50">
        <v>32</v>
      </c>
      <c r="D21" s="50">
        <v>4</v>
      </c>
      <c r="E21" s="50">
        <v>6</v>
      </c>
      <c r="F21" s="50">
        <v>32</v>
      </c>
      <c r="G21" s="50">
        <v>1</v>
      </c>
      <c r="H21" s="50">
        <v>3</v>
      </c>
      <c r="I21" s="50">
        <v>15</v>
      </c>
      <c r="J21" s="50">
        <v>7</v>
      </c>
      <c r="K21" s="50">
        <v>2</v>
      </c>
      <c r="L21" s="50">
        <v>0</v>
      </c>
      <c r="M21" s="50">
        <v>21</v>
      </c>
      <c r="N21" s="50">
        <v>0</v>
      </c>
      <c r="O21" s="15">
        <f t="shared" si="0"/>
        <v>102</v>
      </c>
      <c r="P21" s="15">
        <f t="shared" si="1"/>
        <v>123</v>
      </c>
      <c r="R21" s="36" t="s">
        <v>20</v>
      </c>
      <c r="S21" s="34">
        <f t="shared" ref="S21:AF21" si="13">SUM(C54:C57)</f>
        <v>66</v>
      </c>
      <c r="T21" s="17">
        <f t="shared" si="13"/>
        <v>21</v>
      </c>
      <c r="U21" s="17">
        <f t="shared" si="13"/>
        <v>15</v>
      </c>
      <c r="V21" s="17">
        <f t="shared" si="13"/>
        <v>86</v>
      </c>
      <c r="W21" s="17">
        <f t="shared" si="13"/>
        <v>4</v>
      </c>
      <c r="X21" s="17">
        <f t="shared" si="13"/>
        <v>4</v>
      </c>
      <c r="Y21" s="17">
        <f t="shared" si="13"/>
        <v>43</v>
      </c>
      <c r="Z21" s="17">
        <f t="shared" si="13"/>
        <v>42</v>
      </c>
      <c r="AA21" s="17">
        <f t="shared" si="13"/>
        <v>9</v>
      </c>
      <c r="AB21" s="17">
        <f t="shared" si="13"/>
        <v>3</v>
      </c>
      <c r="AC21" s="17">
        <f t="shared" si="13"/>
        <v>80</v>
      </c>
      <c r="AD21" s="17">
        <f t="shared" si="13"/>
        <v>0</v>
      </c>
      <c r="AE21" s="31">
        <f t="shared" si="13"/>
        <v>293</v>
      </c>
      <c r="AF21" s="31">
        <f t="shared" si="13"/>
        <v>373</v>
      </c>
    </row>
    <row r="22" spans="2:32" ht="23.1" customHeight="1" x14ac:dyDescent="0.25">
      <c r="B22" s="23" t="s">
        <v>49</v>
      </c>
      <c r="C22" s="50">
        <v>32</v>
      </c>
      <c r="D22" s="50">
        <v>11</v>
      </c>
      <c r="E22" s="50">
        <v>8</v>
      </c>
      <c r="F22" s="50">
        <v>22</v>
      </c>
      <c r="G22" s="50">
        <v>3</v>
      </c>
      <c r="H22" s="50">
        <v>1</v>
      </c>
      <c r="I22" s="50">
        <v>9</v>
      </c>
      <c r="J22" s="50">
        <v>6</v>
      </c>
      <c r="K22" s="50">
        <v>0</v>
      </c>
      <c r="L22" s="50">
        <v>2</v>
      </c>
      <c r="M22" s="50">
        <v>22</v>
      </c>
      <c r="N22" s="50">
        <v>0</v>
      </c>
      <c r="O22" s="15">
        <f t="shared" si="0"/>
        <v>94</v>
      </c>
      <c r="P22" s="15">
        <f t="shared" si="1"/>
        <v>116</v>
      </c>
      <c r="R22" s="38" t="s">
        <v>90</v>
      </c>
      <c r="S22" s="39">
        <f>MAX(S10:S12)</f>
        <v>122</v>
      </c>
      <c r="T22" s="39">
        <f t="shared" ref="T22:AF22" si="14">MAX(T10:T12)</f>
        <v>23</v>
      </c>
      <c r="U22" s="39">
        <f t="shared" si="14"/>
        <v>25</v>
      </c>
      <c r="V22" s="39">
        <f t="shared" si="14"/>
        <v>96</v>
      </c>
      <c r="W22" s="39">
        <f t="shared" si="14"/>
        <v>4</v>
      </c>
      <c r="X22" s="39">
        <f t="shared" si="14"/>
        <v>7</v>
      </c>
      <c r="Y22" s="39">
        <f t="shared" si="14"/>
        <v>51</v>
      </c>
      <c r="Z22" s="39">
        <f t="shared" si="14"/>
        <v>22</v>
      </c>
      <c r="AA22" s="39">
        <f t="shared" si="14"/>
        <v>11</v>
      </c>
      <c r="AB22" s="39">
        <f t="shared" si="14"/>
        <v>5</v>
      </c>
      <c r="AC22" s="39">
        <f t="shared" si="14"/>
        <v>86</v>
      </c>
      <c r="AD22" s="39">
        <f t="shared" si="14"/>
        <v>0</v>
      </c>
      <c r="AE22" s="40">
        <f t="shared" si="14"/>
        <v>355</v>
      </c>
      <c r="AF22" s="40">
        <f t="shared" si="14"/>
        <v>436</v>
      </c>
    </row>
    <row r="23" spans="2:32" ht="23.1" customHeight="1" x14ac:dyDescent="0.25">
      <c r="B23" s="23" t="s">
        <v>50</v>
      </c>
      <c r="C23" s="50">
        <v>29</v>
      </c>
      <c r="D23" s="50">
        <v>8</v>
      </c>
      <c r="E23" s="50">
        <v>2</v>
      </c>
      <c r="F23" s="50">
        <v>25</v>
      </c>
      <c r="G23" s="50">
        <v>0</v>
      </c>
      <c r="H23" s="50">
        <v>3</v>
      </c>
      <c r="I23" s="50">
        <v>11</v>
      </c>
      <c r="J23" s="50">
        <v>2</v>
      </c>
      <c r="K23" s="50">
        <v>4</v>
      </c>
      <c r="L23" s="50">
        <v>1</v>
      </c>
      <c r="M23" s="50">
        <v>24</v>
      </c>
      <c r="N23" s="50">
        <v>0</v>
      </c>
      <c r="O23" s="15">
        <f t="shared" si="0"/>
        <v>85</v>
      </c>
      <c r="P23" s="15">
        <f t="shared" si="1"/>
        <v>109</v>
      </c>
      <c r="R23" s="38" t="s">
        <v>91</v>
      </c>
      <c r="S23" s="39">
        <f>MAX(S13:S18)</f>
        <v>134</v>
      </c>
      <c r="T23" s="39">
        <f t="shared" ref="T23:AF23" si="15">MAX(T13:T18)</f>
        <v>36</v>
      </c>
      <c r="U23" s="39">
        <f t="shared" si="15"/>
        <v>25</v>
      </c>
      <c r="V23" s="39">
        <f t="shared" si="15"/>
        <v>112</v>
      </c>
      <c r="W23" s="39">
        <f t="shared" si="15"/>
        <v>10</v>
      </c>
      <c r="X23" s="39">
        <f t="shared" si="15"/>
        <v>8</v>
      </c>
      <c r="Y23" s="39">
        <f t="shared" si="15"/>
        <v>65</v>
      </c>
      <c r="Z23" s="39">
        <f t="shared" si="15"/>
        <v>45</v>
      </c>
      <c r="AA23" s="39">
        <f t="shared" si="15"/>
        <v>16</v>
      </c>
      <c r="AB23" s="39">
        <f t="shared" si="15"/>
        <v>11</v>
      </c>
      <c r="AC23" s="39">
        <f t="shared" si="15"/>
        <v>105</v>
      </c>
      <c r="AD23" s="39">
        <f t="shared" si="15"/>
        <v>0</v>
      </c>
      <c r="AE23" s="40">
        <f t="shared" si="15"/>
        <v>408</v>
      </c>
      <c r="AF23" s="40">
        <f t="shared" si="15"/>
        <v>504</v>
      </c>
    </row>
    <row r="24" spans="2:32" ht="23.1" customHeight="1" x14ac:dyDescent="0.25">
      <c r="B24" s="23" t="s">
        <v>51</v>
      </c>
      <c r="C24" s="50">
        <v>32</v>
      </c>
      <c r="D24" s="50">
        <v>5</v>
      </c>
      <c r="E24" s="50">
        <v>5</v>
      </c>
      <c r="F24" s="50">
        <v>25</v>
      </c>
      <c r="G24" s="50">
        <v>3</v>
      </c>
      <c r="H24" s="50">
        <v>0</v>
      </c>
      <c r="I24" s="50">
        <v>11</v>
      </c>
      <c r="J24" s="50">
        <v>8</v>
      </c>
      <c r="K24" s="50">
        <v>2</v>
      </c>
      <c r="L24" s="50">
        <v>0</v>
      </c>
      <c r="M24" s="50">
        <v>20</v>
      </c>
      <c r="N24" s="50">
        <v>0</v>
      </c>
      <c r="O24" s="15">
        <f t="shared" si="0"/>
        <v>91</v>
      </c>
      <c r="P24" s="15">
        <f t="shared" si="1"/>
        <v>111</v>
      </c>
      <c r="R24" s="38" t="s">
        <v>92</v>
      </c>
      <c r="S24" s="39">
        <f>MAX(S19:S21)</f>
        <v>84</v>
      </c>
      <c r="T24" s="39">
        <f t="shared" ref="T24:AF24" si="16">MAX(T19:T21)</f>
        <v>25</v>
      </c>
      <c r="U24" s="39">
        <f t="shared" si="16"/>
        <v>19</v>
      </c>
      <c r="V24" s="39">
        <f t="shared" si="16"/>
        <v>100</v>
      </c>
      <c r="W24" s="39">
        <f t="shared" si="16"/>
        <v>5</v>
      </c>
      <c r="X24" s="39">
        <f t="shared" si="16"/>
        <v>6</v>
      </c>
      <c r="Y24" s="39">
        <f t="shared" si="16"/>
        <v>46</v>
      </c>
      <c r="Z24" s="39">
        <f t="shared" si="16"/>
        <v>42</v>
      </c>
      <c r="AA24" s="39">
        <f t="shared" si="16"/>
        <v>16</v>
      </c>
      <c r="AB24" s="39">
        <f t="shared" si="16"/>
        <v>11</v>
      </c>
      <c r="AC24" s="39">
        <f t="shared" si="16"/>
        <v>80</v>
      </c>
      <c r="AD24" s="39">
        <f t="shared" si="16"/>
        <v>0</v>
      </c>
      <c r="AE24" s="40">
        <f t="shared" si="16"/>
        <v>346</v>
      </c>
      <c r="AF24" s="40">
        <f t="shared" si="16"/>
        <v>425</v>
      </c>
    </row>
    <row r="25" spans="2:32" ht="23.1" customHeight="1" x14ac:dyDescent="0.25">
      <c r="B25" s="23" t="s">
        <v>52</v>
      </c>
      <c r="C25" s="50">
        <v>22</v>
      </c>
      <c r="D25" s="50">
        <v>6</v>
      </c>
      <c r="E25" s="50">
        <v>10</v>
      </c>
      <c r="F25" s="50">
        <v>23</v>
      </c>
      <c r="G25" s="50">
        <v>1</v>
      </c>
      <c r="H25" s="50">
        <v>2</v>
      </c>
      <c r="I25" s="50">
        <v>15</v>
      </c>
      <c r="J25" s="50">
        <v>14</v>
      </c>
      <c r="K25" s="50">
        <v>3</v>
      </c>
      <c r="L25" s="50">
        <v>5</v>
      </c>
      <c r="M25" s="50">
        <v>26</v>
      </c>
      <c r="N25" s="50">
        <v>0</v>
      </c>
      <c r="O25" s="15">
        <f t="shared" si="0"/>
        <v>101</v>
      </c>
      <c r="P25" s="15">
        <f t="shared" si="1"/>
        <v>127</v>
      </c>
      <c r="R25" s="37" t="s">
        <v>85</v>
      </c>
      <c r="S25" s="35">
        <f t="shared" ref="S25:AF25" si="17">SUM(S10:S12)</f>
        <v>325</v>
      </c>
      <c r="T25" s="16">
        <f t="shared" si="17"/>
        <v>61</v>
      </c>
      <c r="U25" s="16">
        <f t="shared" si="17"/>
        <v>59</v>
      </c>
      <c r="V25" s="16">
        <f t="shared" si="17"/>
        <v>228</v>
      </c>
      <c r="W25" s="16">
        <f t="shared" si="17"/>
        <v>11</v>
      </c>
      <c r="X25" s="16">
        <f t="shared" si="17"/>
        <v>10</v>
      </c>
      <c r="Y25" s="16">
        <f t="shared" si="17"/>
        <v>130</v>
      </c>
      <c r="Z25" s="16">
        <f t="shared" si="17"/>
        <v>52</v>
      </c>
      <c r="AA25" s="16">
        <f t="shared" si="17"/>
        <v>25</v>
      </c>
      <c r="AB25" s="16">
        <f t="shared" si="17"/>
        <v>10</v>
      </c>
      <c r="AC25" s="16">
        <f t="shared" si="17"/>
        <v>240</v>
      </c>
      <c r="AD25" s="16">
        <f t="shared" si="17"/>
        <v>0</v>
      </c>
      <c r="AE25" s="32">
        <f t="shared" si="17"/>
        <v>911</v>
      </c>
      <c r="AF25" s="32">
        <f t="shared" si="17"/>
        <v>1151</v>
      </c>
    </row>
    <row r="26" spans="2:32" ht="23.1" customHeight="1" x14ac:dyDescent="0.25">
      <c r="B26" s="23" t="s">
        <v>53</v>
      </c>
      <c r="C26" s="50">
        <v>42</v>
      </c>
      <c r="D26" s="50">
        <v>10</v>
      </c>
      <c r="E26" s="50">
        <v>3</v>
      </c>
      <c r="F26" s="50">
        <v>31</v>
      </c>
      <c r="G26" s="50">
        <v>1</v>
      </c>
      <c r="H26" s="50">
        <v>2</v>
      </c>
      <c r="I26" s="50">
        <v>15</v>
      </c>
      <c r="J26" s="50">
        <v>12</v>
      </c>
      <c r="K26" s="50">
        <v>6</v>
      </c>
      <c r="L26" s="50">
        <v>1</v>
      </c>
      <c r="M26" s="50">
        <v>31</v>
      </c>
      <c r="N26" s="50">
        <v>0</v>
      </c>
      <c r="O26" s="15">
        <f t="shared" si="0"/>
        <v>123</v>
      </c>
      <c r="P26" s="15">
        <f t="shared" si="1"/>
        <v>154</v>
      </c>
      <c r="R26" s="28" t="s">
        <v>86</v>
      </c>
      <c r="S26" s="16">
        <f t="shared" ref="S26:AF26" si="18">SUM(S13:S18)</f>
        <v>673</v>
      </c>
      <c r="T26" s="16">
        <f t="shared" si="18"/>
        <v>161</v>
      </c>
      <c r="U26" s="16">
        <f t="shared" si="18"/>
        <v>108</v>
      </c>
      <c r="V26" s="16">
        <f t="shared" si="18"/>
        <v>627</v>
      </c>
      <c r="W26" s="16">
        <f t="shared" si="18"/>
        <v>41</v>
      </c>
      <c r="X26" s="16">
        <f t="shared" si="18"/>
        <v>33</v>
      </c>
      <c r="Y26" s="16">
        <f t="shared" si="18"/>
        <v>309</v>
      </c>
      <c r="Z26" s="16">
        <f t="shared" si="18"/>
        <v>226</v>
      </c>
      <c r="AA26" s="16">
        <f t="shared" si="18"/>
        <v>61</v>
      </c>
      <c r="AB26" s="16">
        <f t="shared" si="18"/>
        <v>48</v>
      </c>
      <c r="AC26" s="16">
        <f t="shared" si="18"/>
        <v>551</v>
      </c>
      <c r="AD26" s="16">
        <f t="shared" si="18"/>
        <v>0</v>
      </c>
      <c r="AE26" s="32">
        <f t="shared" si="18"/>
        <v>2287</v>
      </c>
      <c r="AF26" s="32">
        <f t="shared" si="18"/>
        <v>2838</v>
      </c>
    </row>
    <row r="27" spans="2:32" ht="23.1" customHeight="1" x14ac:dyDescent="0.25">
      <c r="B27" s="23" t="s">
        <v>54</v>
      </c>
      <c r="C27" s="50">
        <v>27</v>
      </c>
      <c r="D27" s="50">
        <v>6</v>
      </c>
      <c r="E27" s="50">
        <v>6</v>
      </c>
      <c r="F27" s="50">
        <v>24</v>
      </c>
      <c r="G27" s="50">
        <v>1</v>
      </c>
      <c r="H27" s="50">
        <v>0</v>
      </c>
      <c r="I27" s="50">
        <v>12</v>
      </c>
      <c r="J27" s="50">
        <v>12</v>
      </c>
      <c r="K27" s="50">
        <v>4</v>
      </c>
      <c r="L27" s="50">
        <v>0</v>
      </c>
      <c r="M27" s="50">
        <v>18</v>
      </c>
      <c r="N27" s="50">
        <v>0</v>
      </c>
      <c r="O27" s="15">
        <f t="shared" si="0"/>
        <v>92</v>
      </c>
      <c r="P27" s="15">
        <f t="shared" si="1"/>
        <v>110</v>
      </c>
      <c r="R27" s="29" t="s">
        <v>87</v>
      </c>
      <c r="S27" s="16">
        <f t="shared" ref="S27:AF27" si="19">SUM(S19:S21)</f>
        <v>222</v>
      </c>
      <c r="T27" s="16">
        <f t="shared" si="19"/>
        <v>70</v>
      </c>
      <c r="U27" s="16">
        <f t="shared" si="19"/>
        <v>49</v>
      </c>
      <c r="V27" s="16">
        <f t="shared" si="19"/>
        <v>277</v>
      </c>
      <c r="W27" s="16">
        <f t="shared" si="19"/>
        <v>12</v>
      </c>
      <c r="X27" s="16">
        <f t="shared" si="19"/>
        <v>15</v>
      </c>
      <c r="Y27" s="16">
        <f t="shared" si="19"/>
        <v>132</v>
      </c>
      <c r="Z27" s="16">
        <f t="shared" si="19"/>
        <v>118</v>
      </c>
      <c r="AA27" s="16">
        <f t="shared" si="19"/>
        <v>33</v>
      </c>
      <c r="AB27" s="16">
        <f t="shared" si="19"/>
        <v>17</v>
      </c>
      <c r="AC27" s="16">
        <f t="shared" si="19"/>
        <v>232</v>
      </c>
      <c r="AD27" s="16">
        <f t="shared" si="19"/>
        <v>0</v>
      </c>
      <c r="AE27" s="32">
        <f t="shared" si="19"/>
        <v>945</v>
      </c>
      <c r="AF27" s="32">
        <f t="shared" si="19"/>
        <v>1177</v>
      </c>
    </row>
    <row r="28" spans="2:32" ht="23.1" customHeight="1" x14ac:dyDescent="0.25">
      <c r="B28" s="23" t="s">
        <v>55</v>
      </c>
      <c r="C28" s="50">
        <v>25</v>
      </c>
      <c r="D28" s="50">
        <v>8</v>
      </c>
      <c r="E28" s="50">
        <v>8</v>
      </c>
      <c r="F28" s="50">
        <v>21</v>
      </c>
      <c r="G28" s="50">
        <v>2</v>
      </c>
      <c r="H28" s="50">
        <v>4</v>
      </c>
      <c r="I28" s="50">
        <v>13</v>
      </c>
      <c r="J28" s="50">
        <v>15</v>
      </c>
      <c r="K28" s="50">
        <v>4</v>
      </c>
      <c r="L28" s="50">
        <v>3</v>
      </c>
      <c r="M28" s="50">
        <v>13</v>
      </c>
      <c r="N28" s="50">
        <v>0</v>
      </c>
      <c r="O28" s="15">
        <f t="shared" si="0"/>
        <v>103</v>
      </c>
      <c r="P28" s="15">
        <f t="shared" si="1"/>
        <v>116</v>
      </c>
      <c r="R28" s="5" t="s">
        <v>17</v>
      </c>
      <c r="S28" s="16">
        <f t="shared" ref="S28:AF28" si="20">SUM(S10:S21)</f>
        <v>1220</v>
      </c>
      <c r="T28" s="16">
        <f t="shared" si="20"/>
        <v>292</v>
      </c>
      <c r="U28" s="16">
        <f t="shared" si="20"/>
        <v>216</v>
      </c>
      <c r="V28" s="16">
        <f t="shared" si="20"/>
        <v>1132</v>
      </c>
      <c r="W28" s="16">
        <f t="shared" si="20"/>
        <v>64</v>
      </c>
      <c r="X28" s="16">
        <f t="shared" si="20"/>
        <v>58</v>
      </c>
      <c r="Y28" s="16">
        <f t="shared" si="20"/>
        <v>571</v>
      </c>
      <c r="Z28" s="16">
        <f t="shared" si="20"/>
        <v>396</v>
      </c>
      <c r="AA28" s="16">
        <f t="shared" si="20"/>
        <v>119</v>
      </c>
      <c r="AB28" s="16">
        <f t="shared" si="20"/>
        <v>75</v>
      </c>
      <c r="AC28" s="16">
        <f t="shared" si="20"/>
        <v>1023</v>
      </c>
      <c r="AD28" s="16">
        <f t="shared" si="20"/>
        <v>0</v>
      </c>
      <c r="AE28" s="32">
        <f t="shared" si="20"/>
        <v>4143</v>
      </c>
      <c r="AF28" s="32">
        <f t="shared" si="20"/>
        <v>5166</v>
      </c>
    </row>
    <row r="29" spans="2:32" ht="23.1" customHeight="1" x14ac:dyDescent="0.25">
      <c r="B29" s="23" t="s">
        <v>56</v>
      </c>
      <c r="C29" s="50">
        <v>22</v>
      </c>
      <c r="D29" s="50">
        <v>12</v>
      </c>
      <c r="E29" s="50">
        <v>4</v>
      </c>
      <c r="F29" s="50">
        <v>32</v>
      </c>
      <c r="G29" s="50">
        <v>3</v>
      </c>
      <c r="H29" s="50">
        <v>0</v>
      </c>
      <c r="I29" s="50">
        <v>7</v>
      </c>
      <c r="J29" s="50">
        <v>4</v>
      </c>
      <c r="K29" s="50">
        <v>2</v>
      </c>
      <c r="L29" s="50">
        <v>4</v>
      </c>
      <c r="M29" s="50">
        <v>24</v>
      </c>
      <c r="N29" s="50">
        <v>0</v>
      </c>
      <c r="O29" s="15">
        <f t="shared" si="0"/>
        <v>90</v>
      </c>
      <c r="P29" s="15">
        <f t="shared" si="1"/>
        <v>114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4</v>
      </c>
      <c r="E30" s="50">
        <v>3</v>
      </c>
      <c r="F30" s="50">
        <v>19</v>
      </c>
      <c r="G30" s="50">
        <v>3</v>
      </c>
      <c r="H30" s="50">
        <v>0</v>
      </c>
      <c r="I30" s="50">
        <v>9</v>
      </c>
      <c r="J30" s="50">
        <v>8</v>
      </c>
      <c r="K30" s="50">
        <v>2</v>
      </c>
      <c r="L30" s="50">
        <v>0</v>
      </c>
      <c r="M30" s="50">
        <v>21</v>
      </c>
      <c r="N30" s="50">
        <v>0</v>
      </c>
      <c r="O30" s="15">
        <f t="shared" si="0"/>
        <v>73</v>
      </c>
      <c r="P30" s="15">
        <f t="shared" si="1"/>
        <v>94</v>
      </c>
    </row>
    <row r="31" spans="2:32" ht="23.1" customHeight="1" x14ac:dyDescent="0.25">
      <c r="B31" s="24" t="s">
        <v>58</v>
      </c>
      <c r="C31" s="50">
        <v>45</v>
      </c>
      <c r="D31" s="50">
        <v>12</v>
      </c>
      <c r="E31" s="50">
        <v>8</v>
      </c>
      <c r="F31" s="50">
        <v>37</v>
      </c>
      <c r="G31" s="50">
        <v>3</v>
      </c>
      <c r="H31" s="50">
        <v>0</v>
      </c>
      <c r="I31" s="50">
        <v>20</v>
      </c>
      <c r="J31" s="50">
        <v>11</v>
      </c>
      <c r="K31" s="50">
        <v>5</v>
      </c>
      <c r="L31" s="50">
        <v>6</v>
      </c>
      <c r="M31" s="50">
        <v>34</v>
      </c>
      <c r="N31" s="50">
        <v>0</v>
      </c>
      <c r="O31" s="15">
        <f t="shared" si="0"/>
        <v>147</v>
      </c>
      <c r="P31" s="15">
        <f t="shared" si="1"/>
        <v>181</v>
      </c>
    </row>
    <row r="32" spans="2:32" ht="23.1" customHeight="1" x14ac:dyDescent="0.25">
      <c r="B32" s="24" t="s">
        <v>59</v>
      </c>
      <c r="C32" s="50">
        <v>24</v>
      </c>
      <c r="D32" s="50">
        <v>8</v>
      </c>
      <c r="E32" s="50">
        <v>9</v>
      </c>
      <c r="F32" s="50">
        <v>22</v>
      </c>
      <c r="G32" s="50">
        <v>0</v>
      </c>
      <c r="H32" s="50">
        <v>1</v>
      </c>
      <c r="I32" s="50">
        <v>7</v>
      </c>
      <c r="J32" s="50">
        <v>5</v>
      </c>
      <c r="K32" s="50">
        <v>2</v>
      </c>
      <c r="L32" s="50">
        <v>1</v>
      </c>
      <c r="M32" s="50">
        <v>19</v>
      </c>
      <c r="N32" s="50">
        <v>0</v>
      </c>
      <c r="O32" s="15">
        <f t="shared" si="0"/>
        <v>79</v>
      </c>
      <c r="P32" s="15">
        <f t="shared" si="1"/>
        <v>98</v>
      </c>
    </row>
    <row r="33" spans="2:20" ht="23.1" customHeight="1" x14ac:dyDescent="0.25">
      <c r="B33" s="23" t="s">
        <v>60</v>
      </c>
      <c r="C33" s="50">
        <v>40</v>
      </c>
      <c r="D33" s="50">
        <v>3</v>
      </c>
      <c r="E33" s="50">
        <v>5</v>
      </c>
      <c r="F33" s="50">
        <v>25</v>
      </c>
      <c r="G33" s="50">
        <v>4</v>
      </c>
      <c r="H33" s="50">
        <v>1</v>
      </c>
      <c r="I33" s="50">
        <v>11</v>
      </c>
      <c r="J33" s="50">
        <v>11</v>
      </c>
      <c r="K33" s="50">
        <v>2</v>
      </c>
      <c r="L33" s="50">
        <v>1</v>
      </c>
      <c r="M33" s="50">
        <v>25</v>
      </c>
      <c r="N33" s="50">
        <v>0</v>
      </c>
      <c r="O33" s="15">
        <f t="shared" si="0"/>
        <v>103</v>
      </c>
      <c r="P33" s="15">
        <f t="shared" si="1"/>
        <v>128</v>
      </c>
    </row>
    <row r="34" spans="2:20" ht="23.1" customHeight="1" x14ac:dyDescent="0.25">
      <c r="B34" s="24" t="s">
        <v>61</v>
      </c>
      <c r="C34" s="50">
        <v>31</v>
      </c>
      <c r="D34" s="50">
        <v>6</v>
      </c>
      <c r="E34" s="50">
        <v>3</v>
      </c>
      <c r="F34" s="50">
        <v>30</v>
      </c>
      <c r="G34" s="50">
        <v>3</v>
      </c>
      <c r="H34" s="50">
        <v>1</v>
      </c>
      <c r="I34" s="50">
        <v>18</v>
      </c>
      <c r="J34" s="50">
        <v>11</v>
      </c>
      <c r="K34" s="50">
        <v>2</v>
      </c>
      <c r="L34" s="50">
        <v>0</v>
      </c>
      <c r="M34" s="50">
        <v>29</v>
      </c>
      <c r="N34" s="50">
        <v>0</v>
      </c>
      <c r="O34" s="15">
        <f t="shared" si="0"/>
        <v>105</v>
      </c>
      <c r="P34" s="15">
        <f t="shared" si="1"/>
        <v>134</v>
      </c>
    </row>
    <row r="35" spans="2:20" ht="23.1" customHeight="1" x14ac:dyDescent="0.25">
      <c r="B35" s="24" t="s">
        <v>62</v>
      </c>
      <c r="C35" s="50">
        <v>23</v>
      </c>
      <c r="D35" s="50">
        <v>7</v>
      </c>
      <c r="E35" s="50">
        <v>8</v>
      </c>
      <c r="F35" s="50">
        <v>32</v>
      </c>
      <c r="G35" s="50">
        <v>1</v>
      </c>
      <c r="H35" s="50">
        <v>1</v>
      </c>
      <c r="I35" s="50">
        <v>10</v>
      </c>
      <c r="J35" s="50">
        <v>11</v>
      </c>
      <c r="K35" s="50">
        <v>2</v>
      </c>
      <c r="L35" s="50">
        <v>9</v>
      </c>
      <c r="M35" s="50">
        <v>14</v>
      </c>
      <c r="N35" s="50">
        <v>0</v>
      </c>
      <c r="O35" s="15">
        <f t="shared" si="0"/>
        <v>104</v>
      </c>
      <c r="P35" s="15">
        <f t="shared" si="1"/>
        <v>118</v>
      </c>
    </row>
    <row r="36" spans="2:20" ht="23.1" customHeight="1" x14ac:dyDescent="0.25">
      <c r="B36" s="24" t="s">
        <v>63</v>
      </c>
      <c r="C36" s="50">
        <v>36</v>
      </c>
      <c r="D36" s="50">
        <v>3</v>
      </c>
      <c r="E36" s="50">
        <v>5</v>
      </c>
      <c r="F36" s="50">
        <v>28</v>
      </c>
      <c r="G36" s="50">
        <v>2</v>
      </c>
      <c r="H36" s="50">
        <v>2</v>
      </c>
      <c r="I36" s="50">
        <v>12</v>
      </c>
      <c r="J36" s="50">
        <v>11</v>
      </c>
      <c r="K36" s="50">
        <v>5</v>
      </c>
      <c r="L36" s="50">
        <v>1</v>
      </c>
      <c r="M36" s="50">
        <v>29</v>
      </c>
      <c r="N36" s="50">
        <v>0</v>
      </c>
      <c r="O36" s="15">
        <f t="shared" si="0"/>
        <v>105</v>
      </c>
      <c r="P36" s="15">
        <f t="shared" si="1"/>
        <v>134</v>
      </c>
    </row>
    <row r="37" spans="2:20" ht="23.1" customHeight="1" x14ac:dyDescent="0.25">
      <c r="B37" s="23" t="s">
        <v>64</v>
      </c>
      <c r="C37" s="50">
        <v>38</v>
      </c>
      <c r="D37" s="50">
        <v>6</v>
      </c>
      <c r="E37" s="50">
        <v>4</v>
      </c>
      <c r="F37" s="50">
        <v>22</v>
      </c>
      <c r="G37" s="50">
        <v>1</v>
      </c>
      <c r="H37" s="50">
        <v>1</v>
      </c>
      <c r="I37" s="50">
        <v>8</v>
      </c>
      <c r="J37" s="50">
        <v>11</v>
      </c>
      <c r="K37" s="50">
        <v>1</v>
      </c>
      <c r="L37" s="50">
        <v>1</v>
      </c>
      <c r="M37" s="50">
        <v>25</v>
      </c>
      <c r="N37" s="50">
        <v>0</v>
      </c>
      <c r="O37" s="15">
        <f t="shared" si="0"/>
        <v>93</v>
      </c>
      <c r="P37" s="15">
        <f t="shared" si="1"/>
        <v>118</v>
      </c>
    </row>
    <row r="38" spans="2:20" ht="23.1" customHeight="1" x14ac:dyDescent="0.25">
      <c r="B38" s="24" t="s">
        <v>65</v>
      </c>
      <c r="C38" s="50">
        <v>23</v>
      </c>
      <c r="D38" s="50">
        <v>6</v>
      </c>
      <c r="E38" s="50">
        <v>2</v>
      </c>
      <c r="F38" s="50">
        <v>34</v>
      </c>
      <c r="G38" s="50">
        <v>2</v>
      </c>
      <c r="H38" s="50">
        <v>0</v>
      </c>
      <c r="I38" s="50">
        <v>13</v>
      </c>
      <c r="J38" s="50">
        <v>18</v>
      </c>
      <c r="K38" s="50">
        <v>2</v>
      </c>
      <c r="L38" s="50">
        <v>3</v>
      </c>
      <c r="M38" s="50">
        <v>18</v>
      </c>
      <c r="N38" s="50">
        <v>0</v>
      </c>
      <c r="O38" s="15">
        <f t="shared" si="0"/>
        <v>103</v>
      </c>
      <c r="P38" s="15">
        <f t="shared" si="1"/>
        <v>121</v>
      </c>
    </row>
    <row r="39" spans="2:20" ht="23.1" customHeight="1" x14ac:dyDescent="0.25">
      <c r="B39" s="24" t="s">
        <v>66</v>
      </c>
      <c r="C39" s="50">
        <v>22</v>
      </c>
      <c r="D39" s="50">
        <v>5</v>
      </c>
      <c r="E39" s="50">
        <v>3</v>
      </c>
      <c r="F39" s="50">
        <v>29</v>
      </c>
      <c r="G39" s="50">
        <v>2</v>
      </c>
      <c r="H39" s="50">
        <v>1</v>
      </c>
      <c r="I39" s="50">
        <v>14</v>
      </c>
      <c r="J39" s="50">
        <v>7</v>
      </c>
      <c r="K39" s="50">
        <v>2</v>
      </c>
      <c r="L39" s="50">
        <v>2</v>
      </c>
      <c r="M39" s="50">
        <v>20</v>
      </c>
      <c r="N39" s="50">
        <v>0</v>
      </c>
      <c r="O39" s="15">
        <f t="shared" si="0"/>
        <v>87</v>
      </c>
      <c r="P39" s="15">
        <f t="shared" si="1"/>
        <v>107</v>
      </c>
    </row>
    <row r="40" spans="2:20" ht="23.1" customHeight="1" x14ac:dyDescent="0.25">
      <c r="B40" s="24" t="s">
        <v>67</v>
      </c>
      <c r="C40" s="50">
        <v>25</v>
      </c>
      <c r="D40" s="50">
        <v>6</v>
      </c>
      <c r="E40" s="50">
        <v>3</v>
      </c>
      <c r="F40" s="50">
        <v>28</v>
      </c>
      <c r="G40" s="50">
        <v>1</v>
      </c>
      <c r="H40" s="50">
        <v>5</v>
      </c>
      <c r="I40" s="50">
        <v>12</v>
      </c>
      <c r="J40" s="50">
        <v>7</v>
      </c>
      <c r="K40" s="50">
        <v>4</v>
      </c>
      <c r="L40" s="50">
        <v>1</v>
      </c>
      <c r="M40" s="50">
        <v>41</v>
      </c>
      <c r="N40" s="50">
        <v>0</v>
      </c>
      <c r="O40" s="15">
        <f t="shared" si="0"/>
        <v>92</v>
      </c>
      <c r="P40" s="15">
        <f t="shared" si="1"/>
        <v>133</v>
      </c>
    </row>
    <row r="41" spans="2:20" ht="23.1" customHeight="1" x14ac:dyDescent="0.25">
      <c r="B41" s="23" t="s">
        <v>68</v>
      </c>
      <c r="C41" s="50">
        <v>23</v>
      </c>
      <c r="D41" s="50">
        <v>9</v>
      </c>
      <c r="E41" s="50">
        <v>2</v>
      </c>
      <c r="F41" s="50">
        <v>18</v>
      </c>
      <c r="G41" s="50">
        <v>1</v>
      </c>
      <c r="H41" s="50">
        <v>0</v>
      </c>
      <c r="I41" s="50">
        <v>17</v>
      </c>
      <c r="J41" s="50">
        <v>13</v>
      </c>
      <c r="K41" s="50">
        <v>2</v>
      </c>
      <c r="L41" s="50">
        <v>2</v>
      </c>
      <c r="M41" s="50">
        <v>26</v>
      </c>
      <c r="N41" s="50">
        <v>0</v>
      </c>
      <c r="O41" s="15">
        <f t="shared" si="0"/>
        <v>87</v>
      </c>
      <c r="P41" s="15">
        <f t="shared" si="1"/>
        <v>113</v>
      </c>
    </row>
    <row r="42" spans="2:20" ht="23.1" customHeight="1" x14ac:dyDescent="0.25">
      <c r="B42" s="24" t="s">
        <v>69</v>
      </c>
      <c r="C42" s="50">
        <v>28</v>
      </c>
      <c r="D42" s="50">
        <v>5</v>
      </c>
      <c r="E42" s="50">
        <v>3</v>
      </c>
      <c r="F42" s="50">
        <v>23</v>
      </c>
      <c r="G42" s="50">
        <v>1</v>
      </c>
      <c r="H42" s="50">
        <v>2</v>
      </c>
      <c r="I42" s="50">
        <v>14</v>
      </c>
      <c r="J42" s="50">
        <v>8</v>
      </c>
      <c r="K42" s="50">
        <v>2</v>
      </c>
      <c r="L42" s="50">
        <v>2</v>
      </c>
      <c r="M42" s="50">
        <v>25</v>
      </c>
      <c r="N42" s="50">
        <v>0</v>
      </c>
      <c r="O42" s="15">
        <f t="shared" si="0"/>
        <v>88</v>
      </c>
      <c r="P42" s="15">
        <f t="shared" si="1"/>
        <v>113</v>
      </c>
    </row>
    <row r="43" spans="2:20" ht="23.1" customHeight="1" x14ac:dyDescent="0.25">
      <c r="B43" s="23" t="s">
        <v>70</v>
      </c>
      <c r="C43" s="50">
        <v>26</v>
      </c>
      <c r="D43" s="50">
        <v>6</v>
      </c>
      <c r="E43" s="50">
        <v>1</v>
      </c>
      <c r="F43" s="50">
        <v>18</v>
      </c>
      <c r="G43" s="50">
        <v>1</v>
      </c>
      <c r="H43" s="50">
        <v>2</v>
      </c>
      <c r="I43" s="50">
        <v>33</v>
      </c>
      <c r="J43" s="50">
        <v>8</v>
      </c>
      <c r="K43" s="50">
        <v>1</v>
      </c>
      <c r="L43" s="50">
        <v>2</v>
      </c>
      <c r="M43" s="50">
        <v>19</v>
      </c>
      <c r="N43" s="50">
        <v>0</v>
      </c>
      <c r="O43" s="15">
        <f t="shared" si="0"/>
        <v>98</v>
      </c>
      <c r="P43" s="15">
        <f t="shared" si="1"/>
        <v>117</v>
      </c>
    </row>
    <row r="44" spans="2:20" ht="23.1" customHeight="1" x14ac:dyDescent="0.25">
      <c r="B44" s="25" t="s">
        <v>71</v>
      </c>
      <c r="C44" s="50">
        <v>20</v>
      </c>
      <c r="D44" s="50">
        <v>3</v>
      </c>
      <c r="E44" s="50">
        <v>1</v>
      </c>
      <c r="F44" s="50">
        <v>34</v>
      </c>
      <c r="G44" s="50">
        <v>0</v>
      </c>
      <c r="H44" s="50">
        <v>1</v>
      </c>
      <c r="I44" s="50">
        <v>12</v>
      </c>
      <c r="J44" s="50">
        <v>5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76</v>
      </c>
      <c r="P44" s="15">
        <f t="shared" si="1"/>
        <v>91</v>
      </c>
    </row>
    <row r="45" spans="2:20" ht="23.1" customHeight="1" x14ac:dyDescent="0.25">
      <c r="B45" s="23" t="s">
        <v>72</v>
      </c>
      <c r="C45" s="50">
        <v>13</v>
      </c>
      <c r="D45" s="50">
        <v>6</v>
      </c>
      <c r="E45" s="50">
        <v>2</v>
      </c>
      <c r="F45" s="50">
        <v>25</v>
      </c>
      <c r="G45" s="50">
        <v>2</v>
      </c>
      <c r="H45" s="50">
        <v>3</v>
      </c>
      <c r="I45" s="50">
        <v>6</v>
      </c>
      <c r="J45" s="50">
        <v>8</v>
      </c>
      <c r="K45" s="50">
        <v>2</v>
      </c>
      <c r="L45" s="50">
        <v>1</v>
      </c>
      <c r="M45" s="50">
        <v>13</v>
      </c>
      <c r="N45" s="50">
        <v>0</v>
      </c>
      <c r="O45" s="15">
        <f t="shared" si="0"/>
        <v>68</v>
      </c>
      <c r="P45" s="15">
        <f t="shared" si="1"/>
        <v>81</v>
      </c>
    </row>
    <row r="46" spans="2:20" ht="23.1" customHeight="1" x14ac:dyDescent="0.25">
      <c r="B46" s="24" t="s">
        <v>73</v>
      </c>
      <c r="C46" s="50">
        <v>21</v>
      </c>
      <c r="D46" s="50">
        <v>7</v>
      </c>
      <c r="E46" s="50">
        <v>4</v>
      </c>
      <c r="F46" s="50">
        <v>17</v>
      </c>
      <c r="G46" s="50">
        <v>1</v>
      </c>
      <c r="H46" s="50">
        <v>0</v>
      </c>
      <c r="I46" s="50">
        <v>11</v>
      </c>
      <c r="J46" s="50">
        <v>5</v>
      </c>
      <c r="K46" s="50">
        <v>4</v>
      </c>
      <c r="L46" s="50">
        <v>3</v>
      </c>
      <c r="M46" s="50">
        <v>23</v>
      </c>
      <c r="N46" s="50">
        <v>0</v>
      </c>
      <c r="O46" s="15">
        <f t="shared" si="0"/>
        <v>73</v>
      </c>
      <c r="P46" s="15">
        <f t="shared" si="1"/>
        <v>96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5</v>
      </c>
      <c r="E47" s="50">
        <v>6</v>
      </c>
      <c r="F47" s="50">
        <v>26</v>
      </c>
      <c r="G47" s="50">
        <v>1</v>
      </c>
      <c r="H47" s="50">
        <v>1</v>
      </c>
      <c r="I47" s="50">
        <v>12</v>
      </c>
      <c r="J47" s="50">
        <v>11</v>
      </c>
      <c r="K47" s="50">
        <v>1</v>
      </c>
      <c r="L47" s="50">
        <v>5</v>
      </c>
      <c r="M47" s="50">
        <v>18</v>
      </c>
      <c r="N47" s="50">
        <v>0</v>
      </c>
      <c r="O47" s="15">
        <f t="shared" si="0"/>
        <v>97</v>
      </c>
      <c r="P47" s="15">
        <f t="shared" si="1"/>
        <v>115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8</v>
      </c>
      <c r="E48" s="50">
        <v>6</v>
      </c>
      <c r="F48" s="50">
        <v>34</v>
      </c>
      <c r="G48" s="50">
        <v>0</v>
      </c>
      <c r="H48" s="50">
        <v>2</v>
      </c>
      <c r="I48" s="50">
        <v>15</v>
      </c>
      <c r="J48" s="50">
        <v>8</v>
      </c>
      <c r="K48" s="50">
        <v>0</v>
      </c>
      <c r="L48" s="50">
        <v>2</v>
      </c>
      <c r="M48" s="50">
        <v>21</v>
      </c>
      <c r="N48" s="50">
        <v>0</v>
      </c>
      <c r="O48" s="15">
        <f t="shared" si="0"/>
        <v>91</v>
      </c>
      <c r="P48" s="15">
        <f t="shared" si="1"/>
        <v>112</v>
      </c>
      <c r="R48" s="8"/>
      <c r="T48"/>
    </row>
    <row r="49" spans="2:20" ht="23.1" customHeight="1" x14ac:dyDescent="0.25">
      <c r="B49" s="23" t="s">
        <v>76</v>
      </c>
      <c r="C49" s="50">
        <v>18</v>
      </c>
      <c r="D49" s="50">
        <v>5</v>
      </c>
      <c r="E49" s="50">
        <v>3</v>
      </c>
      <c r="F49" s="50">
        <v>23</v>
      </c>
      <c r="G49" s="50">
        <v>1</v>
      </c>
      <c r="H49" s="50">
        <v>2</v>
      </c>
      <c r="I49" s="50">
        <v>8</v>
      </c>
      <c r="J49" s="50">
        <v>13</v>
      </c>
      <c r="K49" s="50">
        <v>11</v>
      </c>
      <c r="L49" s="50">
        <v>1</v>
      </c>
      <c r="M49" s="50">
        <v>17</v>
      </c>
      <c r="N49" s="50">
        <v>0</v>
      </c>
      <c r="O49" s="15">
        <f t="shared" si="0"/>
        <v>85</v>
      </c>
      <c r="P49" s="15">
        <f t="shared" si="1"/>
        <v>102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10</v>
      </c>
      <c r="E50" s="50">
        <v>3</v>
      </c>
      <c r="F50" s="50">
        <v>14</v>
      </c>
      <c r="G50" s="50">
        <v>1</v>
      </c>
      <c r="H50" s="50">
        <v>1</v>
      </c>
      <c r="I50" s="50">
        <v>11</v>
      </c>
      <c r="J50" s="50">
        <v>5</v>
      </c>
      <c r="K50" s="50">
        <v>5</v>
      </c>
      <c r="L50" s="50">
        <v>0</v>
      </c>
      <c r="M50" s="50">
        <v>13</v>
      </c>
      <c r="N50" s="50">
        <v>0</v>
      </c>
      <c r="O50" s="15">
        <f t="shared" si="0"/>
        <v>67</v>
      </c>
      <c r="P50" s="15">
        <f t="shared" si="1"/>
        <v>80</v>
      </c>
      <c r="R50" s="8"/>
      <c r="T50"/>
    </row>
    <row r="51" spans="2:20" ht="23.1" customHeight="1" x14ac:dyDescent="0.25">
      <c r="B51" s="24" t="s">
        <v>78</v>
      </c>
      <c r="C51" s="50">
        <v>21</v>
      </c>
      <c r="D51" s="50">
        <v>7</v>
      </c>
      <c r="E51" s="50">
        <v>3</v>
      </c>
      <c r="F51" s="50">
        <v>28</v>
      </c>
      <c r="G51" s="50">
        <v>1</v>
      </c>
      <c r="H51" s="50">
        <v>0</v>
      </c>
      <c r="I51" s="50">
        <v>13</v>
      </c>
      <c r="J51" s="50">
        <v>8</v>
      </c>
      <c r="K51" s="50">
        <v>1</v>
      </c>
      <c r="L51" s="50">
        <v>0</v>
      </c>
      <c r="M51" s="50">
        <v>17</v>
      </c>
      <c r="N51" s="50">
        <v>0</v>
      </c>
      <c r="O51" s="15">
        <f t="shared" si="0"/>
        <v>82</v>
      </c>
      <c r="P51" s="15">
        <f t="shared" si="1"/>
        <v>99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3</v>
      </c>
      <c r="E52" s="50">
        <v>3</v>
      </c>
      <c r="F52" s="50">
        <v>29</v>
      </c>
      <c r="G52" s="50">
        <v>2</v>
      </c>
      <c r="H52" s="50">
        <v>1</v>
      </c>
      <c r="I52" s="50">
        <v>8</v>
      </c>
      <c r="J52" s="50">
        <v>9</v>
      </c>
      <c r="K52" s="50">
        <v>0</v>
      </c>
      <c r="L52" s="50">
        <v>3</v>
      </c>
      <c r="M52" s="50">
        <v>23</v>
      </c>
      <c r="N52" s="50">
        <v>0</v>
      </c>
      <c r="O52" s="15">
        <f t="shared" si="0"/>
        <v>72</v>
      </c>
      <c r="P52" s="15">
        <f t="shared" si="1"/>
        <v>95</v>
      </c>
      <c r="R52" s="8"/>
      <c r="T52"/>
    </row>
    <row r="53" spans="2:20" ht="23.1" customHeight="1" x14ac:dyDescent="0.25">
      <c r="B53" s="23" t="s">
        <v>80</v>
      </c>
      <c r="C53" s="50">
        <v>20</v>
      </c>
      <c r="D53" s="50">
        <v>4</v>
      </c>
      <c r="E53" s="50">
        <v>6</v>
      </c>
      <c r="F53" s="50">
        <v>20</v>
      </c>
      <c r="G53" s="50">
        <v>1</v>
      </c>
      <c r="H53" s="50">
        <v>4</v>
      </c>
      <c r="I53" s="50">
        <v>11</v>
      </c>
      <c r="J53" s="50">
        <v>17</v>
      </c>
      <c r="K53" s="50">
        <v>2</v>
      </c>
      <c r="L53" s="50">
        <v>0</v>
      </c>
      <c r="M53" s="50">
        <v>20</v>
      </c>
      <c r="N53" s="50">
        <v>0</v>
      </c>
      <c r="O53" s="15">
        <f t="shared" si="0"/>
        <v>85</v>
      </c>
      <c r="P53" s="15">
        <f t="shared" si="1"/>
        <v>105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6</v>
      </c>
      <c r="E54" s="50">
        <v>5</v>
      </c>
      <c r="F54" s="50">
        <v>27</v>
      </c>
      <c r="G54" s="50">
        <v>1</v>
      </c>
      <c r="H54" s="50">
        <v>2</v>
      </c>
      <c r="I54" s="50">
        <v>13</v>
      </c>
      <c r="J54" s="50">
        <v>16</v>
      </c>
      <c r="K54" s="50">
        <v>5</v>
      </c>
      <c r="L54" s="50">
        <v>1</v>
      </c>
      <c r="M54" s="50">
        <v>18</v>
      </c>
      <c r="N54" s="50">
        <v>0</v>
      </c>
      <c r="O54" s="15">
        <f t="shared" si="0"/>
        <v>99</v>
      </c>
      <c r="P54" s="15">
        <f t="shared" si="1"/>
        <v>117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8</v>
      </c>
      <c r="E55" s="50">
        <v>3</v>
      </c>
      <c r="F55" s="50">
        <v>20</v>
      </c>
      <c r="G55" s="50">
        <v>2</v>
      </c>
      <c r="H55" s="50">
        <v>1</v>
      </c>
      <c r="I55" s="50">
        <v>8</v>
      </c>
      <c r="J55" s="50">
        <v>8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63</v>
      </c>
      <c r="P55" s="15">
        <f t="shared" si="1"/>
        <v>84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2</v>
      </c>
      <c r="E56" s="50">
        <v>6</v>
      </c>
      <c r="F56" s="50">
        <v>21</v>
      </c>
      <c r="G56" s="50">
        <v>0</v>
      </c>
      <c r="H56" s="50">
        <v>0</v>
      </c>
      <c r="I56" s="50">
        <v>9</v>
      </c>
      <c r="J56" s="50">
        <v>5</v>
      </c>
      <c r="K56" s="50">
        <v>2</v>
      </c>
      <c r="L56" s="50">
        <v>0</v>
      </c>
      <c r="M56" s="50">
        <v>28</v>
      </c>
      <c r="N56" s="50">
        <v>0</v>
      </c>
      <c r="O56" s="15">
        <f t="shared" si="0"/>
        <v>60</v>
      </c>
      <c r="P56" s="15">
        <f t="shared" si="1"/>
        <v>88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5</v>
      </c>
      <c r="E57" s="50">
        <v>1</v>
      </c>
      <c r="F57" s="50">
        <v>18</v>
      </c>
      <c r="G57" s="50">
        <v>1</v>
      </c>
      <c r="H57" s="50">
        <v>1</v>
      </c>
      <c r="I57" s="50">
        <v>13</v>
      </c>
      <c r="J57" s="50">
        <v>13</v>
      </c>
      <c r="K57" s="50">
        <v>2</v>
      </c>
      <c r="L57" s="50">
        <v>2</v>
      </c>
      <c r="M57" s="50">
        <v>13</v>
      </c>
      <c r="N57" s="50">
        <v>0</v>
      </c>
      <c r="O57" s="15">
        <f t="shared" si="0"/>
        <v>71</v>
      </c>
      <c r="P57" s="15">
        <f t="shared" si="1"/>
        <v>84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1220</v>
      </c>
      <c r="D58" s="16">
        <f t="shared" si="21"/>
        <v>292</v>
      </c>
      <c r="E58" s="16">
        <f t="shared" si="21"/>
        <v>216</v>
      </c>
      <c r="F58" s="16">
        <f t="shared" si="21"/>
        <v>1132</v>
      </c>
      <c r="G58" s="16">
        <f t="shared" si="21"/>
        <v>64</v>
      </c>
      <c r="H58" s="16">
        <f t="shared" si="21"/>
        <v>58</v>
      </c>
      <c r="I58" s="16">
        <f t="shared" si="21"/>
        <v>571</v>
      </c>
      <c r="J58" s="16">
        <f t="shared" si="21"/>
        <v>396</v>
      </c>
      <c r="K58" s="16">
        <f t="shared" si="21"/>
        <v>119</v>
      </c>
      <c r="L58" s="16">
        <f t="shared" si="21"/>
        <v>75</v>
      </c>
      <c r="M58" s="16">
        <f t="shared" si="21"/>
        <v>1023</v>
      </c>
      <c r="N58" s="16">
        <f t="shared" si="21"/>
        <v>0</v>
      </c>
      <c r="O58" s="16">
        <f t="shared" si="21"/>
        <v>4143</v>
      </c>
      <c r="P58" s="16">
        <f t="shared" si="21"/>
        <v>5166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0.23615950445218739</v>
      </c>
      <c r="D59" s="43">
        <f t="shared" si="22"/>
        <v>5.6523422377080912E-2</v>
      </c>
      <c r="E59" s="43">
        <f t="shared" si="22"/>
        <v>4.1811846689895474E-2</v>
      </c>
      <c r="F59" s="43">
        <f t="shared" si="22"/>
        <v>0.21912504839334107</v>
      </c>
      <c r="G59" s="43">
        <f t="shared" si="22"/>
        <v>1.2388695315524584E-2</v>
      </c>
      <c r="H59" s="43">
        <f t="shared" si="22"/>
        <v>1.1227255129694155E-2</v>
      </c>
      <c r="I59" s="43">
        <f t="shared" si="22"/>
        <v>0.11053039101819589</v>
      </c>
      <c r="J59" s="43">
        <f t="shared" si="22"/>
        <v>7.6655052264808357E-2</v>
      </c>
      <c r="K59" s="43">
        <f t="shared" si="22"/>
        <v>2.3035230352303523E-2</v>
      </c>
      <c r="L59" s="43">
        <f t="shared" si="22"/>
        <v>1.4518002322880372E-2</v>
      </c>
      <c r="M59" s="43">
        <f t="shared" si="22"/>
        <v>0.19802555168408828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0.29447260439295198</v>
      </c>
      <c r="D60" s="44">
        <f t="shared" ref="D60:N60" si="23">D58/$O$58</f>
        <v>7.0480328264542605E-2</v>
      </c>
      <c r="E60" s="44">
        <f t="shared" si="23"/>
        <v>5.213613323678494E-2</v>
      </c>
      <c r="F60" s="44">
        <f t="shared" si="23"/>
        <v>0.27323195751870627</v>
      </c>
      <c r="G60" s="44">
        <f t="shared" si="23"/>
        <v>1.5447743181269612E-2</v>
      </c>
      <c r="H60" s="44">
        <f t="shared" si="23"/>
        <v>1.3999517258025585E-2</v>
      </c>
      <c r="I60" s="44">
        <f t="shared" si="23"/>
        <v>0.13782283369538981</v>
      </c>
      <c r="J60" s="44">
        <f t="shared" si="23"/>
        <v>9.5582910934105716E-2</v>
      </c>
      <c r="K60" s="44">
        <f t="shared" si="23"/>
        <v>2.8723147477673183E-2</v>
      </c>
      <c r="L60" s="44">
        <f t="shared" si="23"/>
        <v>1.8102824040550327E-2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/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'28.10 Masaka-Maya'!G5:H5</f>
        <v>Maya</v>
      </c>
      <c r="H5" s="67"/>
      <c r="I5" s="14"/>
      <c r="J5" s="2" t="s">
        <v>5</v>
      </c>
      <c r="K5" s="66" t="str">
        <f>'28.10 Masaka-Maya'!K5:L5</f>
        <v>Kato joseph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'28.10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1</v>
      </c>
      <c r="E10" s="50">
        <v>2</v>
      </c>
      <c r="F10" s="50">
        <v>17</v>
      </c>
      <c r="G10" s="50">
        <v>0</v>
      </c>
      <c r="H10" s="50">
        <v>3</v>
      </c>
      <c r="I10" s="50">
        <v>12</v>
      </c>
      <c r="J10" s="50">
        <v>4</v>
      </c>
      <c r="K10" s="50">
        <v>0</v>
      </c>
      <c r="L10" s="50">
        <v>2</v>
      </c>
      <c r="M10" s="50">
        <v>27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84</v>
      </c>
      <c r="R10" s="1" t="s">
        <v>6</v>
      </c>
      <c r="S10" s="17">
        <f t="shared" ref="S10:AF10" si="2">SUM(C10:C13)</f>
        <v>55</v>
      </c>
      <c r="T10" s="17">
        <f t="shared" si="2"/>
        <v>7</v>
      </c>
      <c r="U10" s="17">
        <f t="shared" si="2"/>
        <v>8</v>
      </c>
      <c r="V10" s="17">
        <f t="shared" si="2"/>
        <v>80</v>
      </c>
      <c r="W10" s="17">
        <f t="shared" si="2"/>
        <v>2</v>
      </c>
      <c r="X10" s="17">
        <f t="shared" si="2"/>
        <v>7</v>
      </c>
      <c r="Y10" s="17">
        <f t="shared" si="2"/>
        <v>32</v>
      </c>
      <c r="Z10" s="17">
        <f t="shared" si="2"/>
        <v>8</v>
      </c>
      <c r="AA10" s="17">
        <f t="shared" si="2"/>
        <v>1</v>
      </c>
      <c r="AB10" s="17">
        <f t="shared" si="2"/>
        <v>17</v>
      </c>
      <c r="AC10" s="17">
        <f t="shared" si="2"/>
        <v>106</v>
      </c>
      <c r="AD10" s="17">
        <f t="shared" si="2"/>
        <v>0</v>
      </c>
      <c r="AE10" s="31">
        <f t="shared" si="2"/>
        <v>217</v>
      </c>
      <c r="AF10" s="31">
        <f t="shared" si="2"/>
        <v>323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2</v>
      </c>
      <c r="E11" s="50">
        <v>4</v>
      </c>
      <c r="F11" s="50">
        <v>18</v>
      </c>
      <c r="G11" s="50">
        <v>1</v>
      </c>
      <c r="H11" s="50">
        <v>1</v>
      </c>
      <c r="I11" s="50">
        <v>6</v>
      </c>
      <c r="J11" s="50">
        <v>1</v>
      </c>
      <c r="K11" s="50">
        <v>0</v>
      </c>
      <c r="L11" s="50">
        <v>5</v>
      </c>
      <c r="M11" s="50">
        <v>21</v>
      </c>
      <c r="N11" s="50">
        <v>0</v>
      </c>
      <c r="O11" s="15">
        <f t="shared" si="0"/>
        <v>51</v>
      </c>
      <c r="P11" s="15">
        <f t="shared" si="1"/>
        <v>72</v>
      </c>
      <c r="R11" s="1" t="s">
        <v>7</v>
      </c>
      <c r="S11" s="17">
        <f t="shared" ref="S11:AF11" si="3">SUM(C14:C17)</f>
        <v>47</v>
      </c>
      <c r="T11" s="17">
        <f t="shared" si="3"/>
        <v>7</v>
      </c>
      <c r="U11" s="17">
        <f t="shared" si="3"/>
        <v>8</v>
      </c>
      <c r="V11" s="17">
        <f t="shared" si="3"/>
        <v>83</v>
      </c>
      <c r="W11" s="17">
        <f t="shared" si="3"/>
        <v>0</v>
      </c>
      <c r="X11" s="17">
        <f t="shared" si="3"/>
        <v>1</v>
      </c>
      <c r="Y11" s="17">
        <f t="shared" si="3"/>
        <v>42</v>
      </c>
      <c r="Z11" s="17">
        <f t="shared" si="3"/>
        <v>9</v>
      </c>
      <c r="AA11" s="17">
        <f t="shared" si="3"/>
        <v>0</v>
      </c>
      <c r="AB11" s="17">
        <f t="shared" si="3"/>
        <v>12</v>
      </c>
      <c r="AC11" s="17">
        <f t="shared" si="3"/>
        <v>91</v>
      </c>
      <c r="AD11" s="17">
        <f t="shared" si="3"/>
        <v>0</v>
      </c>
      <c r="AE11" s="31">
        <f t="shared" si="3"/>
        <v>209</v>
      </c>
      <c r="AF11" s="31">
        <f t="shared" si="3"/>
        <v>300</v>
      </c>
    </row>
    <row r="12" spans="2:32" ht="23.1" customHeight="1" x14ac:dyDescent="0.25">
      <c r="B12" s="23" t="s">
        <v>39</v>
      </c>
      <c r="C12" s="50">
        <v>10</v>
      </c>
      <c r="D12" s="50">
        <v>1</v>
      </c>
      <c r="E12" s="50">
        <v>1</v>
      </c>
      <c r="F12" s="50">
        <v>17</v>
      </c>
      <c r="G12" s="50">
        <v>1</v>
      </c>
      <c r="H12" s="50">
        <v>1</v>
      </c>
      <c r="I12" s="50">
        <v>7</v>
      </c>
      <c r="J12" s="50">
        <v>0</v>
      </c>
      <c r="K12" s="50">
        <v>1</v>
      </c>
      <c r="L12" s="50">
        <v>2</v>
      </c>
      <c r="M12" s="50">
        <v>27</v>
      </c>
      <c r="N12" s="50">
        <v>0</v>
      </c>
      <c r="O12" s="15">
        <f t="shared" si="0"/>
        <v>41</v>
      </c>
      <c r="P12" s="15">
        <f t="shared" si="1"/>
        <v>68</v>
      </c>
      <c r="R12" s="1" t="s">
        <v>8</v>
      </c>
      <c r="S12" s="17">
        <f t="shared" ref="S12:AF12" si="4">SUM(C18:C21)</f>
        <v>57</v>
      </c>
      <c r="T12" s="17">
        <f t="shared" si="4"/>
        <v>6</v>
      </c>
      <c r="U12" s="17">
        <f t="shared" si="4"/>
        <v>12</v>
      </c>
      <c r="V12" s="17">
        <f t="shared" si="4"/>
        <v>104</v>
      </c>
      <c r="W12" s="17">
        <f t="shared" si="4"/>
        <v>2</v>
      </c>
      <c r="X12" s="17">
        <f t="shared" si="4"/>
        <v>2</v>
      </c>
      <c r="Y12" s="17">
        <f t="shared" si="4"/>
        <v>41</v>
      </c>
      <c r="Z12" s="17">
        <f t="shared" si="4"/>
        <v>7</v>
      </c>
      <c r="AA12" s="17">
        <f t="shared" si="4"/>
        <v>1</v>
      </c>
      <c r="AB12" s="17">
        <f t="shared" si="4"/>
        <v>14</v>
      </c>
      <c r="AC12" s="17">
        <f t="shared" si="4"/>
        <v>103</v>
      </c>
      <c r="AD12" s="17">
        <f t="shared" si="4"/>
        <v>0</v>
      </c>
      <c r="AE12" s="31">
        <f t="shared" si="4"/>
        <v>246</v>
      </c>
      <c r="AF12" s="31">
        <f t="shared" si="4"/>
        <v>349</v>
      </c>
    </row>
    <row r="13" spans="2:32" ht="23.1" customHeight="1" x14ac:dyDescent="0.25">
      <c r="B13" s="23" t="s">
        <v>40</v>
      </c>
      <c r="C13" s="50">
        <v>16</v>
      </c>
      <c r="D13" s="50">
        <v>3</v>
      </c>
      <c r="E13" s="50">
        <v>1</v>
      </c>
      <c r="F13" s="50">
        <v>28</v>
      </c>
      <c r="G13" s="50">
        <v>0</v>
      </c>
      <c r="H13" s="50">
        <v>2</v>
      </c>
      <c r="I13" s="50">
        <v>7</v>
      </c>
      <c r="J13" s="50">
        <v>3</v>
      </c>
      <c r="K13" s="50">
        <v>0</v>
      </c>
      <c r="L13" s="50">
        <v>8</v>
      </c>
      <c r="M13" s="50">
        <v>31</v>
      </c>
      <c r="N13" s="50">
        <v>0</v>
      </c>
      <c r="O13" s="15">
        <f t="shared" si="0"/>
        <v>68</v>
      </c>
      <c r="P13" s="15">
        <f t="shared" si="1"/>
        <v>99</v>
      </c>
      <c r="R13" s="1" t="s">
        <v>9</v>
      </c>
      <c r="S13" s="17">
        <f t="shared" ref="S13:AF13" si="5">SUM(C22:C25)</f>
        <v>57</v>
      </c>
      <c r="T13" s="17">
        <f t="shared" si="5"/>
        <v>13</v>
      </c>
      <c r="U13" s="17">
        <f t="shared" si="5"/>
        <v>13</v>
      </c>
      <c r="V13" s="17">
        <f t="shared" si="5"/>
        <v>79</v>
      </c>
      <c r="W13" s="17">
        <f t="shared" si="5"/>
        <v>3</v>
      </c>
      <c r="X13" s="17">
        <f t="shared" si="5"/>
        <v>2</v>
      </c>
      <c r="Y13" s="17">
        <f t="shared" si="5"/>
        <v>48</v>
      </c>
      <c r="Z13" s="17">
        <f t="shared" si="5"/>
        <v>3</v>
      </c>
      <c r="AA13" s="17">
        <f t="shared" si="5"/>
        <v>3</v>
      </c>
      <c r="AB13" s="17">
        <f t="shared" si="5"/>
        <v>5</v>
      </c>
      <c r="AC13" s="17">
        <f t="shared" si="5"/>
        <v>99</v>
      </c>
      <c r="AD13" s="17">
        <f t="shared" si="5"/>
        <v>0</v>
      </c>
      <c r="AE13" s="31">
        <f t="shared" si="5"/>
        <v>226</v>
      </c>
      <c r="AF13" s="31">
        <f t="shared" si="5"/>
        <v>325</v>
      </c>
    </row>
    <row r="14" spans="2:32" ht="23.1" customHeight="1" x14ac:dyDescent="0.25">
      <c r="B14" s="23" t="s">
        <v>41</v>
      </c>
      <c r="C14" s="50">
        <v>9</v>
      </c>
      <c r="D14" s="50">
        <v>2</v>
      </c>
      <c r="E14" s="50">
        <v>4</v>
      </c>
      <c r="F14" s="50">
        <v>22</v>
      </c>
      <c r="G14" s="50">
        <v>0</v>
      </c>
      <c r="H14" s="50">
        <v>0</v>
      </c>
      <c r="I14" s="50">
        <v>11</v>
      </c>
      <c r="J14" s="50">
        <v>1</v>
      </c>
      <c r="K14" s="50">
        <v>0</v>
      </c>
      <c r="L14" s="50">
        <v>3</v>
      </c>
      <c r="M14" s="50">
        <v>24</v>
      </c>
      <c r="N14" s="50">
        <v>0</v>
      </c>
      <c r="O14" s="15">
        <f t="shared" si="0"/>
        <v>52</v>
      </c>
      <c r="P14" s="15">
        <f t="shared" si="1"/>
        <v>76</v>
      </c>
      <c r="R14" s="1" t="s">
        <v>10</v>
      </c>
      <c r="S14" s="17">
        <f t="shared" ref="S14:AF14" si="6">SUM(C26:C29)</f>
        <v>65</v>
      </c>
      <c r="T14" s="17">
        <f t="shared" si="6"/>
        <v>14</v>
      </c>
      <c r="U14" s="17">
        <f t="shared" si="6"/>
        <v>8</v>
      </c>
      <c r="V14" s="17">
        <f t="shared" si="6"/>
        <v>86</v>
      </c>
      <c r="W14" s="17">
        <f t="shared" si="6"/>
        <v>0</v>
      </c>
      <c r="X14" s="17">
        <f t="shared" si="6"/>
        <v>3</v>
      </c>
      <c r="Y14" s="17">
        <f t="shared" si="6"/>
        <v>48</v>
      </c>
      <c r="Z14" s="17">
        <f t="shared" si="6"/>
        <v>6</v>
      </c>
      <c r="AA14" s="17">
        <f t="shared" si="6"/>
        <v>3</v>
      </c>
      <c r="AB14" s="17">
        <f t="shared" si="6"/>
        <v>7</v>
      </c>
      <c r="AC14" s="17">
        <f t="shared" si="6"/>
        <v>89</v>
      </c>
      <c r="AD14" s="17">
        <f t="shared" si="6"/>
        <v>0</v>
      </c>
      <c r="AE14" s="31">
        <f t="shared" si="6"/>
        <v>240</v>
      </c>
      <c r="AF14" s="31">
        <f t="shared" si="6"/>
        <v>329</v>
      </c>
    </row>
    <row r="15" spans="2:32" ht="23.1" customHeight="1" x14ac:dyDescent="0.25">
      <c r="B15" s="23" t="s">
        <v>42</v>
      </c>
      <c r="C15" s="50">
        <v>14</v>
      </c>
      <c r="D15" s="50">
        <v>3</v>
      </c>
      <c r="E15" s="50">
        <v>2</v>
      </c>
      <c r="F15" s="50">
        <v>23</v>
      </c>
      <c r="G15" s="50">
        <v>0</v>
      </c>
      <c r="H15" s="50">
        <v>0</v>
      </c>
      <c r="I15" s="50">
        <v>12</v>
      </c>
      <c r="J15" s="50">
        <v>4</v>
      </c>
      <c r="K15" s="50">
        <v>0</v>
      </c>
      <c r="L15" s="50">
        <v>4</v>
      </c>
      <c r="M15" s="50">
        <v>25</v>
      </c>
      <c r="N15" s="50">
        <v>0</v>
      </c>
      <c r="O15" s="15">
        <f t="shared" si="0"/>
        <v>62</v>
      </c>
      <c r="P15" s="15">
        <f t="shared" si="1"/>
        <v>87</v>
      </c>
      <c r="R15" s="1" t="s">
        <v>11</v>
      </c>
      <c r="S15" s="17">
        <f t="shared" ref="S15:AF15" si="7">SUM(C30:C33)</f>
        <v>78</v>
      </c>
      <c r="T15" s="17">
        <f t="shared" si="7"/>
        <v>8</v>
      </c>
      <c r="U15" s="17">
        <f t="shared" si="7"/>
        <v>21</v>
      </c>
      <c r="V15" s="17">
        <f t="shared" si="7"/>
        <v>63</v>
      </c>
      <c r="W15" s="17">
        <f t="shared" si="7"/>
        <v>2</v>
      </c>
      <c r="X15" s="17">
        <f t="shared" si="7"/>
        <v>10</v>
      </c>
      <c r="Y15" s="17">
        <f t="shared" si="7"/>
        <v>45</v>
      </c>
      <c r="Z15" s="17">
        <f t="shared" si="7"/>
        <v>1</v>
      </c>
      <c r="AA15" s="17">
        <f t="shared" si="7"/>
        <v>1</v>
      </c>
      <c r="AB15" s="17">
        <f t="shared" si="7"/>
        <v>7</v>
      </c>
      <c r="AC15" s="17">
        <f t="shared" si="7"/>
        <v>70</v>
      </c>
      <c r="AD15" s="17">
        <f t="shared" si="7"/>
        <v>0</v>
      </c>
      <c r="AE15" s="31">
        <f t="shared" si="7"/>
        <v>236</v>
      </c>
      <c r="AF15" s="31">
        <f t="shared" si="7"/>
        <v>306</v>
      </c>
    </row>
    <row r="16" spans="2:32" ht="23.1" customHeight="1" x14ac:dyDescent="0.25">
      <c r="B16" s="23" t="s">
        <v>43</v>
      </c>
      <c r="C16" s="50">
        <v>11</v>
      </c>
      <c r="D16" s="50">
        <v>1</v>
      </c>
      <c r="E16" s="50">
        <v>2</v>
      </c>
      <c r="F16" s="50">
        <v>14</v>
      </c>
      <c r="G16" s="50">
        <v>0</v>
      </c>
      <c r="H16" s="50">
        <v>1</v>
      </c>
      <c r="I16" s="50">
        <v>9</v>
      </c>
      <c r="J16" s="50">
        <v>3</v>
      </c>
      <c r="K16" s="50">
        <v>0</v>
      </c>
      <c r="L16" s="50">
        <v>3</v>
      </c>
      <c r="M16" s="50">
        <v>21</v>
      </c>
      <c r="N16" s="50">
        <v>0</v>
      </c>
      <c r="O16" s="15">
        <f t="shared" si="0"/>
        <v>44</v>
      </c>
      <c r="P16" s="15">
        <f t="shared" si="1"/>
        <v>65</v>
      </c>
      <c r="R16" s="1" t="s">
        <v>12</v>
      </c>
      <c r="S16" s="17">
        <f t="shared" ref="S16:AF16" si="8">SUM(C34:C37)</f>
        <v>59</v>
      </c>
      <c r="T16" s="17">
        <f t="shared" si="8"/>
        <v>18</v>
      </c>
      <c r="U16" s="17">
        <f t="shared" si="8"/>
        <v>29</v>
      </c>
      <c r="V16" s="17">
        <f t="shared" si="8"/>
        <v>59</v>
      </c>
      <c r="W16" s="17">
        <f t="shared" si="8"/>
        <v>2</v>
      </c>
      <c r="X16" s="17">
        <f t="shared" si="8"/>
        <v>5</v>
      </c>
      <c r="Y16" s="17">
        <f t="shared" si="8"/>
        <v>36</v>
      </c>
      <c r="Z16" s="17">
        <f t="shared" si="8"/>
        <v>5</v>
      </c>
      <c r="AA16" s="17">
        <f t="shared" si="8"/>
        <v>2</v>
      </c>
      <c r="AB16" s="17">
        <f t="shared" si="8"/>
        <v>12</v>
      </c>
      <c r="AC16" s="17">
        <f t="shared" si="8"/>
        <v>49</v>
      </c>
      <c r="AD16" s="17">
        <f t="shared" si="8"/>
        <v>0</v>
      </c>
      <c r="AE16" s="31">
        <f t="shared" si="8"/>
        <v>227</v>
      </c>
      <c r="AF16" s="31">
        <f t="shared" si="8"/>
        <v>276</v>
      </c>
    </row>
    <row r="17" spans="2:32" ht="23.1" customHeight="1" x14ac:dyDescent="0.25">
      <c r="B17" s="23" t="s">
        <v>44</v>
      </c>
      <c r="C17" s="50">
        <v>13</v>
      </c>
      <c r="D17" s="50">
        <v>1</v>
      </c>
      <c r="E17" s="50">
        <v>0</v>
      </c>
      <c r="F17" s="50">
        <v>24</v>
      </c>
      <c r="G17" s="50">
        <v>0</v>
      </c>
      <c r="H17" s="50">
        <v>0</v>
      </c>
      <c r="I17" s="50">
        <v>10</v>
      </c>
      <c r="J17" s="50">
        <v>1</v>
      </c>
      <c r="K17" s="50">
        <v>0</v>
      </c>
      <c r="L17" s="50">
        <v>2</v>
      </c>
      <c r="M17" s="50">
        <v>21</v>
      </c>
      <c r="N17" s="50">
        <v>0</v>
      </c>
      <c r="O17" s="15">
        <f t="shared" si="0"/>
        <v>51</v>
      </c>
      <c r="P17" s="15">
        <f t="shared" si="1"/>
        <v>72</v>
      </c>
      <c r="R17" s="1" t="s">
        <v>13</v>
      </c>
      <c r="S17" s="17">
        <f t="shared" ref="S17:AF17" si="9">SUM(C38:C41)</f>
        <v>83</v>
      </c>
      <c r="T17" s="17">
        <f t="shared" si="9"/>
        <v>13</v>
      </c>
      <c r="U17" s="17">
        <f t="shared" si="9"/>
        <v>20</v>
      </c>
      <c r="V17" s="17">
        <f t="shared" si="9"/>
        <v>62</v>
      </c>
      <c r="W17" s="17">
        <f t="shared" si="9"/>
        <v>3</v>
      </c>
      <c r="X17" s="17">
        <f t="shared" si="9"/>
        <v>6</v>
      </c>
      <c r="Y17" s="17">
        <f t="shared" si="9"/>
        <v>46</v>
      </c>
      <c r="Z17" s="17">
        <f t="shared" si="9"/>
        <v>2</v>
      </c>
      <c r="AA17" s="17">
        <f t="shared" si="9"/>
        <v>2</v>
      </c>
      <c r="AB17" s="17">
        <f t="shared" si="9"/>
        <v>9</v>
      </c>
      <c r="AC17" s="17">
        <f t="shared" si="9"/>
        <v>49</v>
      </c>
      <c r="AD17" s="17">
        <f t="shared" si="9"/>
        <v>0</v>
      </c>
      <c r="AE17" s="31">
        <f t="shared" si="9"/>
        <v>246</v>
      </c>
      <c r="AF17" s="31">
        <f t="shared" si="9"/>
        <v>295</v>
      </c>
    </row>
    <row r="18" spans="2:32" ht="23.1" customHeight="1" x14ac:dyDescent="0.25">
      <c r="B18" s="23" t="s">
        <v>45</v>
      </c>
      <c r="C18" s="50">
        <v>10</v>
      </c>
      <c r="D18" s="50">
        <v>0</v>
      </c>
      <c r="E18" s="50">
        <v>2</v>
      </c>
      <c r="F18" s="50">
        <v>28</v>
      </c>
      <c r="G18" s="50">
        <v>0</v>
      </c>
      <c r="H18" s="50">
        <v>1</v>
      </c>
      <c r="I18" s="50">
        <v>9</v>
      </c>
      <c r="J18" s="50">
        <v>5</v>
      </c>
      <c r="K18" s="50">
        <v>0</v>
      </c>
      <c r="L18" s="50">
        <v>7</v>
      </c>
      <c r="M18" s="50">
        <v>28</v>
      </c>
      <c r="N18" s="50">
        <v>0</v>
      </c>
      <c r="O18" s="15">
        <f t="shared" si="0"/>
        <v>62</v>
      </c>
      <c r="P18" s="15">
        <f t="shared" si="1"/>
        <v>90</v>
      </c>
      <c r="R18" s="1" t="s">
        <v>14</v>
      </c>
      <c r="S18" s="17">
        <f t="shared" ref="S18:AF18" si="10">SUM(C42:C45)</f>
        <v>95</v>
      </c>
      <c r="T18" s="17">
        <f t="shared" si="10"/>
        <v>25</v>
      </c>
      <c r="U18" s="17">
        <f t="shared" si="10"/>
        <v>24</v>
      </c>
      <c r="V18" s="17">
        <f t="shared" si="10"/>
        <v>76</v>
      </c>
      <c r="W18" s="17">
        <f t="shared" si="10"/>
        <v>2</v>
      </c>
      <c r="X18" s="17">
        <f t="shared" si="10"/>
        <v>7</v>
      </c>
      <c r="Y18" s="17">
        <f t="shared" si="10"/>
        <v>48</v>
      </c>
      <c r="Z18" s="17">
        <f t="shared" si="10"/>
        <v>9</v>
      </c>
      <c r="AA18" s="17">
        <f t="shared" si="10"/>
        <v>4</v>
      </c>
      <c r="AB18" s="17">
        <f t="shared" si="10"/>
        <v>10</v>
      </c>
      <c r="AC18" s="17">
        <f t="shared" si="10"/>
        <v>88</v>
      </c>
      <c r="AD18" s="17">
        <f t="shared" si="10"/>
        <v>0</v>
      </c>
      <c r="AE18" s="31">
        <f t="shared" si="10"/>
        <v>300</v>
      </c>
      <c r="AF18" s="31">
        <f t="shared" si="10"/>
        <v>388</v>
      </c>
    </row>
    <row r="19" spans="2:32" ht="23.1" customHeight="1" x14ac:dyDescent="0.25">
      <c r="B19" s="23" t="s">
        <v>46</v>
      </c>
      <c r="C19" s="50">
        <v>12</v>
      </c>
      <c r="D19" s="50">
        <v>1</v>
      </c>
      <c r="E19" s="50">
        <v>2</v>
      </c>
      <c r="F19" s="50">
        <v>28</v>
      </c>
      <c r="G19" s="50">
        <v>2</v>
      </c>
      <c r="H19" s="50">
        <v>0</v>
      </c>
      <c r="I19" s="50">
        <v>11</v>
      </c>
      <c r="J19" s="50">
        <v>1</v>
      </c>
      <c r="K19" s="50">
        <v>0</v>
      </c>
      <c r="L19" s="50">
        <v>4</v>
      </c>
      <c r="M19" s="50">
        <v>24</v>
      </c>
      <c r="N19" s="50">
        <v>0</v>
      </c>
      <c r="O19" s="15">
        <f t="shared" si="0"/>
        <v>61</v>
      </c>
      <c r="P19" s="15">
        <f t="shared" si="1"/>
        <v>85</v>
      </c>
      <c r="R19" s="1" t="s">
        <v>15</v>
      </c>
      <c r="S19" s="17">
        <f t="shared" ref="S19:AF19" si="11">SUM(C46:C49)</f>
        <v>120</v>
      </c>
      <c r="T19" s="17">
        <f t="shared" si="11"/>
        <v>29</v>
      </c>
      <c r="U19" s="17">
        <f t="shared" si="11"/>
        <v>30</v>
      </c>
      <c r="V19" s="17">
        <f t="shared" si="11"/>
        <v>83</v>
      </c>
      <c r="W19" s="17">
        <f t="shared" si="11"/>
        <v>3</v>
      </c>
      <c r="X19" s="17">
        <f t="shared" si="11"/>
        <v>7</v>
      </c>
      <c r="Y19" s="17">
        <f t="shared" si="11"/>
        <v>72</v>
      </c>
      <c r="Z19" s="17">
        <f t="shared" si="11"/>
        <v>8</v>
      </c>
      <c r="AA19" s="17">
        <f t="shared" si="11"/>
        <v>7</v>
      </c>
      <c r="AB19" s="17">
        <f t="shared" si="11"/>
        <v>16</v>
      </c>
      <c r="AC19" s="17">
        <f t="shared" si="11"/>
        <v>103</v>
      </c>
      <c r="AD19" s="17">
        <f t="shared" si="11"/>
        <v>0</v>
      </c>
      <c r="AE19" s="31">
        <f t="shared" si="11"/>
        <v>375</v>
      </c>
      <c r="AF19" s="31">
        <f t="shared" si="11"/>
        <v>478</v>
      </c>
    </row>
    <row r="20" spans="2:32" ht="23.1" customHeight="1" x14ac:dyDescent="0.25">
      <c r="B20" s="23" t="s">
        <v>47</v>
      </c>
      <c r="C20" s="50">
        <v>17</v>
      </c>
      <c r="D20" s="50">
        <v>2</v>
      </c>
      <c r="E20" s="50">
        <v>4</v>
      </c>
      <c r="F20" s="50">
        <v>24</v>
      </c>
      <c r="G20" s="50">
        <v>0</v>
      </c>
      <c r="H20" s="50">
        <v>0</v>
      </c>
      <c r="I20" s="50">
        <v>9</v>
      </c>
      <c r="J20" s="50">
        <v>1</v>
      </c>
      <c r="K20" s="50">
        <v>1</v>
      </c>
      <c r="L20" s="50">
        <v>2</v>
      </c>
      <c r="M20" s="50">
        <v>17</v>
      </c>
      <c r="N20" s="50">
        <v>0</v>
      </c>
      <c r="O20" s="15">
        <f t="shared" si="0"/>
        <v>60</v>
      </c>
      <c r="P20" s="15">
        <f t="shared" si="1"/>
        <v>77</v>
      </c>
      <c r="R20" s="1" t="s">
        <v>16</v>
      </c>
      <c r="S20" s="17">
        <f t="shared" ref="S20:AF20" si="12">SUM(C50:C53)</f>
        <v>172</v>
      </c>
      <c r="T20" s="17">
        <f t="shared" si="12"/>
        <v>45</v>
      </c>
      <c r="U20" s="17">
        <f t="shared" si="12"/>
        <v>24</v>
      </c>
      <c r="V20" s="17">
        <f t="shared" si="12"/>
        <v>92</v>
      </c>
      <c r="W20" s="17">
        <f t="shared" si="12"/>
        <v>11</v>
      </c>
      <c r="X20" s="17">
        <f t="shared" si="12"/>
        <v>8</v>
      </c>
      <c r="Y20" s="17">
        <f t="shared" si="12"/>
        <v>71</v>
      </c>
      <c r="Z20" s="17">
        <f t="shared" si="12"/>
        <v>6</v>
      </c>
      <c r="AA20" s="17">
        <f t="shared" si="12"/>
        <v>3</v>
      </c>
      <c r="AB20" s="17">
        <f t="shared" si="12"/>
        <v>15</v>
      </c>
      <c r="AC20" s="17">
        <f t="shared" si="12"/>
        <v>126</v>
      </c>
      <c r="AD20" s="17">
        <f t="shared" si="12"/>
        <v>0</v>
      </c>
      <c r="AE20" s="31">
        <f t="shared" si="12"/>
        <v>447</v>
      </c>
      <c r="AF20" s="31">
        <f t="shared" si="12"/>
        <v>573</v>
      </c>
    </row>
    <row r="21" spans="2:32" ht="23.1" customHeight="1" x14ac:dyDescent="0.25">
      <c r="B21" s="23" t="s">
        <v>48</v>
      </c>
      <c r="C21" s="50">
        <v>18</v>
      </c>
      <c r="D21" s="50">
        <v>3</v>
      </c>
      <c r="E21" s="50">
        <v>4</v>
      </c>
      <c r="F21" s="50">
        <v>24</v>
      </c>
      <c r="G21" s="50">
        <v>0</v>
      </c>
      <c r="H21" s="50">
        <v>1</v>
      </c>
      <c r="I21" s="50">
        <v>12</v>
      </c>
      <c r="J21" s="50">
        <v>0</v>
      </c>
      <c r="K21" s="50">
        <v>0</v>
      </c>
      <c r="L21" s="50">
        <v>1</v>
      </c>
      <c r="M21" s="50">
        <v>34</v>
      </c>
      <c r="N21" s="50">
        <v>0</v>
      </c>
      <c r="O21" s="15">
        <f t="shared" si="0"/>
        <v>63</v>
      </c>
      <c r="P21" s="15">
        <f t="shared" si="1"/>
        <v>97</v>
      </c>
      <c r="R21" s="36" t="s">
        <v>20</v>
      </c>
      <c r="S21" s="34">
        <f t="shared" ref="S21:AF21" si="13">SUM(C54:C57)</f>
        <v>225</v>
      </c>
      <c r="T21" s="17">
        <f t="shared" si="13"/>
        <v>42</v>
      </c>
      <c r="U21" s="17">
        <f t="shared" si="13"/>
        <v>34</v>
      </c>
      <c r="V21" s="17">
        <f t="shared" si="13"/>
        <v>138</v>
      </c>
      <c r="W21" s="17">
        <f t="shared" si="13"/>
        <v>20</v>
      </c>
      <c r="X21" s="17">
        <f t="shared" si="13"/>
        <v>6</v>
      </c>
      <c r="Y21" s="17">
        <f t="shared" si="13"/>
        <v>73</v>
      </c>
      <c r="Z21" s="17">
        <f t="shared" si="13"/>
        <v>6</v>
      </c>
      <c r="AA21" s="17">
        <f t="shared" si="13"/>
        <v>9</v>
      </c>
      <c r="AB21" s="17">
        <f t="shared" si="13"/>
        <v>14</v>
      </c>
      <c r="AC21" s="17">
        <f t="shared" si="13"/>
        <v>126</v>
      </c>
      <c r="AD21" s="17">
        <f t="shared" si="13"/>
        <v>0</v>
      </c>
      <c r="AE21" s="31">
        <f t="shared" si="13"/>
        <v>567</v>
      </c>
      <c r="AF21" s="31">
        <f t="shared" si="13"/>
        <v>693</v>
      </c>
    </row>
    <row r="22" spans="2:32" ht="23.1" customHeight="1" x14ac:dyDescent="0.25">
      <c r="B22" s="23" t="s">
        <v>49</v>
      </c>
      <c r="C22" s="50">
        <v>18</v>
      </c>
      <c r="D22" s="50">
        <v>4</v>
      </c>
      <c r="E22" s="50">
        <v>2</v>
      </c>
      <c r="F22" s="50">
        <v>15</v>
      </c>
      <c r="G22" s="50">
        <v>0</v>
      </c>
      <c r="H22" s="50">
        <v>1</v>
      </c>
      <c r="I22" s="50">
        <v>13</v>
      </c>
      <c r="J22" s="50">
        <v>1</v>
      </c>
      <c r="K22" s="50">
        <v>0</v>
      </c>
      <c r="L22" s="50">
        <v>2</v>
      </c>
      <c r="M22" s="50">
        <v>24</v>
      </c>
      <c r="N22" s="50">
        <v>0</v>
      </c>
      <c r="O22" s="15">
        <f t="shared" si="0"/>
        <v>56</v>
      </c>
      <c r="P22" s="15">
        <f t="shared" si="1"/>
        <v>80</v>
      </c>
      <c r="R22" s="38" t="s">
        <v>90</v>
      </c>
      <c r="S22" s="39">
        <f>MAX(S10:S12)</f>
        <v>57</v>
      </c>
      <c r="T22" s="39">
        <f t="shared" ref="T22:AF22" si="14">MAX(T10:T12)</f>
        <v>7</v>
      </c>
      <c r="U22" s="39">
        <f t="shared" si="14"/>
        <v>12</v>
      </c>
      <c r="V22" s="39">
        <f t="shared" si="14"/>
        <v>104</v>
      </c>
      <c r="W22" s="39">
        <f t="shared" si="14"/>
        <v>2</v>
      </c>
      <c r="X22" s="39">
        <f t="shared" si="14"/>
        <v>7</v>
      </c>
      <c r="Y22" s="39">
        <f t="shared" si="14"/>
        <v>42</v>
      </c>
      <c r="Z22" s="39">
        <f t="shared" si="14"/>
        <v>9</v>
      </c>
      <c r="AA22" s="39">
        <f t="shared" si="14"/>
        <v>1</v>
      </c>
      <c r="AB22" s="39">
        <f t="shared" si="14"/>
        <v>17</v>
      </c>
      <c r="AC22" s="39">
        <f t="shared" si="14"/>
        <v>106</v>
      </c>
      <c r="AD22" s="39">
        <f t="shared" si="14"/>
        <v>0</v>
      </c>
      <c r="AE22" s="40">
        <f t="shared" si="14"/>
        <v>246</v>
      </c>
      <c r="AF22" s="40">
        <f t="shared" si="14"/>
        <v>349</v>
      </c>
    </row>
    <row r="23" spans="2:32" ht="23.1" customHeight="1" x14ac:dyDescent="0.25">
      <c r="B23" s="23" t="s">
        <v>50</v>
      </c>
      <c r="C23" s="50">
        <v>19</v>
      </c>
      <c r="D23" s="50">
        <v>2</v>
      </c>
      <c r="E23" s="50">
        <v>3</v>
      </c>
      <c r="F23" s="50">
        <v>26</v>
      </c>
      <c r="G23" s="50">
        <v>1</v>
      </c>
      <c r="H23" s="50">
        <v>1</v>
      </c>
      <c r="I23" s="50">
        <v>12</v>
      </c>
      <c r="J23" s="50">
        <v>0</v>
      </c>
      <c r="K23" s="50">
        <v>0</v>
      </c>
      <c r="L23" s="50">
        <v>1</v>
      </c>
      <c r="M23" s="50">
        <v>20</v>
      </c>
      <c r="N23" s="50">
        <v>0</v>
      </c>
      <c r="O23" s="15">
        <f t="shared" si="0"/>
        <v>65</v>
      </c>
      <c r="P23" s="15">
        <f t="shared" si="1"/>
        <v>85</v>
      </c>
      <c r="R23" s="38" t="s">
        <v>91</v>
      </c>
      <c r="S23" s="39">
        <f>MAX(S13:S18)</f>
        <v>95</v>
      </c>
      <c r="T23" s="39">
        <f t="shared" ref="T23:AF23" si="15">MAX(T13:T18)</f>
        <v>25</v>
      </c>
      <c r="U23" s="39">
        <f t="shared" si="15"/>
        <v>29</v>
      </c>
      <c r="V23" s="39">
        <f t="shared" si="15"/>
        <v>86</v>
      </c>
      <c r="W23" s="39">
        <f t="shared" si="15"/>
        <v>3</v>
      </c>
      <c r="X23" s="39">
        <f t="shared" si="15"/>
        <v>10</v>
      </c>
      <c r="Y23" s="39">
        <f t="shared" si="15"/>
        <v>48</v>
      </c>
      <c r="Z23" s="39">
        <f t="shared" si="15"/>
        <v>9</v>
      </c>
      <c r="AA23" s="39">
        <f t="shared" si="15"/>
        <v>4</v>
      </c>
      <c r="AB23" s="39">
        <f t="shared" si="15"/>
        <v>12</v>
      </c>
      <c r="AC23" s="39">
        <f t="shared" si="15"/>
        <v>99</v>
      </c>
      <c r="AD23" s="39">
        <f t="shared" si="15"/>
        <v>0</v>
      </c>
      <c r="AE23" s="40">
        <f t="shared" si="15"/>
        <v>300</v>
      </c>
      <c r="AF23" s="40">
        <f t="shared" si="15"/>
        <v>388</v>
      </c>
    </row>
    <row r="24" spans="2:32" ht="23.1" customHeight="1" x14ac:dyDescent="0.25">
      <c r="B24" s="23" t="s">
        <v>51</v>
      </c>
      <c r="C24" s="50">
        <v>13</v>
      </c>
      <c r="D24" s="50">
        <v>2</v>
      </c>
      <c r="E24" s="50">
        <v>4</v>
      </c>
      <c r="F24" s="50">
        <v>22</v>
      </c>
      <c r="G24" s="50">
        <v>2</v>
      </c>
      <c r="H24" s="50">
        <v>0</v>
      </c>
      <c r="I24" s="50">
        <v>7</v>
      </c>
      <c r="J24" s="50">
        <v>1</v>
      </c>
      <c r="K24" s="50">
        <v>2</v>
      </c>
      <c r="L24" s="50">
        <v>1</v>
      </c>
      <c r="M24" s="50">
        <v>25</v>
      </c>
      <c r="N24" s="50">
        <v>0</v>
      </c>
      <c r="O24" s="15">
        <f t="shared" si="0"/>
        <v>54</v>
      </c>
      <c r="P24" s="15">
        <f t="shared" si="1"/>
        <v>79</v>
      </c>
      <c r="R24" s="38" t="s">
        <v>92</v>
      </c>
      <c r="S24" s="39">
        <f>MAX(S19:S21)</f>
        <v>225</v>
      </c>
      <c r="T24" s="39">
        <f t="shared" ref="T24:AF24" si="16">MAX(T19:T21)</f>
        <v>45</v>
      </c>
      <c r="U24" s="39">
        <f t="shared" si="16"/>
        <v>34</v>
      </c>
      <c r="V24" s="39">
        <f t="shared" si="16"/>
        <v>138</v>
      </c>
      <c r="W24" s="39">
        <f t="shared" si="16"/>
        <v>20</v>
      </c>
      <c r="X24" s="39">
        <f t="shared" si="16"/>
        <v>8</v>
      </c>
      <c r="Y24" s="39">
        <f t="shared" si="16"/>
        <v>73</v>
      </c>
      <c r="Z24" s="39">
        <f t="shared" si="16"/>
        <v>8</v>
      </c>
      <c r="AA24" s="39">
        <f t="shared" si="16"/>
        <v>9</v>
      </c>
      <c r="AB24" s="39">
        <f t="shared" si="16"/>
        <v>16</v>
      </c>
      <c r="AC24" s="39">
        <f t="shared" si="16"/>
        <v>126</v>
      </c>
      <c r="AD24" s="39">
        <f t="shared" si="16"/>
        <v>0</v>
      </c>
      <c r="AE24" s="40">
        <f t="shared" si="16"/>
        <v>567</v>
      </c>
      <c r="AF24" s="40">
        <f t="shared" si="16"/>
        <v>693</v>
      </c>
    </row>
    <row r="25" spans="2:32" ht="23.1" customHeight="1" x14ac:dyDescent="0.25">
      <c r="B25" s="23" t="s">
        <v>52</v>
      </c>
      <c r="C25" s="50">
        <v>7</v>
      </c>
      <c r="D25" s="50">
        <v>5</v>
      </c>
      <c r="E25" s="50">
        <v>4</v>
      </c>
      <c r="F25" s="50">
        <v>16</v>
      </c>
      <c r="G25" s="50">
        <v>0</v>
      </c>
      <c r="H25" s="50">
        <v>0</v>
      </c>
      <c r="I25" s="50">
        <v>16</v>
      </c>
      <c r="J25" s="50">
        <v>1</v>
      </c>
      <c r="K25" s="50">
        <v>1</v>
      </c>
      <c r="L25" s="50">
        <v>1</v>
      </c>
      <c r="M25" s="50">
        <v>30</v>
      </c>
      <c r="N25" s="50">
        <v>0</v>
      </c>
      <c r="O25" s="15">
        <f t="shared" si="0"/>
        <v>51</v>
      </c>
      <c r="P25" s="15">
        <f t="shared" si="1"/>
        <v>81</v>
      </c>
      <c r="R25" s="37" t="s">
        <v>85</v>
      </c>
      <c r="S25" s="35">
        <f t="shared" ref="S25:AF25" si="17">SUM(S10:S12)</f>
        <v>159</v>
      </c>
      <c r="T25" s="16">
        <f t="shared" si="17"/>
        <v>20</v>
      </c>
      <c r="U25" s="16">
        <f t="shared" si="17"/>
        <v>28</v>
      </c>
      <c r="V25" s="16">
        <f t="shared" si="17"/>
        <v>267</v>
      </c>
      <c r="W25" s="16">
        <f t="shared" si="17"/>
        <v>4</v>
      </c>
      <c r="X25" s="16">
        <f t="shared" si="17"/>
        <v>10</v>
      </c>
      <c r="Y25" s="16">
        <f t="shared" si="17"/>
        <v>115</v>
      </c>
      <c r="Z25" s="16">
        <f t="shared" si="17"/>
        <v>24</v>
      </c>
      <c r="AA25" s="16">
        <f t="shared" si="17"/>
        <v>2</v>
      </c>
      <c r="AB25" s="16">
        <f t="shared" si="17"/>
        <v>43</v>
      </c>
      <c r="AC25" s="16">
        <f t="shared" si="17"/>
        <v>300</v>
      </c>
      <c r="AD25" s="16">
        <f t="shared" si="17"/>
        <v>0</v>
      </c>
      <c r="AE25" s="32">
        <f t="shared" si="17"/>
        <v>672</v>
      </c>
      <c r="AF25" s="32">
        <f t="shared" si="17"/>
        <v>972</v>
      </c>
    </row>
    <row r="26" spans="2:32" ht="23.1" customHeight="1" x14ac:dyDescent="0.25">
      <c r="B26" s="23" t="s">
        <v>53</v>
      </c>
      <c r="C26" s="50">
        <v>13</v>
      </c>
      <c r="D26" s="50">
        <v>4</v>
      </c>
      <c r="E26" s="50">
        <v>2</v>
      </c>
      <c r="F26" s="50">
        <v>23</v>
      </c>
      <c r="G26" s="50">
        <v>0</v>
      </c>
      <c r="H26" s="50">
        <v>1</v>
      </c>
      <c r="I26" s="50">
        <v>10</v>
      </c>
      <c r="J26" s="50">
        <v>0</v>
      </c>
      <c r="K26" s="50">
        <v>0</v>
      </c>
      <c r="L26" s="50">
        <v>2</v>
      </c>
      <c r="M26" s="50">
        <v>29</v>
      </c>
      <c r="N26" s="50">
        <v>0</v>
      </c>
      <c r="O26" s="15">
        <f t="shared" si="0"/>
        <v>55</v>
      </c>
      <c r="P26" s="15">
        <f t="shared" si="1"/>
        <v>84</v>
      </c>
      <c r="R26" s="28" t="s">
        <v>86</v>
      </c>
      <c r="S26" s="16">
        <f t="shared" ref="S26:AF26" si="18">SUM(S13:S18)</f>
        <v>437</v>
      </c>
      <c r="T26" s="16">
        <f t="shared" si="18"/>
        <v>91</v>
      </c>
      <c r="U26" s="16">
        <f t="shared" si="18"/>
        <v>115</v>
      </c>
      <c r="V26" s="16">
        <f t="shared" si="18"/>
        <v>425</v>
      </c>
      <c r="W26" s="16">
        <f t="shared" si="18"/>
        <v>12</v>
      </c>
      <c r="X26" s="16">
        <f t="shared" si="18"/>
        <v>33</v>
      </c>
      <c r="Y26" s="16">
        <f t="shared" si="18"/>
        <v>271</v>
      </c>
      <c r="Z26" s="16">
        <f t="shared" si="18"/>
        <v>26</v>
      </c>
      <c r="AA26" s="16">
        <f t="shared" si="18"/>
        <v>15</v>
      </c>
      <c r="AB26" s="16">
        <f t="shared" si="18"/>
        <v>50</v>
      </c>
      <c r="AC26" s="16">
        <f t="shared" si="18"/>
        <v>444</v>
      </c>
      <c r="AD26" s="16">
        <f t="shared" si="18"/>
        <v>0</v>
      </c>
      <c r="AE26" s="32">
        <f t="shared" si="18"/>
        <v>1475</v>
      </c>
      <c r="AF26" s="32">
        <f t="shared" si="18"/>
        <v>1919</v>
      </c>
    </row>
    <row r="27" spans="2:32" ht="23.1" customHeight="1" x14ac:dyDescent="0.25">
      <c r="B27" s="23" t="s">
        <v>54</v>
      </c>
      <c r="C27" s="50">
        <v>16</v>
      </c>
      <c r="D27" s="50">
        <v>3</v>
      </c>
      <c r="E27" s="50">
        <v>2</v>
      </c>
      <c r="F27" s="50">
        <v>15</v>
      </c>
      <c r="G27" s="50">
        <v>0</v>
      </c>
      <c r="H27" s="50">
        <v>0</v>
      </c>
      <c r="I27" s="50">
        <v>9</v>
      </c>
      <c r="J27" s="50">
        <v>2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48</v>
      </c>
      <c r="P27" s="15">
        <f t="shared" si="1"/>
        <v>63</v>
      </c>
      <c r="R27" s="29" t="s">
        <v>87</v>
      </c>
      <c r="S27" s="16">
        <f t="shared" ref="S27:AF27" si="19">SUM(S19:S21)</f>
        <v>517</v>
      </c>
      <c r="T27" s="16">
        <f t="shared" si="19"/>
        <v>116</v>
      </c>
      <c r="U27" s="16">
        <f t="shared" si="19"/>
        <v>88</v>
      </c>
      <c r="V27" s="16">
        <f t="shared" si="19"/>
        <v>313</v>
      </c>
      <c r="W27" s="16">
        <f t="shared" si="19"/>
        <v>34</v>
      </c>
      <c r="X27" s="16">
        <f t="shared" si="19"/>
        <v>21</v>
      </c>
      <c r="Y27" s="16">
        <f t="shared" si="19"/>
        <v>216</v>
      </c>
      <c r="Z27" s="16">
        <f t="shared" si="19"/>
        <v>20</v>
      </c>
      <c r="AA27" s="16">
        <f t="shared" si="19"/>
        <v>19</v>
      </c>
      <c r="AB27" s="16">
        <f t="shared" si="19"/>
        <v>45</v>
      </c>
      <c r="AC27" s="16">
        <f t="shared" si="19"/>
        <v>355</v>
      </c>
      <c r="AD27" s="16">
        <f t="shared" si="19"/>
        <v>0</v>
      </c>
      <c r="AE27" s="32">
        <f t="shared" si="19"/>
        <v>1389</v>
      </c>
      <c r="AF27" s="32">
        <f t="shared" si="19"/>
        <v>1744</v>
      </c>
    </row>
    <row r="28" spans="2:32" ht="23.1" customHeight="1" x14ac:dyDescent="0.25">
      <c r="B28" s="23" t="s">
        <v>55</v>
      </c>
      <c r="C28" s="50">
        <v>18</v>
      </c>
      <c r="D28" s="50">
        <v>3</v>
      </c>
      <c r="E28" s="50">
        <v>2</v>
      </c>
      <c r="F28" s="50">
        <v>29</v>
      </c>
      <c r="G28" s="50">
        <v>0</v>
      </c>
      <c r="H28" s="50">
        <v>1</v>
      </c>
      <c r="I28" s="50">
        <v>19</v>
      </c>
      <c r="J28" s="50">
        <v>1</v>
      </c>
      <c r="K28" s="50">
        <v>2</v>
      </c>
      <c r="L28" s="50">
        <v>3</v>
      </c>
      <c r="M28" s="50">
        <v>23</v>
      </c>
      <c r="N28" s="50">
        <v>0</v>
      </c>
      <c r="O28" s="15">
        <f t="shared" si="0"/>
        <v>78</v>
      </c>
      <c r="P28" s="15">
        <f t="shared" si="1"/>
        <v>101</v>
      </c>
      <c r="R28" s="5" t="s">
        <v>17</v>
      </c>
      <c r="S28" s="16">
        <f t="shared" ref="S28:AF28" si="20">SUM(S10:S21)</f>
        <v>1113</v>
      </c>
      <c r="T28" s="16">
        <f t="shared" si="20"/>
        <v>227</v>
      </c>
      <c r="U28" s="16">
        <f t="shared" si="20"/>
        <v>231</v>
      </c>
      <c r="V28" s="16">
        <f t="shared" si="20"/>
        <v>1005</v>
      </c>
      <c r="W28" s="16">
        <f t="shared" si="20"/>
        <v>50</v>
      </c>
      <c r="X28" s="16">
        <f t="shared" si="20"/>
        <v>64</v>
      </c>
      <c r="Y28" s="16">
        <f t="shared" si="20"/>
        <v>602</v>
      </c>
      <c r="Z28" s="16">
        <f t="shared" si="20"/>
        <v>70</v>
      </c>
      <c r="AA28" s="16">
        <f t="shared" si="20"/>
        <v>36</v>
      </c>
      <c r="AB28" s="16">
        <f t="shared" si="20"/>
        <v>138</v>
      </c>
      <c r="AC28" s="16">
        <f t="shared" si="20"/>
        <v>1099</v>
      </c>
      <c r="AD28" s="16">
        <f t="shared" si="20"/>
        <v>0</v>
      </c>
      <c r="AE28" s="32">
        <f t="shared" si="20"/>
        <v>3536</v>
      </c>
      <c r="AF28" s="32">
        <f t="shared" si="20"/>
        <v>4635</v>
      </c>
    </row>
    <row r="29" spans="2:32" ht="23.1" customHeight="1" x14ac:dyDescent="0.25">
      <c r="B29" s="23" t="s">
        <v>56</v>
      </c>
      <c r="C29" s="50">
        <v>18</v>
      </c>
      <c r="D29" s="50">
        <v>4</v>
      </c>
      <c r="E29" s="50">
        <v>2</v>
      </c>
      <c r="F29" s="50">
        <v>19</v>
      </c>
      <c r="G29" s="50">
        <v>0</v>
      </c>
      <c r="H29" s="50">
        <v>1</v>
      </c>
      <c r="I29" s="50">
        <v>10</v>
      </c>
      <c r="J29" s="50">
        <v>3</v>
      </c>
      <c r="K29" s="50">
        <v>0</v>
      </c>
      <c r="L29" s="50">
        <v>2</v>
      </c>
      <c r="M29" s="50">
        <v>22</v>
      </c>
      <c r="N29" s="50">
        <v>0</v>
      </c>
      <c r="O29" s="15">
        <f t="shared" si="0"/>
        <v>59</v>
      </c>
      <c r="P29" s="15">
        <f t="shared" si="1"/>
        <v>81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2</v>
      </c>
      <c r="E30" s="50">
        <v>8</v>
      </c>
      <c r="F30" s="50">
        <v>23</v>
      </c>
      <c r="G30" s="50">
        <v>1</v>
      </c>
      <c r="H30" s="50">
        <v>1</v>
      </c>
      <c r="I30" s="50">
        <v>16</v>
      </c>
      <c r="J30" s="50">
        <v>0</v>
      </c>
      <c r="K30" s="50">
        <v>0</v>
      </c>
      <c r="L30" s="50">
        <v>3</v>
      </c>
      <c r="M30" s="50">
        <v>15</v>
      </c>
      <c r="N30" s="50">
        <v>0</v>
      </c>
      <c r="O30" s="15">
        <f t="shared" si="0"/>
        <v>81</v>
      </c>
      <c r="P30" s="15">
        <f t="shared" si="1"/>
        <v>96</v>
      </c>
    </row>
    <row r="31" spans="2:32" ht="23.1" customHeight="1" x14ac:dyDescent="0.25">
      <c r="B31" s="24" t="s">
        <v>58</v>
      </c>
      <c r="C31" s="50">
        <v>12</v>
      </c>
      <c r="D31" s="50">
        <v>1</v>
      </c>
      <c r="E31" s="50">
        <v>2</v>
      </c>
      <c r="F31" s="50">
        <v>12</v>
      </c>
      <c r="G31" s="50">
        <v>0</v>
      </c>
      <c r="H31" s="50">
        <v>8</v>
      </c>
      <c r="I31" s="50">
        <v>0</v>
      </c>
      <c r="J31" s="50">
        <v>0</v>
      </c>
      <c r="K31" s="50">
        <v>0</v>
      </c>
      <c r="L31" s="50">
        <v>1</v>
      </c>
      <c r="M31" s="50">
        <v>11</v>
      </c>
      <c r="N31" s="50">
        <v>0</v>
      </c>
      <c r="O31" s="15">
        <f t="shared" si="0"/>
        <v>36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17</v>
      </c>
      <c r="D32" s="50">
        <v>2</v>
      </c>
      <c r="E32" s="50">
        <v>6</v>
      </c>
      <c r="F32" s="50">
        <v>11</v>
      </c>
      <c r="G32" s="50">
        <v>1</v>
      </c>
      <c r="H32" s="50">
        <v>1</v>
      </c>
      <c r="I32" s="50">
        <v>9</v>
      </c>
      <c r="J32" s="50">
        <v>1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48</v>
      </c>
      <c r="P32" s="15">
        <f t="shared" si="1"/>
        <v>69</v>
      </c>
    </row>
    <row r="33" spans="2:20" ht="23.1" customHeight="1" x14ac:dyDescent="0.25">
      <c r="B33" s="23" t="s">
        <v>60</v>
      </c>
      <c r="C33" s="50">
        <v>22</v>
      </c>
      <c r="D33" s="50">
        <v>3</v>
      </c>
      <c r="E33" s="50">
        <v>5</v>
      </c>
      <c r="F33" s="50">
        <v>17</v>
      </c>
      <c r="G33" s="50">
        <v>0</v>
      </c>
      <c r="H33" s="50">
        <v>0</v>
      </c>
      <c r="I33" s="50">
        <v>20</v>
      </c>
      <c r="J33" s="50">
        <v>0</v>
      </c>
      <c r="K33" s="50">
        <v>1</v>
      </c>
      <c r="L33" s="50">
        <v>3</v>
      </c>
      <c r="M33" s="50">
        <v>23</v>
      </c>
      <c r="N33" s="50">
        <v>0</v>
      </c>
      <c r="O33" s="15">
        <f t="shared" si="0"/>
        <v>71</v>
      </c>
      <c r="P33" s="15">
        <f t="shared" si="1"/>
        <v>94</v>
      </c>
    </row>
    <row r="34" spans="2:20" ht="23.1" customHeight="1" x14ac:dyDescent="0.25">
      <c r="B34" s="24" t="s">
        <v>61</v>
      </c>
      <c r="C34" s="50">
        <v>17</v>
      </c>
      <c r="D34" s="50">
        <v>8</v>
      </c>
      <c r="E34" s="50">
        <v>4</v>
      </c>
      <c r="F34" s="50">
        <v>18</v>
      </c>
      <c r="G34" s="50">
        <v>1</v>
      </c>
      <c r="H34" s="50">
        <v>2</v>
      </c>
      <c r="I34" s="50">
        <v>10</v>
      </c>
      <c r="J34" s="50">
        <v>0</v>
      </c>
      <c r="K34" s="50">
        <v>1</v>
      </c>
      <c r="L34" s="50">
        <v>6</v>
      </c>
      <c r="M34" s="50">
        <v>8</v>
      </c>
      <c r="N34" s="50">
        <v>0</v>
      </c>
      <c r="O34" s="15">
        <f t="shared" si="0"/>
        <v>67</v>
      </c>
      <c r="P34" s="15">
        <f t="shared" si="1"/>
        <v>75</v>
      </c>
    </row>
    <row r="35" spans="2:20" ht="23.1" customHeight="1" x14ac:dyDescent="0.25">
      <c r="B35" s="24" t="s">
        <v>62</v>
      </c>
      <c r="C35" s="50">
        <v>10</v>
      </c>
      <c r="D35" s="50">
        <v>3</v>
      </c>
      <c r="E35" s="50">
        <v>7</v>
      </c>
      <c r="F35" s="50">
        <v>15</v>
      </c>
      <c r="G35" s="50">
        <v>0</v>
      </c>
      <c r="H35" s="50">
        <v>2</v>
      </c>
      <c r="I35" s="50">
        <v>9</v>
      </c>
      <c r="J35" s="50">
        <v>1</v>
      </c>
      <c r="K35" s="50">
        <v>1</v>
      </c>
      <c r="L35" s="50">
        <v>2</v>
      </c>
      <c r="M35" s="50">
        <v>19</v>
      </c>
      <c r="N35" s="50">
        <v>0</v>
      </c>
      <c r="O35" s="15">
        <f t="shared" si="0"/>
        <v>50</v>
      </c>
      <c r="P35" s="15">
        <f t="shared" si="1"/>
        <v>69</v>
      </c>
    </row>
    <row r="36" spans="2:20" ht="23.1" customHeight="1" x14ac:dyDescent="0.25">
      <c r="B36" s="24" t="s">
        <v>63</v>
      </c>
      <c r="C36" s="50">
        <v>15</v>
      </c>
      <c r="D36" s="50">
        <v>4</v>
      </c>
      <c r="E36" s="50">
        <v>9</v>
      </c>
      <c r="F36" s="50">
        <v>11</v>
      </c>
      <c r="G36" s="50">
        <v>1</v>
      </c>
      <c r="H36" s="50">
        <v>0</v>
      </c>
      <c r="I36" s="50">
        <v>8</v>
      </c>
      <c r="J36" s="50">
        <v>4</v>
      </c>
      <c r="K36" s="50">
        <v>0</v>
      </c>
      <c r="L36" s="50">
        <v>4</v>
      </c>
      <c r="M36" s="50">
        <v>15</v>
      </c>
      <c r="N36" s="50">
        <v>0</v>
      </c>
      <c r="O36" s="15">
        <f t="shared" si="0"/>
        <v>56</v>
      </c>
      <c r="P36" s="15">
        <f t="shared" si="1"/>
        <v>71</v>
      </c>
    </row>
    <row r="37" spans="2:20" ht="23.1" customHeight="1" x14ac:dyDescent="0.25">
      <c r="B37" s="23" t="s">
        <v>64</v>
      </c>
      <c r="C37" s="50">
        <v>17</v>
      </c>
      <c r="D37" s="50">
        <v>3</v>
      </c>
      <c r="E37" s="50">
        <v>9</v>
      </c>
      <c r="F37" s="50">
        <v>15</v>
      </c>
      <c r="G37" s="50">
        <v>0</v>
      </c>
      <c r="H37" s="50">
        <v>1</v>
      </c>
      <c r="I37" s="50">
        <v>9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54</v>
      </c>
      <c r="P37" s="15">
        <f t="shared" si="1"/>
        <v>61</v>
      </c>
    </row>
    <row r="38" spans="2:20" ht="23.1" customHeight="1" x14ac:dyDescent="0.25">
      <c r="B38" s="24" t="s">
        <v>65</v>
      </c>
      <c r="C38" s="50">
        <v>13</v>
      </c>
      <c r="D38" s="50">
        <v>3</v>
      </c>
      <c r="E38" s="50">
        <v>4</v>
      </c>
      <c r="F38" s="50">
        <v>20</v>
      </c>
      <c r="G38" s="50">
        <v>1</v>
      </c>
      <c r="H38" s="50">
        <v>2</v>
      </c>
      <c r="I38" s="50">
        <v>8</v>
      </c>
      <c r="J38" s="50">
        <v>0</v>
      </c>
      <c r="K38" s="50">
        <v>0</v>
      </c>
      <c r="L38" s="50">
        <v>1</v>
      </c>
      <c r="M38" s="50">
        <v>9</v>
      </c>
      <c r="N38" s="50">
        <v>0</v>
      </c>
      <c r="O38" s="15">
        <f t="shared" si="0"/>
        <v>52</v>
      </c>
      <c r="P38" s="15">
        <f t="shared" si="1"/>
        <v>61</v>
      </c>
    </row>
    <row r="39" spans="2:20" ht="23.1" customHeight="1" x14ac:dyDescent="0.25">
      <c r="B39" s="24" t="s">
        <v>66</v>
      </c>
      <c r="C39" s="50">
        <v>22</v>
      </c>
      <c r="D39" s="50">
        <v>6</v>
      </c>
      <c r="E39" s="50">
        <v>8</v>
      </c>
      <c r="F39" s="50">
        <v>15</v>
      </c>
      <c r="G39" s="50">
        <v>0</v>
      </c>
      <c r="H39" s="50">
        <v>1</v>
      </c>
      <c r="I39" s="50">
        <v>13</v>
      </c>
      <c r="J39" s="50">
        <v>1</v>
      </c>
      <c r="K39" s="50">
        <v>1</v>
      </c>
      <c r="L39" s="50">
        <v>2</v>
      </c>
      <c r="M39" s="50">
        <v>9</v>
      </c>
      <c r="N39" s="50">
        <v>0</v>
      </c>
      <c r="O39" s="15">
        <f t="shared" si="0"/>
        <v>69</v>
      </c>
      <c r="P39" s="15">
        <f t="shared" si="1"/>
        <v>78</v>
      </c>
    </row>
    <row r="40" spans="2:20" ht="23.1" customHeight="1" x14ac:dyDescent="0.25">
      <c r="B40" s="24" t="s">
        <v>67</v>
      </c>
      <c r="C40" s="50">
        <v>25</v>
      </c>
      <c r="D40" s="50">
        <v>2</v>
      </c>
      <c r="E40" s="50">
        <v>3</v>
      </c>
      <c r="F40" s="50">
        <v>18</v>
      </c>
      <c r="G40" s="50">
        <v>0</v>
      </c>
      <c r="H40" s="50">
        <v>2</v>
      </c>
      <c r="I40" s="50">
        <v>14</v>
      </c>
      <c r="J40" s="50">
        <v>0</v>
      </c>
      <c r="K40" s="50">
        <v>0</v>
      </c>
      <c r="L40" s="50">
        <v>3</v>
      </c>
      <c r="M40" s="50">
        <v>21</v>
      </c>
      <c r="N40" s="50">
        <v>0</v>
      </c>
      <c r="O40" s="15">
        <f t="shared" si="0"/>
        <v>67</v>
      </c>
      <c r="P40" s="15">
        <f t="shared" si="1"/>
        <v>88</v>
      </c>
    </row>
    <row r="41" spans="2:20" ht="23.1" customHeight="1" x14ac:dyDescent="0.25">
      <c r="B41" s="23" t="s">
        <v>68</v>
      </c>
      <c r="C41" s="50">
        <v>23</v>
      </c>
      <c r="D41" s="50">
        <v>2</v>
      </c>
      <c r="E41" s="50">
        <v>5</v>
      </c>
      <c r="F41" s="50">
        <v>9</v>
      </c>
      <c r="G41" s="50">
        <v>2</v>
      </c>
      <c r="H41" s="50">
        <v>1</v>
      </c>
      <c r="I41" s="50">
        <v>11</v>
      </c>
      <c r="J41" s="50">
        <v>1</v>
      </c>
      <c r="K41" s="50">
        <v>1</v>
      </c>
      <c r="L41" s="50">
        <v>3</v>
      </c>
      <c r="M41" s="50">
        <v>10</v>
      </c>
      <c r="N41" s="50">
        <v>0</v>
      </c>
      <c r="O41" s="15">
        <f t="shared" si="0"/>
        <v>58</v>
      </c>
      <c r="P41" s="15">
        <f t="shared" si="1"/>
        <v>68</v>
      </c>
    </row>
    <row r="42" spans="2:20" ht="23.1" customHeight="1" x14ac:dyDescent="0.25">
      <c r="B42" s="24" t="s">
        <v>69</v>
      </c>
      <c r="C42" s="50">
        <v>26</v>
      </c>
      <c r="D42" s="50">
        <v>8</v>
      </c>
      <c r="E42" s="50">
        <v>7</v>
      </c>
      <c r="F42" s="50">
        <v>22</v>
      </c>
      <c r="G42" s="50">
        <v>1</v>
      </c>
      <c r="H42" s="50">
        <v>1</v>
      </c>
      <c r="I42" s="50">
        <v>7</v>
      </c>
      <c r="J42" s="50">
        <v>3</v>
      </c>
      <c r="K42" s="50">
        <v>0</v>
      </c>
      <c r="L42" s="50">
        <v>2</v>
      </c>
      <c r="M42" s="50">
        <v>20</v>
      </c>
      <c r="N42" s="50">
        <v>0</v>
      </c>
      <c r="O42" s="15">
        <f t="shared" si="0"/>
        <v>77</v>
      </c>
      <c r="P42" s="15">
        <f t="shared" si="1"/>
        <v>97</v>
      </c>
    </row>
    <row r="43" spans="2:20" ht="23.1" customHeight="1" x14ac:dyDescent="0.25">
      <c r="B43" s="23" t="s">
        <v>70</v>
      </c>
      <c r="C43" s="50">
        <v>24</v>
      </c>
      <c r="D43" s="50">
        <v>5</v>
      </c>
      <c r="E43" s="50">
        <v>6</v>
      </c>
      <c r="F43" s="50">
        <v>16</v>
      </c>
      <c r="G43" s="50">
        <v>0</v>
      </c>
      <c r="H43" s="50">
        <v>3</v>
      </c>
      <c r="I43" s="50">
        <v>11</v>
      </c>
      <c r="J43" s="50">
        <v>2</v>
      </c>
      <c r="K43" s="50">
        <v>0</v>
      </c>
      <c r="L43" s="50">
        <v>2</v>
      </c>
      <c r="M43" s="50">
        <v>21</v>
      </c>
      <c r="N43" s="50">
        <v>0</v>
      </c>
      <c r="O43" s="15">
        <f t="shared" si="0"/>
        <v>69</v>
      </c>
      <c r="P43" s="15">
        <f t="shared" si="1"/>
        <v>90</v>
      </c>
    </row>
    <row r="44" spans="2:20" ht="23.1" customHeight="1" x14ac:dyDescent="0.25">
      <c r="B44" s="25" t="s">
        <v>71</v>
      </c>
      <c r="C44" s="50">
        <v>25</v>
      </c>
      <c r="D44" s="50">
        <v>7</v>
      </c>
      <c r="E44" s="50">
        <v>9</v>
      </c>
      <c r="F44" s="50">
        <v>22</v>
      </c>
      <c r="G44" s="50">
        <v>0</v>
      </c>
      <c r="H44" s="50">
        <v>2</v>
      </c>
      <c r="I44" s="50">
        <v>17</v>
      </c>
      <c r="J44" s="50">
        <v>2</v>
      </c>
      <c r="K44" s="50">
        <v>0</v>
      </c>
      <c r="L44" s="50">
        <v>3</v>
      </c>
      <c r="M44" s="50">
        <v>25</v>
      </c>
      <c r="N44" s="50">
        <v>0</v>
      </c>
      <c r="O44" s="15">
        <f t="shared" si="0"/>
        <v>87</v>
      </c>
      <c r="P44" s="15">
        <f t="shared" si="1"/>
        <v>112</v>
      </c>
    </row>
    <row r="45" spans="2:20" ht="23.1" customHeight="1" x14ac:dyDescent="0.25">
      <c r="B45" s="23" t="s">
        <v>72</v>
      </c>
      <c r="C45" s="50">
        <v>20</v>
      </c>
      <c r="D45" s="50">
        <v>5</v>
      </c>
      <c r="E45" s="50">
        <v>2</v>
      </c>
      <c r="F45" s="50">
        <v>16</v>
      </c>
      <c r="G45" s="50">
        <v>1</v>
      </c>
      <c r="H45" s="50">
        <v>1</v>
      </c>
      <c r="I45" s="50">
        <v>13</v>
      </c>
      <c r="J45" s="50">
        <v>2</v>
      </c>
      <c r="K45" s="50">
        <v>4</v>
      </c>
      <c r="L45" s="50">
        <v>3</v>
      </c>
      <c r="M45" s="50">
        <v>22</v>
      </c>
      <c r="N45" s="50">
        <v>0</v>
      </c>
      <c r="O45" s="15">
        <f t="shared" si="0"/>
        <v>67</v>
      </c>
      <c r="P45" s="15">
        <f t="shared" si="1"/>
        <v>89</v>
      </c>
    </row>
    <row r="46" spans="2:20" ht="23.1" customHeight="1" x14ac:dyDescent="0.25">
      <c r="B46" s="24" t="s">
        <v>73</v>
      </c>
      <c r="C46" s="50">
        <v>39</v>
      </c>
      <c r="D46" s="50">
        <v>7</v>
      </c>
      <c r="E46" s="50">
        <v>4</v>
      </c>
      <c r="F46" s="50">
        <v>18</v>
      </c>
      <c r="G46" s="50">
        <v>0</v>
      </c>
      <c r="H46" s="50">
        <v>2</v>
      </c>
      <c r="I46" s="50">
        <v>25</v>
      </c>
      <c r="J46" s="50">
        <v>2</v>
      </c>
      <c r="K46" s="50">
        <v>3</v>
      </c>
      <c r="L46" s="50">
        <v>2</v>
      </c>
      <c r="M46" s="50">
        <v>22</v>
      </c>
      <c r="N46" s="50">
        <v>0</v>
      </c>
      <c r="O46" s="15">
        <f t="shared" si="0"/>
        <v>102</v>
      </c>
      <c r="P46" s="15">
        <f t="shared" si="1"/>
        <v>124</v>
      </c>
      <c r="R46" s="8"/>
      <c r="T46"/>
    </row>
    <row r="47" spans="2:20" ht="23.1" customHeight="1" x14ac:dyDescent="0.25">
      <c r="B47" s="24" t="s">
        <v>74</v>
      </c>
      <c r="C47" s="50">
        <v>25</v>
      </c>
      <c r="D47" s="50">
        <v>5</v>
      </c>
      <c r="E47" s="50">
        <v>14</v>
      </c>
      <c r="F47" s="50">
        <v>23</v>
      </c>
      <c r="G47" s="50">
        <v>0</v>
      </c>
      <c r="H47" s="50">
        <v>1</v>
      </c>
      <c r="I47" s="50">
        <v>21</v>
      </c>
      <c r="J47" s="50">
        <v>1</v>
      </c>
      <c r="K47" s="50">
        <v>1</v>
      </c>
      <c r="L47" s="50">
        <v>2</v>
      </c>
      <c r="M47" s="50">
        <v>29</v>
      </c>
      <c r="N47" s="50">
        <v>0</v>
      </c>
      <c r="O47" s="15">
        <f t="shared" si="0"/>
        <v>93</v>
      </c>
      <c r="P47" s="15">
        <f t="shared" si="1"/>
        <v>122</v>
      </c>
      <c r="R47" s="8"/>
      <c r="T47"/>
    </row>
    <row r="48" spans="2:20" ht="23.1" customHeight="1" x14ac:dyDescent="0.25">
      <c r="B48" s="24" t="s">
        <v>75</v>
      </c>
      <c r="C48" s="50">
        <v>29</v>
      </c>
      <c r="D48" s="50">
        <v>11</v>
      </c>
      <c r="E48" s="50">
        <v>8</v>
      </c>
      <c r="F48" s="50">
        <v>15</v>
      </c>
      <c r="G48" s="50">
        <v>1</v>
      </c>
      <c r="H48" s="50">
        <v>3</v>
      </c>
      <c r="I48" s="50">
        <v>11</v>
      </c>
      <c r="J48" s="50">
        <v>4</v>
      </c>
      <c r="K48" s="50">
        <v>2</v>
      </c>
      <c r="L48" s="50">
        <v>7</v>
      </c>
      <c r="M48" s="50">
        <v>23</v>
      </c>
      <c r="N48" s="50">
        <v>0</v>
      </c>
      <c r="O48" s="15">
        <f t="shared" si="0"/>
        <v>91</v>
      </c>
      <c r="P48" s="15">
        <f t="shared" si="1"/>
        <v>114</v>
      </c>
      <c r="R48" s="8"/>
      <c r="T48"/>
    </row>
    <row r="49" spans="2:20" ht="23.1" customHeight="1" x14ac:dyDescent="0.25">
      <c r="B49" s="23" t="s">
        <v>76</v>
      </c>
      <c r="C49" s="50">
        <v>27</v>
      </c>
      <c r="D49" s="50">
        <v>6</v>
      </c>
      <c r="E49" s="50">
        <v>4</v>
      </c>
      <c r="F49" s="50">
        <v>27</v>
      </c>
      <c r="G49" s="50">
        <v>2</v>
      </c>
      <c r="H49" s="50">
        <v>1</v>
      </c>
      <c r="I49" s="50">
        <v>15</v>
      </c>
      <c r="J49" s="50">
        <v>1</v>
      </c>
      <c r="K49" s="50">
        <v>1</v>
      </c>
      <c r="L49" s="50">
        <v>5</v>
      </c>
      <c r="M49" s="50">
        <v>29</v>
      </c>
      <c r="N49" s="50">
        <v>0</v>
      </c>
      <c r="O49" s="15">
        <f t="shared" si="0"/>
        <v>89</v>
      </c>
      <c r="P49" s="15">
        <f t="shared" si="1"/>
        <v>118</v>
      </c>
      <c r="R49" s="8"/>
      <c r="T49"/>
    </row>
    <row r="50" spans="2:20" ht="23.1" customHeight="1" x14ac:dyDescent="0.25">
      <c r="B50" s="24" t="s">
        <v>77</v>
      </c>
      <c r="C50" s="50">
        <v>47</v>
      </c>
      <c r="D50" s="50">
        <v>13</v>
      </c>
      <c r="E50" s="50">
        <v>6</v>
      </c>
      <c r="F50" s="50">
        <v>27</v>
      </c>
      <c r="G50" s="50">
        <v>0</v>
      </c>
      <c r="H50" s="50">
        <v>2</v>
      </c>
      <c r="I50" s="50">
        <v>17</v>
      </c>
      <c r="J50" s="50">
        <v>0</v>
      </c>
      <c r="K50" s="50">
        <v>1</v>
      </c>
      <c r="L50" s="50">
        <v>9</v>
      </c>
      <c r="M50" s="50">
        <v>26</v>
      </c>
      <c r="N50" s="50">
        <v>0</v>
      </c>
      <c r="O50" s="15">
        <f t="shared" si="0"/>
        <v>122</v>
      </c>
      <c r="P50" s="15">
        <f t="shared" si="1"/>
        <v>148</v>
      </c>
      <c r="R50" s="8"/>
      <c r="T50"/>
    </row>
    <row r="51" spans="2:20" ht="23.1" customHeight="1" x14ac:dyDescent="0.25">
      <c r="B51" s="24" t="s">
        <v>78</v>
      </c>
      <c r="C51" s="50">
        <v>41</v>
      </c>
      <c r="D51" s="50">
        <v>12</v>
      </c>
      <c r="E51" s="50">
        <v>5</v>
      </c>
      <c r="F51" s="50">
        <v>23</v>
      </c>
      <c r="G51" s="50">
        <v>3</v>
      </c>
      <c r="H51" s="50">
        <v>2</v>
      </c>
      <c r="I51" s="50">
        <v>20</v>
      </c>
      <c r="J51" s="50">
        <v>5</v>
      </c>
      <c r="K51" s="50">
        <v>1</v>
      </c>
      <c r="L51" s="50">
        <v>1</v>
      </c>
      <c r="M51" s="50">
        <v>32</v>
      </c>
      <c r="N51" s="50">
        <v>0</v>
      </c>
      <c r="O51" s="15">
        <f t="shared" si="0"/>
        <v>113</v>
      </c>
      <c r="P51" s="15">
        <f t="shared" si="1"/>
        <v>145</v>
      </c>
      <c r="R51" s="8"/>
      <c r="T51"/>
    </row>
    <row r="52" spans="2:20" ht="23.1" customHeight="1" x14ac:dyDescent="0.25">
      <c r="B52" s="24" t="s">
        <v>79</v>
      </c>
      <c r="C52" s="50">
        <v>44</v>
      </c>
      <c r="D52" s="50">
        <v>5</v>
      </c>
      <c r="E52" s="50">
        <v>7</v>
      </c>
      <c r="F52" s="50">
        <v>18</v>
      </c>
      <c r="G52" s="50">
        <v>3</v>
      </c>
      <c r="H52" s="50">
        <v>3</v>
      </c>
      <c r="I52" s="50">
        <v>20</v>
      </c>
      <c r="J52" s="50">
        <v>0</v>
      </c>
      <c r="K52" s="50">
        <v>1</v>
      </c>
      <c r="L52" s="50">
        <v>2</v>
      </c>
      <c r="M52" s="50">
        <v>33</v>
      </c>
      <c r="N52" s="50">
        <v>0</v>
      </c>
      <c r="O52" s="15">
        <f t="shared" si="0"/>
        <v>103</v>
      </c>
      <c r="P52" s="15">
        <f t="shared" si="1"/>
        <v>136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15</v>
      </c>
      <c r="E53" s="50">
        <v>6</v>
      </c>
      <c r="F53" s="50">
        <v>24</v>
      </c>
      <c r="G53" s="50">
        <v>5</v>
      </c>
      <c r="H53" s="50">
        <v>1</v>
      </c>
      <c r="I53" s="50">
        <v>14</v>
      </c>
      <c r="J53" s="50">
        <v>1</v>
      </c>
      <c r="K53" s="50">
        <v>0</v>
      </c>
      <c r="L53" s="50">
        <v>3</v>
      </c>
      <c r="M53" s="50">
        <v>35</v>
      </c>
      <c r="N53" s="50">
        <v>0</v>
      </c>
      <c r="O53" s="15">
        <f t="shared" si="0"/>
        <v>109</v>
      </c>
      <c r="P53" s="15">
        <f t="shared" si="1"/>
        <v>144</v>
      </c>
      <c r="R53" s="8"/>
      <c r="T53"/>
    </row>
    <row r="54" spans="2:20" ht="23.1" customHeight="1" x14ac:dyDescent="0.25">
      <c r="B54" s="23" t="s">
        <v>81</v>
      </c>
      <c r="C54" s="50">
        <v>46</v>
      </c>
      <c r="D54" s="50">
        <v>9</v>
      </c>
      <c r="E54" s="50">
        <v>12</v>
      </c>
      <c r="F54" s="50">
        <v>27</v>
      </c>
      <c r="G54" s="50">
        <v>4</v>
      </c>
      <c r="H54" s="50">
        <v>1</v>
      </c>
      <c r="I54" s="50">
        <v>21</v>
      </c>
      <c r="J54" s="50">
        <v>0</v>
      </c>
      <c r="K54" s="50">
        <v>1</v>
      </c>
      <c r="L54" s="50">
        <v>7</v>
      </c>
      <c r="M54" s="50">
        <v>27</v>
      </c>
      <c r="N54" s="50">
        <v>0</v>
      </c>
      <c r="O54" s="15">
        <f t="shared" si="0"/>
        <v>128</v>
      </c>
      <c r="P54" s="15">
        <f t="shared" si="1"/>
        <v>155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14</v>
      </c>
      <c r="E55" s="50">
        <v>7</v>
      </c>
      <c r="F55" s="50">
        <v>39</v>
      </c>
      <c r="G55" s="50">
        <v>5</v>
      </c>
      <c r="H55" s="50">
        <v>1</v>
      </c>
      <c r="I55" s="50">
        <v>25</v>
      </c>
      <c r="J55" s="50">
        <v>3</v>
      </c>
      <c r="K55" s="50">
        <v>4</v>
      </c>
      <c r="L55" s="50">
        <v>3</v>
      </c>
      <c r="M55" s="50">
        <v>32</v>
      </c>
      <c r="N55" s="50">
        <v>0</v>
      </c>
      <c r="O55" s="15">
        <f t="shared" si="0"/>
        <v>161</v>
      </c>
      <c r="P55" s="15">
        <f t="shared" si="1"/>
        <v>193</v>
      </c>
      <c r="R55" s="8"/>
      <c r="T55"/>
    </row>
    <row r="56" spans="2:20" ht="23.1" customHeight="1" x14ac:dyDescent="0.25">
      <c r="B56" s="23" t="s">
        <v>83</v>
      </c>
      <c r="C56" s="50">
        <v>59</v>
      </c>
      <c r="D56" s="50">
        <v>8</v>
      </c>
      <c r="E56" s="50">
        <v>8</v>
      </c>
      <c r="F56" s="50">
        <v>36</v>
      </c>
      <c r="G56" s="50">
        <v>2</v>
      </c>
      <c r="H56" s="50">
        <v>2</v>
      </c>
      <c r="I56" s="50">
        <v>12</v>
      </c>
      <c r="J56" s="50">
        <v>1</v>
      </c>
      <c r="K56" s="50">
        <v>1</v>
      </c>
      <c r="L56" s="50">
        <v>2</v>
      </c>
      <c r="M56" s="50">
        <v>40</v>
      </c>
      <c r="N56" s="50">
        <v>0</v>
      </c>
      <c r="O56" s="15">
        <f t="shared" si="0"/>
        <v>131</v>
      </c>
      <c r="P56" s="15">
        <f t="shared" si="1"/>
        <v>171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11</v>
      </c>
      <c r="E57" s="50">
        <v>7</v>
      </c>
      <c r="F57" s="50">
        <v>36</v>
      </c>
      <c r="G57" s="50">
        <v>9</v>
      </c>
      <c r="H57" s="50">
        <v>2</v>
      </c>
      <c r="I57" s="50">
        <v>15</v>
      </c>
      <c r="J57" s="50">
        <v>2</v>
      </c>
      <c r="K57" s="50">
        <v>3</v>
      </c>
      <c r="L57" s="50">
        <v>2</v>
      </c>
      <c r="M57" s="50">
        <v>27</v>
      </c>
      <c r="N57" s="50">
        <v>0</v>
      </c>
      <c r="O57" s="15">
        <f t="shared" si="0"/>
        <v>147</v>
      </c>
      <c r="P57" s="15">
        <f t="shared" si="1"/>
        <v>174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1113</v>
      </c>
      <c r="D58" s="16">
        <f t="shared" si="21"/>
        <v>227</v>
      </c>
      <c r="E58" s="16">
        <f t="shared" si="21"/>
        <v>231</v>
      </c>
      <c r="F58" s="16">
        <f t="shared" si="21"/>
        <v>1005</v>
      </c>
      <c r="G58" s="16">
        <f t="shared" si="21"/>
        <v>50</v>
      </c>
      <c r="H58" s="16">
        <f t="shared" si="21"/>
        <v>64</v>
      </c>
      <c r="I58" s="16">
        <f t="shared" si="21"/>
        <v>602</v>
      </c>
      <c r="J58" s="16">
        <f t="shared" si="21"/>
        <v>70</v>
      </c>
      <c r="K58" s="16">
        <f t="shared" si="21"/>
        <v>36</v>
      </c>
      <c r="L58" s="16">
        <f t="shared" si="21"/>
        <v>138</v>
      </c>
      <c r="M58" s="16">
        <f t="shared" si="21"/>
        <v>1099</v>
      </c>
      <c r="N58" s="16">
        <f t="shared" si="21"/>
        <v>0</v>
      </c>
      <c r="O58" s="16">
        <f t="shared" si="21"/>
        <v>3536</v>
      </c>
      <c r="P58" s="16">
        <f t="shared" si="21"/>
        <v>4635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0.24012944983818771</v>
      </c>
      <c r="D59" s="43">
        <f t="shared" si="22"/>
        <v>4.8975188781014027E-2</v>
      </c>
      <c r="E59" s="43">
        <f t="shared" si="22"/>
        <v>4.983818770226537E-2</v>
      </c>
      <c r="F59" s="43">
        <f t="shared" si="22"/>
        <v>0.2168284789644013</v>
      </c>
      <c r="G59" s="43">
        <f t="shared" si="22"/>
        <v>1.0787486515641856E-2</v>
      </c>
      <c r="H59" s="43">
        <f t="shared" si="22"/>
        <v>1.3807982740021575E-2</v>
      </c>
      <c r="I59" s="43">
        <f t="shared" si="22"/>
        <v>0.12988133764832793</v>
      </c>
      <c r="J59" s="43">
        <f t="shared" si="22"/>
        <v>1.5102481121898598E-2</v>
      </c>
      <c r="K59" s="43">
        <f t="shared" si="22"/>
        <v>7.7669902912621356E-3</v>
      </c>
      <c r="L59" s="43">
        <f t="shared" si="22"/>
        <v>2.9773462783171521E-2</v>
      </c>
      <c r="M59" s="43">
        <f t="shared" si="22"/>
        <v>0.23710895361380799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0.31476244343891402</v>
      </c>
      <c r="D60" s="44">
        <f t="shared" ref="D60:N60" si="23">D58/$O$58</f>
        <v>6.4196832579185514E-2</v>
      </c>
      <c r="E60" s="44">
        <f t="shared" si="23"/>
        <v>6.5328054298642538E-2</v>
      </c>
      <c r="F60" s="44">
        <f t="shared" si="23"/>
        <v>0.28421945701357465</v>
      </c>
      <c r="G60" s="44">
        <f t="shared" si="23"/>
        <v>1.414027149321267E-2</v>
      </c>
      <c r="H60" s="44">
        <f t="shared" si="23"/>
        <v>1.8099547511312219E-2</v>
      </c>
      <c r="I60" s="44">
        <f t="shared" si="23"/>
        <v>0.17024886877828055</v>
      </c>
      <c r="J60" s="44">
        <f t="shared" si="23"/>
        <v>1.9796380090497737E-2</v>
      </c>
      <c r="K60" s="44">
        <f t="shared" si="23"/>
        <v>1.0180995475113122E-2</v>
      </c>
      <c r="L60" s="44">
        <f t="shared" si="23"/>
        <v>3.9027149321266968E-2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'30.10 Masaka-Maya'!D5</f>
        <v>30.10.19</v>
      </c>
      <c r="E5" s="3"/>
      <c r="F5" s="41" t="s">
        <v>1</v>
      </c>
      <c r="G5" s="66" t="str">
        <f>'28.10 Masaka-Maya'!G5:H5</f>
        <v>Maya</v>
      </c>
      <c r="H5" s="67"/>
      <c r="I5" s="14"/>
      <c r="J5" s="2" t="s">
        <v>5</v>
      </c>
      <c r="K5" s="66" t="str">
        <f>'28.10 Masaka-Maya'!K5:L5</f>
        <v>Kato joseph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'28.10 Maya-Masaka'!G6:H6</f>
        <v>Masaka</v>
      </c>
      <c r="H6" s="67"/>
      <c r="J6" s="2" t="s">
        <v>21</v>
      </c>
      <c r="K6" s="66" t="str">
        <f>'28.10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20</v>
      </c>
      <c r="E10" s="50">
        <v>12</v>
      </c>
      <c r="F10" s="50">
        <v>26</v>
      </c>
      <c r="G10" s="50">
        <v>3</v>
      </c>
      <c r="H10" s="50">
        <v>2</v>
      </c>
      <c r="I10" s="50">
        <v>10</v>
      </c>
      <c r="J10" s="50">
        <v>3</v>
      </c>
      <c r="K10" s="50">
        <v>3</v>
      </c>
      <c r="L10" s="50">
        <v>2</v>
      </c>
      <c r="M10" s="50">
        <v>13</v>
      </c>
      <c r="N10" s="50">
        <v>0</v>
      </c>
      <c r="O10" s="15">
        <f t="shared" ref="O10:O57" si="0">SUM(C10:L10,N10)</f>
        <v>121</v>
      </c>
      <c r="P10" s="15">
        <f t="shared" ref="P10:P57" si="1">SUM(C10:N10)</f>
        <v>134</v>
      </c>
      <c r="R10" s="1" t="s">
        <v>6</v>
      </c>
      <c r="S10" s="17">
        <f t="shared" ref="S10:AF10" si="2">SUM(C10:C13)</f>
        <v>149</v>
      </c>
      <c r="T10" s="17">
        <f t="shared" si="2"/>
        <v>60</v>
      </c>
      <c r="U10" s="17">
        <f t="shared" si="2"/>
        <v>41</v>
      </c>
      <c r="V10" s="17">
        <f t="shared" si="2"/>
        <v>88</v>
      </c>
      <c r="W10" s="17">
        <f t="shared" si="2"/>
        <v>11</v>
      </c>
      <c r="X10" s="17">
        <f t="shared" si="2"/>
        <v>7</v>
      </c>
      <c r="Y10" s="17">
        <f t="shared" si="2"/>
        <v>54</v>
      </c>
      <c r="Z10" s="17">
        <f t="shared" si="2"/>
        <v>38</v>
      </c>
      <c r="AA10" s="17">
        <f t="shared" si="2"/>
        <v>20</v>
      </c>
      <c r="AB10" s="17">
        <f t="shared" si="2"/>
        <v>8</v>
      </c>
      <c r="AC10" s="17">
        <f t="shared" si="2"/>
        <v>63</v>
      </c>
      <c r="AD10" s="17">
        <f t="shared" si="2"/>
        <v>0</v>
      </c>
      <c r="AE10" s="31">
        <f t="shared" si="2"/>
        <v>476</v>
      </c>
      <c r="AF10" s="31">
        <f t="shared" si="2"/>
        <v>539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16</v>
      </c>
      <c r="E11" s="50">
        <v>16</v>
      </c>
      <c r="F11" s="50">
        <v>30</v>
      </c>
      <c r="G11" s="50">
        <v>5</v>
      </c>
      <c r="H11" s="50">
        <v>1</v>
      </c>
      <c r="I11" s="50">
        <v>8</v>
      </c>
      <c r="J11" s="50">
        <v>7</v>
      </c>
      <c r="K11" s="50">
        <v>6</v>
      </c>
      <c r="L11" s="50">
        <v>0</v>
      </c>
      <c r="M11" s="50">
        <v>20</v>
      </c>
      <c r="N11" s="50">
        <v>0</v>
      </c>
      <c r="O11" s="15">
        <f t="shared" si="0"/>
        <v>124</v>
      </c>
      <c r="P11" s="15">
        <f t="shared" si="1"/>
        <v>144</v>
      </c>
      <c r="R11" s="1" t="s">
        <v>7</v>
      </c>
      <c r="S11" s="17">
        <f t="shared" ref="S11:AF11" si="3">SUM(C14:C17)</f>
        <v>64</v>
      </c>
      <c r="T11" s="17">
        <f t="shared" si="3"/>
        <v>20</v>
      </c>
      <c r="U11" s="17">
        <f t="shared" si="3"/>
        <v>12</v>
      </c>
      <c r="V11" s="17">
        <f t="shared" si="3"/>
        <v>67</v>
      </c>
      <c r="W11" s="17">
        <f t="shared" si="3"/>
        <v>11</v>
      </c>
      <c r="X11" s="17">
        <f t="shared" si="3"/>
        <v>6</v>
      </c>
      <c r="Y11" s="17">
        <f t="shared" si="3"/>
        <v>49</v>
      </c>
      <c r="Z11" s="17">
        <f t="shared" si="3"/>
        <v>39</v>
      </c>
      <c r="AA11" s="17">
        <f t="shared" si="3"/>
        <v>12</v>
      </c>
      <c r="AB11" s="17">
        <f t="shared" si="3"/>
        <v>6</v>
      </c>
      <c r="AC11" s="17">
        <f t="shared" si="3"/>
        <v>69</v>
      </c>
      <c r="AD11" s="17">
        <f t="shared" si="3"/>
        <v>0</v>
      </c>
      <c r="AE11" s="31">
        <f t="shared" si="3"/>
        <v>286</v>
      </c>
      <c r="AF11" s="31">
        <f t="shared" si="3"/>
        <v>355</v>
      </c>
    </row>
    <row r="12" spans="2:32" ht="23.1" customHeight="1" x14ac:dyDescent="0.25">
      <c r="B12" s="23" t="s">
        <v>39</v>
      </c>
      <c r="C12" s="50">
        <v>30</v>
      </c>
      <c r="D12" s="50">
        <v>8</v>
      </c>
      <c r="E12" s="50">
        <v>10</v>
      </c>
      <c r="F12" s="50">
        <v>15</v>
      </c>
      <c r="G12" s="50">
        <v>2</v>
      </c>
      <c r="H12" s="50">
        <v>4</v>
      </c>
      <c r="I12" s="50">
        <v>16</v>
      </c>
      <c r="J12" s="50">
        <v>19</v>
      </c>
      <c r="K12" s="50">
        <v>0</v>
      </c>
      <c r="L12" s="50">
        <v>3</v>
      </c>
      <c r="M12" s="50">
        <v>20</v>
      </c>
      <c r="N12" s="50">
        <v>0</v>
      </c>
      <c r="O12" s="15">
        <f t="shared" si="0"/>
        <v>107</v>
      </c>
      <c r="P12" s="15">
        <f t="shared" si="1"/>
        <v>127</v>
      </c>
      <c r="R12" s="1" t="s">
        <v>8</v>
      </c>
      <c r="S12" s="17">
        <f t="shared" ref="S12:AF12" si="4">SUM(C18:C21)</f>
        <v>40</v>
      </c>
      <c r="T12" s="17">
        <f t="shared" si="4"/>
        <v>8</v>
      </c>
      <c r="U12" s="17">
        <f t="shared" si="4"/>
        <v>10</v>
      </c>
      <c r="V12" s="17">
        <f t="shared" si="4"/>
        <v>32</v>
      </c>
      <c r="W12" s="17">
        <f t="shared" si="4"/>
        <v>3</v>
      </c>
      <c r="X12" s="17">
        <f t="shared" si="4"/>
        <v>3</v>
      </c>
      <c r="Y12" s="17">
        <f t="shared" si="4"/>
        <v>27</v>
      </c>
      <c r="Z12" s="17">
        <f t="shared" si="4"/>
        <v>8</v>
      </c>
      <c r="AA12" s="17">
        <f t="shared" si="4"/>
        <v>2</v>
      </c>
      <c r="AB12" s="17">
        <f t="shared" si="4"/>
        <v>1</v>
      </c>
      <c r="AC12" s="17">
        <f t="shared" si="4"/>
        <v>61</v>
      </c>
      <c r="AD12" s="17">
        <f t="shared" si="4"/>
        <v>0</v>
      </c>
      <c r="AE12" s="31">
        <f t="shared" si="4"/>
        <v>134</v>
      </c>
      <c r="AF12" s="31">
        <f t="shared" si="4"/>
        <v>195</v>
      </c>
    </row>
    <row r="13" spans="2:32" ht="23.1" customHeight="1" x14ac:dyDescent="0.25">
      <c r="B13" s="23" t="s">
        <v>40</v>
      </c>
      <c r="C13" s="50">
        <v>44</v>
      </c>
      <c r="D13" s="50">
        <v>16</v>
      </c>
      <c r="E13" s="50">
        <v>3</v>
      </c>
      <c r="F13" s="50">
        <v>17</v>
      </c>
      <c r="G13" s="50">
        <v>1</v>
      </c>
      <c r="H13" s="50">
        <v>0</v>
      </c>
      <c r="I13" s="50">
        <v>20</v>
      </c>
      <c r="J13" s="50">
        <v>9</v>
      </c>
      <c r="K13" s="50">
        <v>11</v>
      </c>
      <c r="L13" s="50">
        <v>3</v>
      </c>
      <c r="M13" s="50">
        <v>10</v>
      </c>
      <c r="N13" s="50">
        <v>0</v>
      </c>
      <c r="O13" s="15">
        <f t="shared" si="0"/>
        <v>124</v>
      </c>
      <c r="P13" s="15">
        <f t="shared" si="1"/>
        <v>134</v>
      </c>
      <c r="R13" s="1" t="s">
        <v>9</v>
      </c>
      <c r="S13" s="17">
        <f t="shared" ref="S13:AF13" si="5">SUM(C22:C25)</f>
        <v>125</v>
      </c>
      <c r="T13" s="17">
        <f t="shared" si="5"/>
        <v>33</v>
      </c>
      <c r="U13" s="17">
        <f t="shared" si="5"/>
        <v>15</v>
      </c>
      <c r="V13" s="17">
        <f t="shared" si="5"/>
        <v>105</v>
      </c>
      <c r="W13" s="17">
        <f t="shared" si="5"/>
        <v>14</v>
      </c>
      <c r="X13" s="17">
        <f t="shared" si="5"/>
        <v>5</v>
      </c>
      <c r="Y13" s="17">
        <f t="shared" si="5"/>
        <v>42</v>
      </c>
      <c r="Z13" s="17">
        <f t="shared" si="5"/>
        <v>10</v>
      </c>
      <c r="AA13" s="17">
        <f t="shared" si="5"/>
        <v>19</v>
      </c>
      <c r="AB13" s="17">
        <f t="shared" si="5"/>
        <v>20</v>
      </c>
      <c r="AC13" s="17">
        <f t="shared" si="5"/>
        <v>90</v>
      </c>
      <c r="AD13" s="17">
        <f t="shared" si="5"/>
        <v>0</v>
      </c>
      <c r="AE13" s="31">
        <f t="shared" si="5"/>
        <v>388</v>
      </c>
      <c r="AF13" s="31">
        <f t="shared" si="5"/>
        <v>478</v>
      </c>
    </row>
    <row r="14" spans="2:32" ht="23.1" customHeight="1" x14ac:dyDescent="0.25">
      <c r="B14" s="23" t="s">
        <v>41</v>
      </c>
      <c r="C14" s="50">
        <v>21</v>
      </c>
      <c r="D14" s="50">
        <v>3</v>
      </c>
      <c r="E14" s="50">
        <v>7</v>
      </c>
      <c r="F14" s="50">
        <v>20</v>
      </c>
      <c r="G14" s="50">
        <v>3</v>
      </c>
      <c r="H14" s="50">
        <v>3</v>
      </c>
      <c r="I14" s="50">
        <v>13</v>
      </c>
      <c r="J14" s="50">
        <v>10</v>
      </c>
      <c r="K14" s="50">
        <v>5</v>
      </c>
      <c r="L14" s="50">
        <v>3</v>
      </c>
      <c r="M14" s="50">
        <v>22</v>
      </c>
      <c r="N14" s="50">
        <v>0</v>
      </c>
      <c r="O14" s="15">
        <f t="shared" si="0"/>
        <v>88</v>
      </c>
      <c r="P14" s="15">
        <f t="shared" si="1"/>
        <v>110</v>
      </c>
      <c r="R14" s="1" t="s">
        <v>10</v>
      </c>
      <c r="S14" s="17">
        <f t="shared" ref="S14:AF14" si="6">SUM(C26:C29)</f>
        <v>137</v>
      </c>
      <c r="T14" s="17">
        <f t="shared" si="6"/>
        <v>44</v>
      </c>
      <c r="U14" s="17">
        <f t="shared" si="6"/>
        <v>22</v>
      </c>
      <c r="V14" s="17">
        <f t="shared" si="6"/>
        <v>120</v>
      </c>
      <c r="W14" s="17">
        <f t="shared" si="6"/>
        <v>10</v>
      </c>
      <c r="X14" s="17">
        <f t="shared" si="6"/>
        <v>6</v>
      </c>
      <c r="Y14" s="17">
        <f t="shared" si="6"/>
        <v>34</v>
      </c>
      <c r="Z14" s="17">
        <f t="shared" si="6"/>
        <v>7</v>
      </c>
      <c r="AA14" s="17">
        <f t="shared" si="6"/>
        <v>40</v>
      </c>
      <c r="AB14" s="17">
        <f t="shared" si="6"/>
        <v>13</v>
      </c>
      <c r="AC14" s="17">
        <f t="shared" si="6"/>
        <v>105</v>
      </c>
      <c r="AD14" s="17">
        <f t="shared" si="6"/>
        <v>0</v>
      </c>
      <c r="AE14" s="31">
        <f t="shared" si="6"/>
        <v>433</v>
      </c>
      <c r="AF14" s="31">
        <f t="shared" si="6"/>
        <v>538</v>
      </c>
    </row>
    <row r="15" spans="2:32" ht="23.1" customHeight="1" x14ac:dyDescent="0.25">
      <c r="B15" s="23" t="s">
        <v>42</v>
      </c>
      <c r="C15" s="50">
        <v>18</v>
      </c>
      <c r="D15" s="50">
        <v>13</v>
      </c>
      <c r="E15" s="50">
        <v>5</v>
      </c>
      <c r="F15" s="50">
        <v>18</v>
      </c>
      <c r="G15" s="50">
        <v>5</v>
      </c>
      <c r="H15" s="50">
        <v>1</v>
      </c>
      <c r="I15" s="50">
        <v>8</v>
      </c>
      <c r="J15" s="50">
        <v>2</v>
      </c>
      <c r="K15" s="50">
        <v>3</v>
      </c>
      <c r="L15" s="50">
        <v>1</v>
      </c>
      <c r="M15" s="50">
        <v>13</v>
      </c>
      <c r="N15" s="50">
        <v>0</v>
      </c>
      <c r="O15" s="15">
        <f t="shared" si="0"/>
        <v>74</v>
      </c>
      <c r="P15" s="15">
        <f t="shared" si="1"/>
        <v>87</v>
      </c>
      <c r="R15" s="1" t="s">
        <v>11</v>
      </c>
      <c r="S15" s="17">
        <f t="shared" ref="S15:AF15" si="7">SUM(C30:C33)</f>
        <v>107</v>
      </c>
      <c r="T15" s="17">
        <f t="shared" si="7"/>
        <v>33</v>
      </c>
      <c r="U15" s="17">
        <f t="shared" si="7"/>
        <v>18</v>
      </c>
      <c r="V15" s="17">
        <f t="shared" si="7"/>
        <v>90</v>
      </c>
      <c r="W15" s="17">
        <f t="shared" si="7"/>
        <v>2</v>
      </c>
      <c r="X15" s="17">
        <f t="shared" si="7"/>
        <v>6</v>
      </c>
      <c r="Y15" s="17">
        <f t="shared" si="7"/>
        <v>42</v>
      </c>
      <c r="Z15" s="17">
        <f t="shared" si="7"/>
        <v>18</v>
      </c>
      <c r="AA15" s="17">
        <f t="shared" si="7"/>
        <v>3</v>
      </c>
      <c r="AB15" s="17">
        <f t="shared" si="7"/>
        <v>7</v>
      </c>
      <c r="AC15" s="17">
        <f t="shared" si="7"/>
        <v>65</v>
      </c>
      <c r="AD15" s="17">
        <f t="shared" si="7"/>
        <v>0</v>
      </c>
      <c r="AE15" s="31">
        <f t="shared" si="7"/>
        <v>326</v>
      </c>
      <c r="AF15" s="31">
        <f t="shared" si="7"/>
        <v>391</v>
      </c>
    </row>
    <row r="16" spans="2:32" ht="23.1" customHeight="1" x14ac:dyDescent="0.25">
      <c r="B16" s="23" t="s">
        <v>43</v>
      </c>
      <c r="C16" s="50">
        <v>20</v>
      </c>
      <c r="D16" s="50">
        <v>4</v>
      </c>
      <c r="E16" s="50">
        <v>0</v>
      </c>
      <c r="F16" s="50">
        <v>20</v>
      </c>
      <c r="G16" s="50">
        <v>1</v>
      </c>
      <c r="H16" s="50">
        <v>1</v>
      </c>
      <c r="I16" s="50">
        <v>15</v>
      </c>
      <c r="J16" s="50">
        <v>19</v>
      </c>
      <c r="K16" s="50">
        <v>3</v>
      </c>
      <c r="L16" s="50">
        <v>1</v>
      </c>
      <c r="M16" s="50">
        <v>20</v>
      </c>
      <c r="N16" s="50">
        <v>0</v>
      </c>
      <c r="O16" s="15">
        <f t="shared" si="0"/>
        <v>84</v>
      </c>
      <c r="P16" s="15">
        <f t="shared" si="1"/>
        <v>104</v>
      </c>
      <c r="R16" s="1" t="s">
        <v>12</v>
      </c>
      <c r="S16" s="17">
        <f t="shared" ref="S16:AF16" si="8">SUM(C34:C37)</f>
        <v>145</v>
      </c>
      <c r="T16" s="17">
        <f t="shared" si="8"/>
        <v>24</v>
      </c>
      <c r="U16" s="17">
        <f t="shared" si="8"/>
        <v>23</v>
      </c>
      <c r="V16" s="17">
        <f t="shared" si="8"/>
        <v>100</v>
      </c>
      <c r="W16" s="17">
        <f t="shared" si="8"/>
        <v>4</v>
      </c>
      <c r="X16" s="17">
        <f t="shared" si="8"/>
        <v>6</v>
      </c>
      <c r="Y16" s="17">
        <f t="shared" si="8"/>
        <v>58</v>
      </c>
      <c r="Z16" s="17">
        <f t="shared" si="8"/>
        <v>23</v>
      </c>
      <c r="AA16" s="17">
        <f t="shared" si="8"/>
        <v>8</v>
      </c>
      <c r="AB16" s="17">
        <f t="shared" si="8"/>
        <v>7</v>
      </c>
      <c r="AC16" s="17">
        <f t="shared" si="8"/>
        <v>57</v>
      </c>
      <c r="AD16" s="17">
        <f t="shared" si="8"/>
        <v>0</v>
      </c>
      <c r="AE16" s="31">
        <f t="shared" si="8"/>
        <v>398</v>
      </c>
      <c r="AF16" s="31">
        <f t="shared" si="8"/>
        <v>455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0</v>
      </c>
      <c r="F17" s="50">
        <v>9</v>
      </c>
      <c r="G17" s="50">
        <v>2</v>
      </c>
      <c r="H17" s="50">
        <v>1</v>
      </c>
      <c r="I17" s="50">
        <v>13</v>
      </c>
      <c r="J17" s="50">
        <v>8</v>
      </c>
      <c r="K17" s="50">
        <v>1</v>
      </c>
      <c r="L17" s="50">
        <v>1</v>
      </c>
      <c r="M17" s="50">
        <v>14</v>
      </c>
      <c r="N17" s="50">
        <v>0</v>
      </c>
      <c r="O17" s="15">
        <f t="shared" si="0"/>
        <v>40</v>
      </c>
      <c r="P17" s="15">
        <f t="shared" si="1"/>
        <v>54</v>
      </c>
      <c r="R17" s="1" t="s">
        <v>13</v>
      </c>
      <c r="S17" s="17">
        <f t="shared" ref="S17:AF17" si="9">SUM(C38:C41)</f>
        <v>94</v>
      </c>
      <c r="T17" s="17">
        <f t="shared" si="9"/>
        <v>19</v>
      </c>
      <c r="U17" s="17">
        <f t="shared" si="9"/>
        <v>14</v>
      </c>
      <c r="V17" s="17">
        <f t="shared" si="9"/>
        <v>88</v>
      </c>
      <c r="W17" s="17">
        <f t="shared" si="9"/>
        <v>3</v>
      </c>
      <c r="X17" s="17">
        <f t="shared" si="9"/>
        <v>4</v>
      </c>
      <c r="Y17" s="17">
        <f t="shared" si="9"/>
        <v>49</v>
      </c>
      <c r="Z17" s="17">
        <f t="shared" si="9"/>
        <v>28</v>
      </c>
      <c r="AA17" s="17">
        <f t="shared" si="9"/>
        <v>7</v>
      </c>
      <c r="AB17" s="17">
        <f t="shared" si="9"/>
        <v>4</v>
      </c>
      <c r="AC17" s="17">
        <f t="shared" si="9"/>
        <v>75</v>
      </c>
      <c r="AD17" s="17">
        <f t="shared" si="9"/>
        <v>0</v>
      </c>
      <c r="AE17" s="31">
        <f t="shared" si="9"/>
        <v>310</v>
      </c>
      <c r="AF17" s="31">
        <f t="shared" si="9"/>
        <v>385</v>
      </c>
    </row>
    <row r="18" spans="2:32" ht="23.1" customHeight="1" x14ac:dyDescent="0.25">
      <c r="B18" s="23" t="s">
        <v>45</v>
      </c>
      <c r="C18" s="50">
        <v>15</v>
      </c>
      <c r="D18" s="50">
        <v>2</v>
      </c>
      <c r="E18" s="50">
        <v>3</v>
      </c>
      <c r="F18" s="50">
        <v>8</v>
      </c>
      <c r="G18" s="50">
        <v>0</v>
      </c>
      <c r="H18" s="50">
        <v>2</v>
      </c>
      <c r="I18" s="50">
        <v>9</v>
      </c>
      <c r="J18" s="50">
        <v>8</v>
      </c>
      <c r="K18" s="50">
        <v>0</v>
      </c>
      <c r="L18" s="50">
        <v>1</v>
      </c>
      <c r="M18" s="50">
        <v>13</v>
      </c>
      <c r="N18" s="50">
        <v>0</v>
      </c>
      <c r="O18" s="15">
        <f t="shared" si="0"/>
        <v>48</v>
      </c>
      <c r="P18" s="15">
        <f t="shared" si="1"/>
        <v>61</v>
      </c>
      <c r="R18" s="1" t="s">
        <v>14</v>
      </c>
      <c r="S18" s="17">
        <f t="shared" ref="S18:AF18" si="10">SUM(C42:C45)</f>
        <v>93</v>
      </c>
      <c r="T18" s="17">
        <f t="shared" si="10"/>
        <v>28</v>
      </c>
      <c r="U18" s="17">
        <f t="shared" si="10"/>
        <v>25</v>
      </c>
      <c r="V18" s="17">
        <f t="shared" si="10"/>
        <v>74</v>
      </c>
      <c r="W18" s="17">
        <f t="shared" si="10"/>
        <v>1</v>
      </c>
      <c r="X18" s="17">
        <f t="shared" si="10"/>
        <v>6</v>
      </c>
      <c r="Y18" s="17">
        <f t="shared" si="10"/>
        <v>31</v>
      </c>
      <c r="Z18" s="17">
        <f t="shared" si="10"/>
        <v>26</v>
      </c>
      <c r="AA18" s="17">
        <f t="shared" si="10"/>
        <v>13</v>
      </c>
      <c r="AB18" s="17">
        <f t="shared" si="10"/>
        <v>11</v>
      </c>
      <c r="AC18" s="17">
        <f t="shared" si="10"/>
        <v>66</v>
      </c>
      <c r="AD18" s="17">
        <f t="shared" si="10"/>
        <v>0</v>
      </c>
      <c r="AE18" s="31">
        <f t="shared" si="10"/>
        <v>308</v>
      </c>
      <c r="AF18" s="31">
        <f t="shared" si="10"/>
        <v>374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6</v>
      </c>
      <c r="P19" s="15">
        <f t="shared" si="1"/>
        <v>18</v>
      </c>
      <c r="R19" s="1" t="s">
        <v>15</v>
      </c>
      <c r="S19" s="17">
        <f t="shared" ref="S19:AF19" si="11">SUM(C46:C49)</f>
        <v>85</v>
      </c>
      <c r="T19" s="17">
        <f t="shared" si="11"/>
        <v>25</v>
      </c>
      <c r="U19" s="17">
        <f t="shared" si="11"/>
        <v>24</v>
      </c>
      <c r="V19" s="17">
        <f t="shared" si="11"/>
        <v>72</v>
      </c>
      <c r="W19" s="17">
        <f t="shared" si="11"/>
        <v>3</v>
      </c>
      <c r="X19" s="17">
        <f t="shared" si="11"/>
        <v>5</v>
      </c>
      <c r="Y19" s="17">
        <f t="shared" si="11"/>
        <v>71</v>
      </c>
      <c r="Z19" s="17">
        <f t="shared" si="11"/>
        <v>23</v>
      </c>
      <c r="AA19" s="17">
        <f t="shared" si="11"/>
        <v>17</v>
      </c>
      <c r="AB19" s="17">
        <f t="shared" si="11"/>
        <v>10</v>
      </c>
      <c r="AC19" s="17">
        <f t="shared" si="11"/>
        <v>81</v>
      </c>
      <c r="AD19" s="17">
        <f t="shared" si="11"/>
        <v>0</v>
      </c>
      <c r="AE19" s="31">
        <f t="shared" si="11"/>
        <v>335</v>
      </c>
      <c r="AF19" s="31">
        <f t="shared" si="11"/>
        <v>416</v>
      </c>
    </row>
    <row r="20" spans="2:32" ht="23.1" customHeight="1" x14ac:dyDescent="0.25">
      <c r="B20" s="23" t="s">
        <v>47</v>
      </c>
      <c r="C20" s="50">
        <v>8</v>
      </c>
      <c r="D20" s="50">
        <v>2</v>
      </c>
      <c r="E20" s="50">
        <v>3</v>
      </c>
      <c r="F20" s="50">
        <v>7</v>
      </c>
      <c r="G20" s="50">
        <v>3</v>
      </c>
      <c r="H20" s="50">
        <v>1</v>
      </c>
      <c r="I20" s="50">
        <v>8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32</v>
      </c>
      <c r="P20" s="15">
        <f t="shared" si="1"/>
        <v>46</v>
      </c>
      <c r="R20" s="1" t="s">
        <v>16</v>
      </c>
      <c r="S20" s="17">
        <f t="shared" ref="S20:AF20" si="12">SUM(C50:C53)</f>
        <v>90</v>
      </c>
      <c r="T20" s="17">
        <f t="shared" si="12"/>
        <v>10</v>
      </c>
      <c r="U20" s="17">
        <f t="shared" si="12"/>
        <v>5</v>
      </c>
      <c r="V20" s="17">
        <f t="shared" si="12"/>
        <v>100</v>
      </c>
      <c r="W20" s="17">
        <f t="shared" si="12"/>
        <v>4</v>
      </c>
      <c r="X20" s="17">
        <f t="shared" si="12"/>
        <v>4</v>
      </c>
      <c r="Y20" s="17">
        <f t="shared" si="12"/>
        <v>52</v>
      </c>
      <c r="Z20" s="17">
        <f t="shared" si="12"/>
        <v>6</v>
      </c>
      <c r="AA20" s="17">
        <f t="shared" si="12"/>
        <v>7</v>
      </c>
      <c r="AB20" s="17">
        <f t="shared" si="12"/>
        <v>5</v>
      </c>
      <c r="AC20" s="17">
        <f t="shared" si="12"/>
        <v>59</v>
      </c>
      <c r="AD20" s="17">
        <f t="shared" si="12"/>
        <v>0</v>
      </c>
      <c r="AE20" s="31">
        <f t="shared" si="12"/>
        <v>283</v>
      </c>
      <c r="AF20" s="31">
        <f t="shared" si="12"/>
        <v>342</v>
      </c>
    </row>
    <row r="21" spans="2:32" ht="23.1" customHeight="1" x14ac:dyDescent="0.25">
      <c r="B21" s="23" t="s">
        <v>48</v>
      </c>
      <c r="C21" s="50">
        <v>16</v>
      </c>
      <c r="D21" s="50">
        <v>4</v>
      </c>
      <c r="E21" s="50">
        <v>4</v>
      </c>
      <c r="F21" s="50">
        <v>13</v>
      </c>
      <c r="G21" s="50">
        <v>0</v>
      </c>
      <c r="H21" s="50">
        <v>0</v>
      </c>
      <c r="I21" s="50">
        <v>9</v>
      </c>
      <c r="J21" s="50">
        <v>0</v>
      </c>
      <c r="K21" s="50">
        <v>2</v>
      </c>
      <c r="L21" s="50">
        <v>0</v>
      </c>
      <c r="M21" s="50">
        <v>22</v>
      </c>
      <c r="N21" s="50">
        <v>0</v>
      </c>
      <c r="O21" s="15">
        <f t="shared" si="0"/>
        <v>48</v>
      </c>
      <c r="P21" s="15">
        <f t="shared" si="1"/>
        <v>70</v>
      </c>
      <c r="R21" s="36" t="s">
        <v>20</v>
      </c>
      <c r="S21" s="34">
        <f t="shared" ref="S21:AF21" si="13">SUM(C54:C57)</f>
        <v>66</v>
      </c>
      <c r="T21" s="17">
        <f t="shared" si="13"/>
        <v>14</v>
      </c>
      <c r="U21" s="17">
        <f t="shared" si="13"/>
        <v>7</v>
      </c>
      <c r="V21" s="17">
        <f t="shared" si="13"/>
        <v>99</v>
      </c>
      <c r="W21" s="17">
        <f t="shared" si="13"/>
        <v>5</v>
      </c>
      <c r="X21" s="17">
        <f t="shared" si="13"/>
        <v>4</v>
      </c>
      <c r="Y21" s="17">
        <f t="shared" si="13"/>
        <v>77</v>
      </c>
      <c r="Z21" s="17">
        <f t="shared" si="13"/>
        <v>15</v>
      </c>
      <c r="AA21" s="17">
        <f t="shared" si="13"/>
        <v>9</v>
      </c>
      <c r="AB21" s="17">
        <f t="shared" si="13"/>
        <v>9</v>
      </c>
      <c r="AC21" s="17">
        <f t="shared" si="13"/>
        <v>85</v>
      </c>
      <c r="AD21" s="17">
        <f t="shared" si="13"/>
        <v>0</v>
      </c>
      <c r="AE21" s="31">
        <f t="shared" si="13"/>
        <v>305</v>
      </c>
      <c r="AF21" s="31">
        <f t="shared" si="13"/>
        <v>390</v>
      </c>
    </row>
    <row r="22" spans="2:32" ht="23.1" customHeight="1" x14ac:dyDescent="0.25">
      <c r="B22" s="23" t="s">
        <v>49</v>
      </c>
      <c r="C22" s="50">
        <v>33</v>
      </c>
      <c r="D22" s="50">
        <v>5</v>
      </c>
      <c r="E22" s="50">
        <v>4</v>
      </c>
      <c r="F22" s="50">
        <v>23</v>
      </c>
      <c r="G22" s="50">
        <v>3</v>
      </c>
      <c r="H22" s="50">
        <v>2</v>
      </c>
      <c r="I22" s="50">
        <v>9</v>
      </c>
      <c r="J22" s="50">
        <v>0</v>
      </c>
      <c r="K22" s="50">
        <v>1</v>
      </c>
      <c r="L22" s="50">
        <v>1</v>
      </c>
      <c r="M22" s="50">
        <v>25</v>
      </c>
      <c r="N22" s="50">
        <v>0</v>
      </c>
      <c r="O22" s="15">
        <f t="shared" si="0"/>
        <v>81</v>
      </c>
      <c r="P22" s="15">
        <f t="shared" si="1"/>
        <v>106</v>
      </c>
      <c r="R22" s="38" t="s">
        <v>90</v>
      </c>
      <c r="S22" s="39">
        <f>MAX(S10:S12)</f>
        <v>149</v>
      </c>
      <c r="T22" s="39">
        <f t="shared" ref="T22:AF22" si="14">MAX(T10:T12)</f>
        <v>60</v>
      </c>
      <c r="U22" s="39">
        <f t="shared" si="14"/>
        <v>41</v>
      </c>
      <c r="V22" s="39">
        <f t="shared" si="14"/>
        <v>88</v>
      </c>
      <c r="W22" s="39">
        <f t="shared" si="14"/>
        <v>11</v>
      </c>
      <c r="X22" s="39">
        <f t="shared" si="14"/>
        <v>7</v>
      </c>
      <c r="Y22" s="39">
        <f t="shared" si="14"/>
        <v>54</v>
      </c>
      <c r="Z22" s="39">
        <f t="shared" si="14"/>
        <v>39</v>
      </c>
      <c r="AA22" s="39">
        <f t="shared" si="14"/>
        <v>20</v>
      </c>
      <c r="AB22" s="39">
        <f t="shared" si="14"/>
        <v>8</v>
      </c>
      <c r="AC22" s="39">
        <f t="shared" si="14"/>
        <v>69</v>
      </c>
      <c r="AD22" s="39">
        <f t="shared" si="14"/>
        <v>0</v>
      </c>
      <c r="AE22" s="40">
        <f t="shared" si="14"/>
        <v>476</v>
      </c>
      <c r="AF22" s="40">
        <f t="shared" si="14"/>
        <v>539</v>
      </c>
    </row>
    <row r="23" spans="2:32" ht="23.1" customHeight="1" x14ac:dyDescent="0.25">
      <c r="B23" s="23" t="s">
        <v>50</v>
      </c>
      <c r="C23" s="50">
        <v>30</v>
      </c>
      <c r="D23" s="50">
        <v>8</v>
      </c>
      <c r="E23" s="50">
        <v>7</v>
      </c>
      <c r="F23" s="50">
        <v>25</v>
      </c>
      <c r="G23" s="50">
        <v>4</v>
      </c>
      <c r="H23" s="50">
        <v>2</v>
      </c>
      <c r="I23" s="50">
        <v>12</v>
      </c>
      <c r="J23" s="50">
        <v>2</v>
      </c>
      <c r="K23" s="50">
        <v>1</v>
      </c>
      <c r="L23" s="50">
        <v>7</v>
      </c>
      <c r="M23" s="50">
        <v>20</v>
      </c>
      <c r="N23" s="50">
        <v>0</v>
      </c>
      <c r="O23" s="15">
        <f t="shared" si="0"/>
        <v>98</v>
      </c>
      <c r="P23" s="15">
        <f t="shared" si="1"/>
        <v>118</v>
      </c>
      <c r="R23" s="38" t="s">
        <v>91</v>
      </c>
      <c r="S23" s="39">
        <f>MAX(S13:S18)</f>
        <v>145</v>
      </c>
      <c r="T23" s="39">
        <f t="shared" ref="T23:AF23" si="15">MAX(T13:T18)</f>
        <v>44</v>
      </c>
      <c r="U23" s="39">
        <f t="shared" si="15"/>
        <v>25</v>
      </c>
      <c r="V23" s="39">
        <f t="shared" si="15"/>
        <v>120</v>
      </c>
      <c r="W23" s="39">
        <f t="shared" si="15"/>
        <v>14</v>
      </c>
      <c r="X23" s="39">
        <f t="shared" si="15"/>
        <v>6</v>
      </c>
      <c r="Y23" s="39">
        <f t="shared" si="15"/>
        <v>58</v>
      </c>
      <c r="Z23" s="39">
        <f t="shared" si="15"/>
        <v>28</v>
      </c>
      <c r="AA23" s="39">
        <f t="shared" si="15"/>
        <v>40</v>
      </c>
      <c r="AB23" s="39">
        <f t="shared" si="15"/>
        <v>20</v>
      </c>
      <c r="AC23" s="39">
        <f t="shared" si="15"/>
        <v>105</v>
      </c>
      <c r="AD23" s="39">
        <f t="shared" si="15"/>
        <v>0</v>
      </c>
      <c r="AE23" s="40">
        <f t="shared" si="15"/>
        <v>433</v>
      </c>
      <c r="AF23" s="40">
        <f t="shared" si="15"/>
        <v>538</v>
      </c>
    </row>
    <row r="24" spans="2:32" ht="23.1" customHeight="1" x14ac:dyDescent="0.25">
      <c r="B24" s="23" t="s">
        <v>51</v>
      </c>
      <c r="C24" s="50">
        <v>22</v>
      </c>
      <c r="D24" s="50">
        <v>5</v>
      </c>
      <c r="E24" s="50">
        <v>4</v>
      </c>
      <c r="F24" s="50">
        <v>27</v>
      </c>
      <c r="G24" s="50">
        <v>5</v>
      </c>
      <c r="H24" s="50">
        <v>1</v>
      </c>
      <c r="I24" s="50">
        <v>9</v>
      </c>
      <c r="J24" s="50">
        <v>6</v>
      </c>
      <c r="K24" s="50">
        <v>8</v>
      </c>
      <c r="L24" s="50">
        <v>6</v>
      </c>
      <c r="M24" s="50">
        <v>18</v>
      </c>
      <c r="N24" s="50">
        <v>0</v>
      </c>
      <c r="O24" s="15">
        <f t="shared" si="0"/>
        <v>93</v>
      </c>
      <c r="P24" s="15">
        <f t="shared" si="1"/>
        <v>111</v>
      </c>
      <c r="R24" s="38" t="s">
        <v>92</v>
      </c>
      <c r="S24" s="39">
        <f>MAX(S19:S21)</f>
        <v>90</v>
      </c>
      <c r="T24" s="39">
        <f t="shared" ref="T24:AF24" si="16">MAX(T19:T21)</f>
        <v>25</v>
      </c>
      <c r="U24" s="39">
        <f t="shared" si="16"/>
        <v>24</v>
      </c>
      <c r="V24" s="39">
        <f t="shared" si="16"/>
        <v>100</v>
      </c>
      <c r="W24" s="39">
        <f t="shared" si="16"/>
        <v>5</v>
      </c>
      <c r="X24" s="39">
        <f t="shared" si="16"/>
        <v>5</v>
      </c>
      <c r="Y24" s="39">
        <f t="shared" si="16"/>
        <v>77</v>
      </c>
      <c r="Z24" s="39">
        <f t="shared" si="16"/>
        <v>23</v>
      </c>
      <c r="AA24" s="39">
        <f t="shared" si="16"/>
        <v>17</v>
      </c>
      <c r="AB24" s="39">
        <f t="shared" si="16"/>
        <v>10</v>
      </c>
      <c r="AC24" s="39">
        <f t="shared" si="16"/>
        <v>85</v>
      </c>
      <c r="AD24" s="39">
        <f t="shared" si="16"/>
        <v>0</v>
      </c>
      <c r="AE24" s="40">
        <f t="shared" si="16"/>
        <v>335</v>
      </c>
      <c r="AF24" s="40">
        <f t="shared" si="16"/>
        <v>416</v>
      </c>
    </row>
    <row r="25" spans="2:32" ht="23.1" customHeight="1" x14ac:dyDescent="0.25">
      <c r="B25" s="23" t="s">
        <v>52</v>
      </c>
      <c r="C25" s="50">
        <v>40</v>
      </c>
      <c r="D25" s="50">
        <v>15</v>
      </c>
      <c r="E25" s="50">
        <v>0</v>
      </c>
      <c r="F25" s="50">
        <v>30</v>
      </c>
      <c r="G25" s="50">
        <v>2</v>
      </c>
      <c r="H25" s="50">
        <v>0</v>
      </c>
      <c r="I25" s="50">
        <v>12</v>
      </c>
      <c r="J25" s="50">
        <v>2</v>
      </c>
      <c r="K25" s="50">
        <v>9</v>
      </c>
      <c r="L25" s="50">
        <v>6</v>
      </c>
      <c r="M25" s="50">
        <v>27</v>
      </c>
      <c r="N25" s="50">
        <v>0</v>
      </c>
      <c r="O25" s="15">
        <f t="shared" si="0"/>
        <v>116</v>
      </c>
      <c r="P25" s="15">
        <f t="shared" si="1"/>
        <v>143</v>
      </c>
      <c r="R25" s="37" t="s">
        <v>85</v>
      </c>
      <c r="S25" s="35">
        <f t="shared" ref="S25:AF25" si="17">SUM(S10:S12)</f>
        <v>253</v>
      </c>
      <c r="T25" s="16">
        <f t="shared" si="17"/>
        <v>88</v>
      </c>
      <c r="U25" s="16">
        <f t="shared" si="17"/>
        <v>63</v>
      </c>
      <c r="V25" s="16">
        <f t="shared" si="17"/>
        <v>187</v>
      </c>
      <c r="W25" s="16">
        <f t="shared" si="17"/>
        <v>25</v>
      </c>
      <c r="X25" s="16">
        <f t="shared" si="17"/>
        <v>16</v>
      </c>
      <c r="Y25" s="16">
        <f t="shared" si="17"/>
        <v>130</v>
      </c>
      <c r="Z25" s="16">
        <f t="shared" si="17"/>
        <v>85</v>
      </c>
      <c r="AA25" s="16">
        <f t="shared" si="17"/>
        <v>34</v>
      </c>
      <c r="AB25" s="16">
        <f t="shared" si="17"/>
        <v>15</v>
      </c>
      <c r="AC25" s="16">
        <f t="shared" si="17"/>
        <v>193</v>
      </c>
      <c r="AD25" s="16">
        <f t="shared" si="17"/>
        <v>0</v>
      </c>
      <c r="AE25" s="32">
        <f t="shared" si="17"/>
        <v>896</v>
      </c>
      <c r="AF25" s="32">
        <f t="shared" si="17"/>
        <v>1089</v>
      </c>
    </row>
    <row r="26" spans="2:32" ht="23.1" customHeight="1" x14ac:dyDescent="0.25">
      <c r="B26" s="23" t="s">
        <v>53</v>
      </c>
      <c r="C26" s="50">
        <v>40</v>
      </c>
      <c r="D26" s="50">
        <v>10</v>
      </c>
      <c r="E26" s="50">
        <v>3</v>
      </c>
      <c r="F26" s="50">
        <v>32</v>
      </c>
      <c r="G26" s="50">
        <v>2</v>
      </c>
      <c r="H26" s="50">
        <v>2</v>
      </c>
      <c r="I26" s="50">
        <v>6</v>
      </c>
      <c r="J26" s="50">
        <v>1</v>
      </c>
      <c r="K26" s="50">
        <v>10</v>
      </c>
      <c r="L26" s="50">
        <v>3</v>
      </c>
      <c r="M26" s="50">
        <v>31</v>
      </c>
      <c r="N26" s="50">
        <v>0</v>
      </c>
      <c r="O26" s="15">
        <f t="shared" si="0"/>
        <v>109</v>
      </c>
      <c r="P26" s="15">
        <f t="shared" si="1"/>
        <v>140</v>
      </c>
      <c r="R26" s="28" t="s">
        <v>86</v>
      </c>
      <c r="S26" s="16">
        <f t="shared" ref="S26:AF26" si="18">SUM(S13:S18)</f>
        <v>701</v>
      </c>
      <c r="T26" s="16">
        <f t="shared" si="18"/>
        <v>181</v>
      </c>
      <c r="U26" s="16">
        <f t="shared" si="18"/>
        <v>117</v>
      </c>
      <c r="V26" s="16">
        <f t="shared" si="18"/>
        <v>577</v>
      </c>
      <c r="W26" s="16">
        <f t="shared" si="18"/>
        <v>34</v>
      </c>
      <c r="X26" s="16">
        <f t="shared" si="18"/>
        <v>33</v>
      </c>
      <c r="Y26" s="16">
        <f t="shared" si="18"/>
        <v>256</v>
      </c>
      <c r="Z26" s="16">
        <f t="shared" si="18"/>
        <v>112</v>
      </c>
      <c r="AA26" s="16">
        <f t="shared" si="18"/>
        <v>90</v>
      </c>
      <c r="AB26" s="16">
        <f t="shared" si="18"/>
        <v>62</v>
      </c>
      <c r="AC26" s="16">
        <f t="shared" si="18"/>
        <v>458</v>
      </c>
      <c r="AD26" s="16">
        <f t="shared" si="18"/>
        <v>0</v>
      </c>
      <c r="AE26" s="32">
        <f t="shared" si="18"/>
        <v>2163</v>
      </c>
      <c r="AF26" s="32">
        <f t="shared" si="18"/>
        <v>2621</v>
      </c>
    </row>
    <row r="27" spans="2:32" ht="23.1" customHeight="1" x14ac:dyDescent="0.25">
      <c r="B27" s="23" t="s">
        <v>54</v>
      </c>
      <c r="C27" s="50">
        <v>29</v>
      </c>
      <c r="D27" s="50">
        <v>12</v>
      </c>
      <c r="E27" s="50">
        <v>6</v>
      </c>
      <c r="F27" s="50">
        <v>29</v>
      </c>
      <c r="G27" s="50">
        <v>3</v>
      </c>
      <c r="H27" s="50">
        <v>1</v>
      </c>
      <c r="I27" s="50">
        <v>8</v>
      </c>
      <c r="J27" s="50">
        <v>2</v>
      </c>
      <c r="K27" s="50">
        <v>9</v>
      </c>
      <c r="L27" s="50">
        <v>2</v>
      </c>
      <c r="M27" s="50">
        <v>32</v>
      </c>
      <c r="N27" s="50">
        <v>0</v>
      </c>
      <c r="O27" s="15">
        <f t="shared" si="0"/>
        <v>101</v>
      </c>
      <c r="P27" s="15">
        <f t="shared" si="1"/>
        <v>133</v>
      </c>
      <c r="R27" s="29" t="s">
        <v>87</v>
      </c>
      <c r="S27" s="16">
        <f t="shared" ref="S27:AF27" si="19">SUM(S19:S21)</f>
        <v>241</v>
      </c>
      <c r="T27" s="16">
        <f t="shared" si="19"/>
        <v>49</v>
      </c>
      <c r="U27" s="16">
        <f t="shared" si="19"/>
        <v>36</v>
      </c>
      <c r="V27" s="16">
        <f t="shared" si="19"/>
        <v>271</v>
      </c>
      <c r="W27" s="16">
        <f t="shared" si="19"/>
        <v>12</v>
      </c>
      <c r="X27" s="16">
        <f t="shared" si="19"/>
        <v>13</v>
      </c>
      <c r="Y27" s="16">
        <f t="shared" si="19"/>
        <v>200</v>
      </c>
      <c r="Z27" s="16">
        <f t="shared" si="19"/>
        <v>44</v>
      </c>
      <c r="AA27" s="16">
        <f t="shared" si="19"/>
        <v>33</v>
      </c>
      <c r="AB27" s="16">
        <f t="shared" si="19"/>
        <v>24</v>
      </c>
      <c r="AC27" s="16">
        <f t="shared" si="19"/>
        <v>225</v>
      </c>
      <c r="AD27" s="16">
        <f t="shared" si="19"/>
        <v>0</v>
      </c>
      <c r="AE27" s="32">
        <f t="shared" si="19"/>
        <v>923</v>
      </c>
      <c r="AF27" s="32">
        <f t="shared" si="19"/>
        <v>1148</v>
      </c>
    </row>
    <row r="28" spans="2:32" ht="23.1" customHeight="1" x14ac:dyDescent="0.25">
      <c r="B28" s="23" t="s">
        <v>55</v>
      </c>
      <c r="C28" s="50">
        <v>28</v>
      </c>
      <c r="D28" s="50">
        <v>8</v>
      </c>
      <c r="E28" s="50">
        <v>4</v>
      </c>
      <c r="F28" s="50">
        <v>27</v>
      </c>
      <c r="G28" s="50">
        <v>4</v>
      </c>
      <c r="H28" s="50">
        <v>3</v>
      </c>
      <c r="I28" s="50">
        <v>10</v>
      </c>
      <c r="J28" s="50">
        <v>0</v>
      </c>
      <c r="K28" s="50">
        <v>12</v>
      </c>
      <c r="L28" s="50">
        <v>4</v>
      </c>
      <c r="M28" s="50">
        <v>24</v>
      </c>
      <c r="N28" s="50">
        <v>0</v>
      </c>
      <c r="O28" s="15">
        <f t="shared" si="0"/>
        <v>100</v>
      </c>
      <c r="P28" s="15">
        <f t="shared" si="1"/>
        <v>124</v>
      </c>
      <c r="R28" s="5" t="s">
        <v>17</v>
      </c>
      <c r="S28" s="16">
        <f t="shared" ref="S28:AF28" si="20">SUM(S10:S21)</f>
        <v>1195</v>
      </c>
      <c r="T28" s="16">
        <f t="shared" si="20"/>
        <v>318</v>
      </c>
      <c r="U28" s="16">
        <f t="shared" si="20"/>
        <v>216</v>
      </c>
      <c r="V28" s="16">
        <f t="shared" si="20"/>
        <v>1035</v>
      </c>
      <c r="W28" s="16">
        <f t="shared" si="20"/>
        <v>71</v>
      </c>
      <c r="X28" s="16">
        <f t="shared" si="20"/>
        <v>62</v>
      </c>
      <c r="Y28" s="16">
        <f t="shared" si="20"/>
        <v>586</v>
      </c>
      <c r="Z28" s="16">
        <f t="shared" si="20"/>
        <v>241</v>
      </c>
      <c r="AA28" s="16">
        <f t="shared" si="20"/>
        <v>157</v>
      </c>
      <c r="AB28" s="16">
        <f t="shared" si="20"/>
        <v>101</v>
      </c>
      <c r="AC28" s="16">
        <f t="shared" si="20"/>
        <v>876</v>
      </c>
      <c r="AD28" s="16">
        <f t="shared" si="20"/>
        <v>0</v>
      </c>
      <c r="AE28" s="32">
        <f t="shared" si="20"/>
        <v>3982</v>
      </c>
      <c r="AF28" s="32">
        <f t="shared" si="20"/>
        <v>4858</v>
      </c>
    </row>
    <row r="29" spans="2:32" ht="23.1" customHeight="1" x14ac:dyDescent="0.25">
      <c r="B29" s="23" t="s">
        <v>56</v>
      </c>
      <c r="C29" s="50">
        <v>40</v>
      </c>
      <c r="D29" s="50">
        <v>14</v>
      </c>
      <c r="E29" s="50">
        <v>9</v>
      </c>
      <c r="F29" s="50">
        <v>32</v>
      </c>
      <c r="G29" s="50">
        <v>1</v>
      </c>
      <c r="H29" s="50">
        <v>0</v>
      </c>
      <c r="I29" s="50">
        <v>10</v>
      </c>
      <c r="J29" s="50">
        <v>4</v>
      </c>
      <c r="K29" s="50">
        <v>9</v>
      </c>
      <c r="L29" s="50">
        <v>4</v>
      </c>
      <c r="M29" s="50">
        <v>18</v>
      </c>
      <c r="N29" s="50">
        <v>0</v>
      </c>
      <c r="O29" s="15">
        <f t="shared" si="0"/>
        <v>123</v>
      </c>
      <c r="P29" s="15">
        <f t="shared" si="1"/>
        <v>141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10</v>
      </c>
      <c r="E30" s="50">
        <v>11</v>
      </c>
      <c r="F30" s="50">
        <v>28</v>
      </c>
      <c r="G30" s="50">
        <v>0</v>
      </c>
      <c r="H30" s="50">
        <v>1</v>
      </c>
      <c r="I30" s="50">
        <v>8</v>
      </c>
      <c r="J30" s="50">
        <v>3</v>
      </c>
      <c r="K30" s="50">
        <v>0</v>
      </c>
      <c r="L30" s="50">
        <v>1</v>
      </c>
      <c r="M30" s="50">
        <v>15</v>
      </c>
      <c r="N30" s="50">
        <v>0</v>
      </c>
      <c r="O30" s="15">
        <f t="shared" si="0"/>
        <v>97</v>
      </c>
      <c r="P30" s="15">
        <f t="shared" si="1"/>
        <v>112</v>
      </c>
    </row>
    <row r="31" spans="2:32" ht="23.1" customHeight="1" x14ac:dyDescent="0.25">
      <c r="B31" s="24" t="s">
        <v>58</v>
      </c>
      <c r="C31" s="50">
        <v>10</v>
      </c>
      <c r="D31" s="50">
        <v>10</v>
      </c>
      <c r="E31" s="50">
        <v>1</v>
      </c>
      <c r="F31" s="50">
        <v>12</v>
      </c>
      <c r="G31" s="50">
        <v>0</v>
      </c>
      <c r="H31" s="50">
        <v>0</v>
      </c>
      <c r="I31" s="50">
        <v>6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39</v>
      </c>
      <c r="P31" s="15">
        <f t="shared" si="1"/>
        <v>51</v>
      </c>
    </row>
    <row r="32" spans="2:32" ht="23.1" customHeight="1" x14ac:dyDescent="0.25">
      <c r="B32" s="24" t="s">
        <v>59</v>
      </c>
      <c r="C32" s="50">
        <v>41</v>
      </c>
      <c r="D32" s="50">
        <v>8</v>
      </c>
      <c r="E32" s="50">
        <v>4</v>
      </c>
      <c r="F32" s="50">
        <v>35</v>
      </c>
      <c r="G32" s="50">
        <v>0</v>
      </c>
      <c r="H32" s="50">
        <v>3</v>
      </c>
      <c r="I32" s="50">
        <v>13</v>
      </c>
      <c r="J32" s="50">
        <v>10</v>
      </c>
      <c r="K32" s="50">
        <v>1</v>
      </c>
      <c r="L32" s="50">
        <v>3</v>
      </c>
      <c r="M32" s="50">
        <v>22</v>
      </c>
      <c r="N32" s="50">
        <v>0</v>
      </c>
      <c r="O32" s="15">
        <f t="shared" si="0"/>
        <v>118</v>
      </c>
      <c r="P32" s="15">
        <f t="shared" si="1"/>
        <v>140</v>
      </c>
    </row>
    <row r="33" spans="2:20" ht="23.1" customHeight="1" x14ac:dyDescent="0.25">
      <c r="B33" s="23" t="s">
        <v>60</v>
      </c>
      <c r="C33" s="50">
        <v>21</v>
      </c>
      <c r="D33" s="50">
        <v>5</v>
      </c>
      <c r="E33" s="50">
        <v>2</v>
      </c>
      <c r="F33" s="50">
        <v>15</v>
      </c>
      <c r="G33" s="50">
        <v>2</v>
      </c>
      <c r="H33" s="50">
        <v>2</v>
      </c>
      <c r="I33" s="50">
        <v>15</v>
      </c>
      <c r="J33" s="50">
        <v>5</v>
      </c>
      <c r="K33" s="50">
        <v>2</v>
      </c>
      <c r="L33" s="50">
        <v>3</v>
      </c>
      <c r="M33" s="50">
        <v>16</v>
      </c>
      <c r="N33" s="50">
        <v>0</v>
      </c>
      <c r="O33" s="15">
        <f t="shared" si="0"/>
        <v>72</v>
      </c>
      <c r="P33" s="15">
        <f t="shared" si="1"/>
        <v>88</v>
      </c>
    </row>
    <row r="34" spans="2:20" ht="23.1" customHeight="1" x14ac:dyDescent="0.25">
      <c r="B34" s="24" t="s">
        <v>61</v>
      </c>
      <c r="C34" s="50">
        <v>38</v>
      </c>
      <c r="D34" s="50">
        <v>5</v>
      </c>
      <c r="E34" s="50">
        <v>2</v>
      </c>
      <c r="F34" s="50">
        <v>20</v>
      </c>
      <c r="G34" s="50">
        <v>0</v>
      </c>
      <c r="H34" s="50">
        <v>1</v>
      </c>
      <c r="I34" s="50">
        <v>11</v>
      </c>
      <c r="J34" s="50">
        <v>3</v>
      </c>
      <c r="K34" s="50">
        <v>1</v>
      </c>
      <c r="L34" s="50">
        <v>2</v>
      </c>
      <c r="M34" s="50">
        <v>14</v>
      </c>
      <c r="N34" s="50">
        <v>0</v>
      </c>
      <c r="O34" s="15">
        <f t="shared" si="0"/>
        <v>83</v>
      </c>
      <c r="P34" s="15">
        <f t="shared" si="1"/>
        <v>97</v>
      </c>
    </row>
    <row r="35" spans="2:20" ht="23.1" customHeight="1" x14ac:dyDescent="0.25">
      <c r="B35" s="24" t="s">
        <v>62</v>
      </c>
      <c r="C35" s="50">
        <v>36</v>
      </c>
      <c r="D35" s="50">
        <v>5</v>
      </c>
      <c r="E35" s="50">
        <v>8</v>
      </c>
      <c r="F35" s="50">
        <v>22</v>
      </c>
      <c r="G35" s="50">
        <v>0</v>
      </c>
      <c r="H35" s="50">
        <v>1</v>
      </c>
      <c r="I35" s="50">
        <v>25</v>
      </c>
      <c r="J35" s="50">
        <v>7</v>
      </c>
      <c r="K35" s="50">
        <v>3</v>
      </c>
      <c r="L35" s="50">
        <v>1</v>
      </c>
      <c r="M35" s="50">
        <v>19</v>
      </c>
      <c r="N35" s="50">
        <v>0</v>
      </c>
      <c r="O35" s="15">
        <f t="shared" si="0"/>
        <v>108</v>
      </c>
      <c r="P35" s="15">
        <f t="shared" si="1"/>
        <v>127</v>
      </c>
    </row>
    <row r="36" spans="2:20" ht="23.1" customHeight="1" x14ac:dyDescent="0.25">
      <c r="B36" s="24" t="s">
        <v>63</v>
      </c>
      <c r="C36" s="50">
        <v>26</v>
      </c>
      <c r="D36" s="50">
        <v>8</v>
      </c>
      <c r="E36" s="50">
        <v>6</v>
      </c>
      <c r="F36" s="50">
        <v>33</v>
      </c>
      <c r="G36" s="50">
        <v>1</v>
      </c>
      <c r="H36" s="50">
        <v>2</v>
      </c>
      <c r="I36" s="50">
        <v>14</v>
      </c>
      <c r="J36" s="50">
        <v>8</v>
      </c>
      <c r="K36" s="50">
        <v>3</v>
      </c>
      <c r="L36" s="50">
        <v>3</v>
      </c>
      <c r="M36" s="50">
        <v>9</v>
      </c>
      <c r="N36" s="50">
        <v>0</v>
      </c>
      <c r="O36" s="15">
        <f t="shared" si="0"/>
        <v>104</v>
      </c>
      <c r="P36" s="15">
        <f t="shared" si="1"/>
        <v>113</v>
      </c>
    </row>
    <row r="37" spans="2:20" ht="23.1" customHeight="1" x14ac:dyDescent="0.25">
      <c r="B37" s="23" t="s">
        <v>64</v>
      </c>
      <c r="C37" s="50">
        <v>45</v>
      </c>
      <c r="D37" s="50">
        <v>6</v>
      </c>
      <c r="E37" s="50">
        <v>7</v>
      </c>
      <c r="F37" s="50">
        <v>25</v>
      </c>
      <c r="G37" s="50">
        <v>3</v>
      </c>
      <c r="H37" s="50">
        <v>2</v>
      </c>
      <c r="I37" s="50">
        <v>8</v>
      </c>
      <c r="J37" s="50">
        <v>5</v>
      </c>
      <c r="K37" s="50">
        <v>1</v>
      </c>
      <c r="L37" s="50">
        <v>1</v>
      </c>
      <c r="M37" s="50">
        <v>15</v>
      </c>
      <c r="N37" s="50">
        <v>0</v>
      </c>
      <c r="O37" s="15">
        <f t="shared" si="0"/>
        <v>103</v>
      </c>
      <c r="P37" s="15">
        <f t="shared" si="1"/>
        <v>118</v>
      </c>
    </row>
    <row r="38" spans="2:20" ht="23.1" customHeight="1" x14ac:dyDescent="0.25">
      <c r="B38" s="24" t="s">
        <v>65</v>
      </c>
      <c r="C38" s="50">
        <v>26</v>
      </c>
      <c r="D38" s="50">
        <v>2</v>
      </c>
      <c r="E38" s="50">
        <v>6</v>
      </c>
      <c r="F38" s="50">
        <v>23</v>
      </c>
      <c r="G38" s="50">
        <v>0</v>
      </c>
      <c r="H38" s="50">
        <v>1</v>
      </c>
      <c r="I38" s="50">
        <v>6</v>
      </c>
      <c r="J38" s="50">
        <v>2</v>
      </c>
      <c r="K38" s="50">
        <v>2</v>
      </c>
      <c r="L38" s="50">
        <v>2</v>
      </c>
      <c r="M38" s="50">
        <v>26</v>
      </c>
      <c r="N38" s="50">
        <v>0</v>
      </c>
      <c r="O38" s="15">
        <f t="shared" si="0"/>
        <v>70</v>
      </c>
      <c r="P38" s="15">
        <f t="shared" si="1"/>
        <v>96</v>
      </c>
    </row>
    <row r="39" spans="2:20" ht="23.1" customHeight="1" x14ac:dyDescent="0.25">
      <c r="B39" s="24" t="s">
        <v>66</v>
      </c>
      <c r="C39" s="50">
        <v>19</v>
      </c>
      <c r="D39" s="50">
        <v>2</v>
      </c>
      <c r="E39" s="50">
        <v>5</v>
      </c>
      <c r="F39" s="50">
        <v>26</v>
      </c>
      <c r="G39" s="50">
        <v>0</v>
      </c>
      <c r="H39" s="50">
        <v>1</v>
      </c>
      <c r="I39" s="50">
        <v>9</v>
      </c>
      <c r="J39" s="50">
        <v>7</v>
      </c>
      <c r="K39" s="50">
        <v>0</v>
      </c>
      <c r="L39" s="50">
        <v>1</v>
      </c>
      <c r="M39" s="50">
        <v>16</v>
      </c>
      <c r="N39" s="50">
        <v>0</v>
      </c>
      <c r="O39" s="15">
        <f t="shared" si="0"/>
        <v>70</v>
      </c>
      <c r="P39" s="15">
        <f t="shared" si="1"/>
        <v>86</v>
      </c>
    </row>
    <row r="40" spans="2:20" ht="23.1" customHeight="1" x14ac:dyDescent="0.25">
      <c r="B40" s="24" t="s">
        <v>67</v>
      </c>
      <c r="C40" s="50">
        <v>24</v>
      </c>
      <c r="D40" s="50">
        <v>6</v>
      </c>
      <c r="E40" s="50">
        <v>0</v>
      </c>
      <c r="F40" s="50">
        <v>24</v>
      </c>
      <c r="G40" s="50">
        <v>2</v>
      </c>
      <c r="H40" s="50">
        <v>2</v>
      </c>
      <c r="I40" s="50">
        <v>16</v>
      </c>
      <c r="J40" s="50">
        <v>4</v>
      </c>
      <c r="K40" s="50">
        <v>3</v>
      </c>
      <c r="L40" s="50">
        <v>0</v>
      </c>
      <c r="M40" s="50">
        <v>27</v>
      </c>
      <c r="N40" s="50">
        <v>0</v>
      </c>
      <c r="O40" s="15">
        <f t="shared" si="0"/>
        <v>81</v>
      </c>
      <c r="P40" s="15">
        <f t="shared" si="1"/>
        <v>108</v>
      </c>
    </row>
    <row r="41" spans="2:20" ht="23.1" customHeight="1" x14ac:dyDescent="0.25">
      <c r="B41" s="23" t="s">
        <v>68</v>
      </c>
      <c r="C41" s="50">
        <v>25</v>
      </c>
      <c r="D41" s="50">
        <v>9</v>
      </c>
      <c r="E41" s="50">
        <v>3</v>
      </c>
      <c r="F41" s="50">
        <v>15</v>
      </c>
      <c r="G41" s="50">
        <v>1</v>
      </c>
      <c r="H41" s="50">
        <v>0</v>
      </c>
      <c r="I41" s="50">
        <v>18</v>
      </c>
      <c r="J41" s="50">
        <v>15</v>
      </c>
      <c r="K41" s="50">
        <v>2</v>
      </c>
      <c r="L41" s="50">
        <v>1</v>
      </c>
      <c r="M41" s="50">
        <v>6</v>
      </c>
      <c r="N41" s="50">
        <v>0</v>
      </c>
      <c r="O41" s="15">
        <f t="shared" si="0"/>
        <v>89</v>
      </c>
      <c r="P41" s="15">
        <f t="shared" si="1"/>
        <v>95</v>
      </c>
    </row>
    <row r="42" spans="2:20" ht="23.1" customHeight="1" x14ac:dyDescent="0.25">
      <c r="B42" s="24" t="s">
        <v>69</v>
      </c>
      <c r="C42" s="50">
        <v>22</v>
      </c>
      <c r="D42" s="50">
        <v>4</v>
      </c>
      <c r="E42" s="50">
        <v>10</v>
      </c>
      <c r="F42" s="50">
        <v>15</v>
      </c>
      <c r="G42" s="50">
        <v>0</v>
      </c>
      <c r="H42" s="50">
        <v>2</v>
      </c>
      <c r="I42" s="50">
        <v>9</v>
      </c>
      <c r="J42" s="50">
        <v>9</v>
      </c>
      <c r="K42" s="50">
        <v>2</v>
      </c>
      <c r="L42" s="50">
        <v>3</v>
      </c>
      <c r="M42" s="50">
        <v>25</v>
      </c>
      <c r="N42" s="50">
        <v>0</v>
      </c>
      <c r="O42" s="15">
        <f t="shared" si="0"/>
        <v>76</v>
      </c>
      <c r="P42" s="15">
        <f t="shared" si="1"/>
        <v>101</v>
      </c>
    </row>
    <row r="43" spans="2:20" ht="23.1" customHeight="1" x14ac:dyDescent="0.25">
      <c r="B43" s="23" t="s">
        <v>70</v>
      </c>
      <c r="C43" s="50">
        <v>17</v>
      </c>
      <c r="D43" s="50">
        <v>4</v>
      </c>
      <c r="E43" s="50">
        <v>3</v>
      </c>
      <c r="F43" s="50">
        <v>20</v>
      </c>
      <c r="G43" s="50">
        <v>0</v>
      </c>
      <c r="H43" s="50">
        <v>3</v>
      </c>
      <c r="I43" s="50">
        <v>5</v>
      </c>
      <c r="J43" s="50">
        <v>4</v>
      </c>
      <c r="K43" s="50">
        <v>1</v>
      </c>
      <c r="L43" s="50">
        <v>1</v>
      </c>
      <c r="M43" s="50">
        <v>15</v>
      </c>
      <c r="N43" s="50">
        <v>0</v>
      </c>
      <c r="O43" s="15">
        <f t="shared" si="0"/>
        <v>58</v>
      </c>
      <c r="P43" s="15">
        <f t="shared" si="1"/>
        <v>73</v>
      </c>
    </row>
    <row r="44" spans="2:20" ht="23.1" customHeight="1" x14ac:dyDescent="0.25">
      <c r="B44" s="25" t="s">
        <v>71</v>
      </c>
      <c r="C44" s="50">
        <v>20</v>
      </c>
      <c r="D44" s="50">
        <v>6</v>
      </c>
      <c r="E44" s="50">
        <v>3</v>
      </c>
      <c r="F44" s="50">
        <v>22</v>
      </c>
      <c r="G44" s="50">
        <v>1</v>
      </c>
      <c r="H44" s="50">
        <v>1</v>
      </c>
      <c r="I44" s="50">
        <v>6</v>
      </c>
      <c r="J44" s="50">
        <v>7</v>
      </c>
      <c r="K44" s="50">
        <v>6</v>
      </c>
      <c r="L44" s="50">
        <v>6</v>
      </c>
      <c r="M44" s="50">
        <v>11</v>
      </c>
      <c r="N44" s="50">
        <v>0</v>
      </c>
      <c r="O44" s="15">
        <f t="shared" si="0"/>
        <v>78</v>
      </c>
      <c r="P44" s="15">
        <f t="shared" si="1"/>
        <v>89</v>
      </c>
    </row>
    <row r="45" spans="2:20" ht="23.1" customHeight="1" x14ac:dyDescent="0.25">
      <c r="B45" s="23" t="s">
        <v>72</v>
      </c>
      <c r="C45" s="50">
        <v>34</v>
      </c>
      <c r="D45" s="50">
        <v>14</v>
      </c>
      <c r="E45" s="50">
        <v>9</v>
      </c>
      <c r="F45" s="50">
        <v>17</v>
      </c>
      <c r="G45" s="50">
        <v>0</v>
      </c>
      <c r="H45" s="50">
        <v>0</v>
      </c>
      <c r="I45" s="50">
        <v>11</v>
      </c>
      <c r="J45" s="50">
        <v>6</v>
      </c>
      <c r="K45" s="50">
        <v>4</v>
      </c>
      <c r="L45" s="50">
        <v>1</v>
      </c>
      <c r="M45" s="50">
        <v>15</v>
      </c>
      <c r="N45" s="50">
        <v>0</v>
      </c>
      <c r="O45" s="15">
        <f t="shared" si="0"/>
        <v>96</v>
      </c>
      <c r="P45" s="15">
        <f t="shared" si="1"/>
        <v>111</v>
      </c>
    </row>
    <row r="46" spans="2:20" ht="23.1" customHeight="1" x14ac:dyDescent="0.25">
      <c r="B46" s="24" t="s">
        <v>73</v>
      </c>
      <c r="C46" s="50">
        <v>28</v>
      </c>
      <c r="D46" s="50">
        <v>5</v>
      </c>
      <c r="E46" s="50">
        <v>7</v>
      </c>
      <c r="F46" s="50">
        <v>12</v>
      </c>
      <c r="G46" s="50">
        <v>0</v>
      </c>
      <c r="H46" s="50">
        <v>2</v>
      </c>
      <c r="I46" s="50">
        <v>15</v>
      </c>
      <c r="J46" s="50">
        <v>8</v>
      </c>
      <c r="K46" s="50">
        <v>6</v>
      </c>
      <c r="L46" s="50">
        <v>2</v>
      </c>
      <c r="M46" s="50">
        <v>17</v>
      </c>
      <c r="N46" s="50">
        <v>0</v>
      </c>
      <c r="O46" s="15">
        <f t="shared" si="0"/>
        <v>85</v>
      </c>
      <c r="P46" s="15">
        <f t="shared" si="1"/>
        <v>102</v>
      </c>
      <c r="R46" s="8"/>
      <c r="T46"/>
    </row>
    <row r="47" spans="2:20" ht="23.1" customHeight="1" x14ac:dyDescent="0.25">
      <c r="B47" s="24" t="s">
        <v>74</v>
      </c>
      <c r="C47" s="50">
        <v>22</v>
      </c>
      <c r="D47" s="50">
        <v>6</v>
      </c>
      <c r="E47" s="50">
        <v>8</v>
      </c>
      <c r="F47" s="50">
        <v>21</v>
      </c>
      <c r="G47" s="50">
        <v>1</v>
      </c>
      <c r="H47" s="50">
        <v>1</v>
      </c>
      <c r="I47" s="50">
        <v>26</v>
      </c>
      <c r="J47" s="50">
        <v>8</v>
      </c>
      <c r="K47" s="50">
        <v>6</v>
      </c>
      <c r="L47" s="50">
        <v>2</v>
      </c>
      <c r="M47" s="50">
        <v>24</v>
      </c>
      <c r="N47" s="50">
        <v>0</v>
      </c>
      <c r="O47" s="15">
        <f t="shared" si="0"/>
        <v>101</v>
      </c>
      <c r="P47" s="15">
        <f t="shared" si="1"/>
        <v>125</v>
      </c>
      <c r="R47" s="8"/>
      <c r="T47"/>
    </row>
    <row r="48" spans="2:20" ht="23.1" customHeight="1" x14ac:dyDescent="0.25">
      <c r="B48" s="24" t="s">
        <v>75</v>
      </c>
      <c r="C48" s="50">
        <v>23</v>
      </c>
      <c r="D48" s="50">
        <v>9</v>
      </c>
      <c r="E48" s="50">
        <v>6</v>
      </c>
      <c r="F48" s="50">
        <v>15</v>
      </c>
      <c r="G48" s="50">
        <v>1</v>
      </c>
      <c r="H48" s="50">
        <v>2</v>
      </c>
      <c r="I48" s="50">
        <v>15</v>
      </c>
      <c r="J48" s="50">
        <v>5</v>
      </c>
      <c r="K48" s="50">
        <v>4</v>
      </c>
      <c r="L48" s="50">
        <v>5</v>
      </c>
      <c r="M48" s="50">
        <v>18</v>
      </c>
      <c r="N48" s="50">
        <v>0</v>
      </c>
      <c r="O48" s="15">
        <f t="shared" si="0"/>
        <v>85</v>
      </c>
      <c r="P48" s="15">
        <f t="shared" si="1"/>
        <v>103</v>
      </c>
      <c r="R48" s="8"/>
      <c r="T48"/>
    </row>
    <row r="49" spans="2:20" ht="23.1" customHeight="1" x14ac:dyDescent="0.25">
      <c r="B49" s="23" t="s">
        <v>76</v>
      </c>
      <c r="C49" s="50">
        <v>12</v>
      </c>
      <c r="D49" s="50">
        <v>5</v>
      </c>
      <c r="E49" s="50">
        <v>3</v>
      </c>
      <c r="F49" s="50">
        <v>24</v>
      </c>
      <c r="G49" s="50">
        <v>1</v>
      </c>
      <c r="H49" s="50">
        <v>0</v>
      </c>
      <c r="I49" s="50">
        <v>15</v>
      </c>
      <c r="J49" s="50">
        <v>2</v>
      </c>
      <c r="K49" s="50">
        <v>1</v>
      </c>
      <c r="L49" s="50">
        <v>1</v>
      </c>
      <c r="M49" s="50">
        <v>22</v>
      </c>
      <c r="N49" s="50">
        <v>0</v>
      </c>
      <c r="O49" s="15">
        <f t="shared" si="0"/>
        <v>64</v>
      </c>
      <c r="P49" s="15">
        <f t="shared" si="1"/>
        <v>86</v>
      </c>
      <c r="R49" s="8"/>
      <c r="T49"/>
    </row>
    <row r="50" spans="2:20" ht="23.1" customHeight="1" x14ac:dyDescent="0.25">
      <c r="B50" s="24" t="s">
        <v>77</v>
      </c>
      <c r="C50" s="50">
        <v>26</v>
      </c>
      <c r="D50" s="50">
        <v>1</v>
      </c>
      <c r="E50" s="50">
        <v>1</v>
      </c>
      <c r="F50" s="50">
        <v>31</v>
      </c>
      <c r="G50" s="50">
        <v>3</v>
      </c>
      <c r="H50" s="50">
        <v>1</v>
      </c>
      <c r="I50" s="50">
        <v>16</v>
      </c>
      <c r="J50" s="50">
        <v>2</v>
      </c>
      <c r="K50" s="50">
        <v>1</v>
      </c>
      <c r="L50" s="50">
        <v>2</v>
      </c>
      <c r="M50" s="50">
        <v>21</v>
      </c>
      <c r="N50" s="50">
        <v>0</v>
      </c>
      <c r="O50" s="15">
        <f t="shared" si="0"/>
        <v>84</v>
      </c>
      <c r="P50" s="15">
        <f t="shared" si="1"/>
        <v>105</v>
      </c>
      <c r="R50" s="8"/>
      <c r="T50"/>
    </row>
    <row r="51" spans="2:20" ht="23.1" customHeight="1" x14ac:dyDescent="0.25">
      <c r="B51" s="24" t="s">
        <v>78</v>
      </c>
      <c r="C51" s="50">
        <v>27</v>
      </c>
      <c r="D51" s="50">
        <v>1</v>
      </c>
      <c r="E51" s="50">
        <v>0</v>
      </c>
      <c r="F51" s="50">
        <v>25</v>
      </c>
      <c r="G51" s="50">
        <v>0</v>
      </c>
      <c r="H51" s="50">
        <v>2</v>
      </c>
      <c r="I51" s="50">
        <v>14</v>
      </c>
      <c r="J51" s="50">
        <v>2</v>
      </c>
      <c r="K51" s="50">
        <v>5</v>
      </c>
      <c r="L51" s="50">
        <v>2</v>
      </c>
      <c r="M51" s="50">
        <v>16</v>
      </c>
      <c r="N51" s="50">
        <v>0</v>
      </c>
      <c r="O51" s="15">
        <f t="shared" si="0"/>
        <v>78</v>
      </c>
      <c r="P51" s="15">
        <f t="shared" si="1"/>
        <v>94</v>
      </c>
      <c r="R51" s="8"/>
      <c r="T51"/>
    </row>
    <row r="52" spans="2:20" ht="23.1" customHeight="1" x14ac:dyDescent="0.25">
      <c r="B52" s="24" t="s">
        <v>79</v>
      </c>
      <c r="C52" s="50">
        <v>23</v>
      </c>
      <c r="D52" s="50">
        <v>5</v>
      </c>
      <c r="E52" s="50">
        <v>1</v>
      </c>
      <c r="F52" s="50">
        <v>24</v>
      </c>
      <c r="G52" s="50">
        <v>0</v>
      </c>
      <c r="H52" s="50">
        <v>0</v>
      </c>
      <c r="I52" s="50">
        <v>10</v>
      </c>
      <c r="J52" s="50">
        <v>2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65</v>
      </c>
      <c r="P52" s="15">
        <f t="shared" si="1"/>
        <v>75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3</v>
      </c>
      <c r="E53" s="50">
        <v>3</v>
      </c>
      <c r="F53" s="50">
        <v>20</v>
      </c>
      <c r="G53" s="50">
        <v>1</v>
      </c>
      <c r="H53" s="50">
        <v>1</v>
      </c>
      <c r="I53" s="50">
        <v>12</v>
      </c>
      <c r="J53" s="50">
        <v>0</v>
      </c>
      <c r="K53" s="50">
        <v>1</v>
      </c>
      <c r="L53" s="50">
        <v>1</v>
      </c>
      <c r="M53" s="50">
        <v>12</v>
      </c>
      <c r="N53" s="50">
        <v>0</v>
      </c>
      <c r="O53" s="15">
        <f t="shared" si="0"/>
        <v>56</v>
      </c>
      <c r="P53" s="15">
        <f t="shared" si="1"/>
        <v>68</v>
      </c>
      <c r="R53" s="8"/>
      <c r="T53"/>
    </row>
    <row r="54" spans="2:20" ht="23.1" customHeight="1" x14ac:dyDescent="0.25">
      <c r="B54" s="23" t="s">
        <v>81</v>
      </c>
      <c r="C54" s="50">
        <v>20</v>
      </c>
      <c r="D54" s="50">
        <v>5</v>
      </c>
      <c r="E54" s="50">
        <v>4</v>
      </c>
      <c r="F54" s="50">
        <v>29</v>
      </c>
      <c r="G54" s="50">
        <v>2</v>
      </c>
      <c r="H54" s="50">
        <v>0</v>
      </c>
      <c r="I54" s="50">
        <v>24</v>
      </c>
      <c r="J54" s="50">
        <v>6</v>
      </c>
      <c r="K54" s="50">
        <v>3</v>
      </c>
      <c r="L54" s="50">
        <v>3</v>
      </c>
      <c r="M54" s="50">
        <v>14</v>
      </c>
      <c r="N54" s="50">
        <v>0</v>
      </c>
      <c r="O54" s="15">
        <f t="shared" si="0"/>
        <v>96</v>
      </c>
      <c r="P54" s="15">
        <f t="shared" si="1"/>
        <v>110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4</v>
      </c>
      <c r="E55" s="50">
        <v>0</v>
      </c>
      <c r="F55" s="50">
        <v>20</v>
      </c>
      <c r="G55" s="50">
        <v>1</v>
      </c>
      <c r="H55" s="50">
        <v>1</v>
      </c>
      <c r="I55" s="50">
        <v>15</v>
      </c>
      <c r="J55" s="50">
        <v>2</v>
      </c>
      <c r="K55" s="50">
        <v>3</v>
      </c>
      <c r="L55" s="50">
        <v>1</v>
      </c>
      <c r="M55" s="50">
        <v>26</v>
      </c>
      <c r="N55" s="50">
        <v>0</v>
      </c>
      <c r="O55" s="15">
        <f t="shared" si="0"/>
        <v>63</v>
      </c>
      <c r="P55" s="15">
        <f t="shared" si="1"/>
        <v>89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1</v>
      </c>
      <c r="E56" s="50">
        <v>1</v>
      </c>
      <c r="F56" s="50">
        <v>26</v>
      </c>
      <c r="G56" s="50">
        <v>0</v>
      </c>
      <c r="H56" s="50">
        <v>1</v>
      </c>
      <c r="I56" s="50">
        <v>23</v>
      </c>
      <c r="J56" s="50">
        <v>3</v>
      </c>
      <c r="K56" s="50">
        <v>1</v>
      </c>
      <c r="L56" s="50">
        <v>2</v>
      </c>
      <c r="M56" s="50">
        <v>20</v>
      </c>
      <c r="N56" s="50">
        <v>0</v>
      </c>
      <c r="O56" s="15">
        <f t="shared" si="0"/>
        <v>77</v>
      </c>
      <c r="P56" s="15">
        <f t="shared" si="1"/>
        <v>97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4</v>
      </c>
      <c r="E57" s="50">
        <v>2</v>
      </c>
      <c r="F57" s="50">
        <v>24</v>
      </c>
      <c r="G57" s="50">
        <v>2</v>
      </c>
      <c r="H57" s="50">
        <v>2</v>
      </c>
      <c r="I57" s="50">
        <v>15</v>
      </c>
      <c r="J57" s="50">
        <v>4</v>
      </c>
      <c r="K57" s="50">
        <v>2</v>
      </c>
      <c r="L57" s="50">
        <v>3</v>
      </c>
      <c r="M57" s="50">
        <v>25</v>
      </c>
      <c r="N57" s="50">
        <v>0</v>
      </c>
      <c r="O57" s="15">
        <f t="shared" si="0"/>
        <v>69</v>
      </c>
      <c r="P57" s="15">
        <f t="shared" si="1"/>
        <v>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1195</v>
      </c>
      <c r="D58" s="16">
        <f t="shared" si="21"/>
        <v>318</v>
      </c>
      <c r="E58" s="16">
        <f t="shared" si="21"/>
        <v>216</v>
      </c>
      <c r="F58" s="16">
        <f t="shared" si="21"/>
        <v>1035</v>
      </c>
      <c r="G58" s="16">
        <f t="shared" si="21"/>
        <v>71</v>
      </c>
      <c r="H58" s="16">
        <f t="shared" si="21"/>
        <v>62</v>
      </c>
      <c r="I58" s="16">
        <f t="shared" si="21"/>
        <v>586</v>
      </c>
      <c r="J58" s="16">
        <f t="shared" si="21"/>
        <v>241</v>
      </c>
      <c r="K58" s="16">
        <f t="shared" si="21"/>
        <v>157</v>
      </c>
      <c r="L58" s="16">
        <f t="shared" si="21"/>
        <v>101</v>
      </c>
      <c r="M58" s="16">
        <f t="shared" si="21"/>
        <v>876</v>
      </c>
      <c r="N58" s="16">
        <f t="shared" si="21"/>
        <v>0</v>
      </c>
      <c r="O58" s="16">
        <f t="shared" si="21"/>
        <v>3982</v>
      </c>
      <c r="P58" s="16">
        <f t="shared" si="21"/>
        <v>4858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0.24598600247015232</v>
      </c>
      <c r="D59" s="43">
        <f t="shared" si="22"/>
        <v>6.5459036640592841E-2</v>
      </c>
      <c r="E59" s="43">
        <f t="shared" si="22"/>
        <v>4.4462741869081925E-2</v>
      </c>
      <c r="F59" s="43">
        <f t="shared" si="22"/>
        <v>0.21305063812268424</v>
      </c>
      <c r="G59" s="43">
        <f t="shared" si="22"/>
        <v>1.4615067929188966E-2</v>
      </c>
      <c r="H59" s="43">
        <f t="shared" si="22"/>
        <v>1.2762453684643887E-2</v>
      </c>
      <c r="I59" s="43">
        <f t="shared" si="22"/>
        <v>0.12062577192260189</v>
      </c>
      <c r="J59" s="43">
        <f t="shared" si="22"/>
        <v>4.9608892548373813E-2</v>
      </c>
      <c r="K59" s="43">
        <f t="shared" si="22"/>
        <v>3.2317826265953066E-2</v>
      </c>
      <c r="L59" s="43">
        <f t="shared" si="22"/>
        <v>2.0790448744339236E-2</v>
      </c>
      <c r="M59" s="43">
        <f t="shared" si="22"/>
        <v>0.18032111980238782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0.3001004520341537</v>
      </c>
      <c r="D60" s="44">
        <f t="shared" ref="D60:N60" si="23">D58/$O$58</f>
        <v>7.9859367152184835E-2</v>
      </c>
      <c r="E60" s="44">
        <f t="shared" si="23"/>
        <v>5.4244098442993473E-2</v>
      </c>
      <c r="F60" s="44">
        <f t="shared" si="23"/>
        <v>0.25991963837267706</v>
      </c>
      <c r="G60" s="44">
        <f t="shared" si="23"/>
        <v>1.783023606228026E-2</v>
      </c>
      <c r="H60" s="44">
        <f t="shared" si="23"/>
        <v>1.55700652938222E-2</v>
      </c>
      <c r="I60" s="44">
        <f t="shared" si="23"/>
        <v>0.14716223003515821</v>
      </c>
      <c r="J60" s="44">
        <f t="shared" si="23"/>
        <v>6.0522350577599193E-2</v>
      </c>
      <c r="K60" s="44">
        <f t="shared" si="23"/>
        <v>3.9427423405323958E-2</v>
      </c>
      <c r="L60" s="44">
        <f t="shared" si="23"/>
        <v>2.5364138623807132E-2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0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'01.11 Maya-Masaka'!G5:H5</f>
        <v>Maya</v>
      </c>
      <c r="H5" s="67"/>
      <c r="I5" s="14"/>
      <c r="J5" s="2" t="s">
        <v>5</v>
      </c>
      <c r="K5" s="66" t="s">
        <v>176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'01.11 Maya-Masaka'!K6:L6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</v>
      </c>
      <c r="D10" s="50">
        <v>0</v>
      </c>
      <c r="E10" s="50">
        <v>0</v>
      </c>
      <c r="F10" s="50">
        <v>7</v>
      </c>
      <c r="G10" s="50">
        <v>1</v>
      </c>
      <c r="H10" s="50">
        <v>0</v>
      </c>
      <c r="I10" s="50">
        <v>1</v>
      </c>
      <c r="J10" s="50">
        <v>0</v>
      </c>
      <c r="K10" s="50">
        <v>6</v>
      </c>
      <c r="L10" s="50">
        <v>0</v>
      </c>
      <c r="M10" s="50">
        <v>10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68</v>
      </c>
      <c r="T10" s="17">
        <f t="shared" si="2"/>
        <v>11</v>
      </c>
      <c r="U10" s="17">
        <f t="shared" si="2"/>
        <v>4</v>
      </c>
      <c r="V10" s="17">
        <f t="shared" si="2"/>
        <v>72</v>
      </c>
      <c r="W10" s="17">
        <f t="shared" si="2"/>
        <v>2</v>
      </c>
      <c r="X10" s="17">
        <f t="shared" si="2"/>
        <v>0</v>
      </c>
      <c r="Y10" s="17">
        <f t="shared" si="2"/>
        <v>21</v>
      </c>
      <c r="Z10" s="17">
        <f t="shared" si="2"/>
        <v>4</v>
      </c>
      <c r="AA10" s="17">
        <f t="shared" si="2"/>
        <v>16</v>
      </c>
      <c r="AB10" s="17">
        <f t="shared" si="2"/>
        <v>7</v>
      </c>
      <c r="AC10" s="17">
        <f t="shared" si="2"/>
        <v>106</v>
      </c>
      <c r="AD10" s="17">
        <f t="shared" si="2"/>
        <v>0</v>
      </c>
      <c r="AE10" s="31">
        <f t="shared" si="2"/>
        <v>205</v>
      </c>
      <c r="AF10" s="31">
        <f t="shared" si="2"/>
        <v>311</v>
      </c>
    </row>
    <row r="11" spans="2:32" s="6" customFormat="1" ht="23.1" customHeight="1" x14ac:dyDescent="0.25">
      <c r="B11" s="45" t="s">
        <v>38</v>
      </c>
      <c r="C11" s="50">
        <v>28</v>
      </c>
      <c r="D11" s="50">
        <v>2</v>
      </c>
      <c r="E11" s="50">
        <v>2</v>
      </c>
      <c r="F11" s="50">
        <v>15</v>
      </c>
      <c r="G11" s="50">
        <v>0</v>
      </c>
      <c r="H11" s="50">
        <v>0</v>
      </c>
      <c r="I11" s="50">
        <v>9</v>
      </c>
      <c r="J11" s="50">
        <v>0</v>
      </c>
      <c r="K11" s="50">
        <v>6</v>
      </c>
      <c r="L11" s="50">
        <v>1</v>
      </c>
      <c r="M11" s="50">
        <v>32</v>
      </c>
      <c r="N11" s="50">
        <v>0</v>
      </c>
      <c r="O11" s="15">
        <f t="shared" si="0"/>
        <v>63</v>
      </c>
      <c r="P11" s="15">
        <f t="shared" si="1"/>
        <v>95</v>
      </c>
      <c r="R11" s="1" t="s">
        <v>7</v>
      </c>
      <c r="S11" s="17">
        <f t="shared" ref="S11:AF11" si="3">SUM(C14:C17)</f>
        <v>51</v>
      </c>
      <c r="T11" s="17">
        <f t="shared" si="3"/>
        <v>8</v>
      </c>
      <c r="U11" s="17">
        <f t="shared" si="3"/>
        <v>8</v>
      </c>
      <c r="V11" s="17">
        <f t="shared" si="3"/>
        <v>97</v>
      </c>
      <c r="W11" s="17">
        <f t="shared" si="3"/>
        <v>0</v>
      </c>
      <c r="X11" s="17">
        <f t="shared" si="3"/>
        <v>4</v>
      </c>
      <c r="Y11" s="17">
        <f t="shared" si="3"/>
        <v>23</v>
      </c>
      <c r="Z11" s="17">
        <f t="shared" si="3"/>
        <v>9</v>
      </c>
      <c r="AA11" s="17">
        <f t="shared" si="3"/>
        <v>11</v>
      </c>
      <c r="AB11" s="17">
        <f t="shared" si="3"/>
        <v>6</v>
      </c>
      <c r="AC11" s="17">
        <f t="shared" si="3"/>
        <v>130</v>
      </c>
      <c r="AD11" s="17">
        <f t="shared" si="3"/>
        <v>0</v>
      </c>
      <c r="AE11" s="31">
        <f t="shared" si="3"/>
        <v>217</v>
      </c>
      <c r="AF11" s="31">
        <f t="shared" si="3"/>
        <v>347</v>
      </c>
    </row>
    <row r="12" spans="2:32" ht="23.1" customHeight="1" x14ac:dyDescent="0.25">
      <c r="B12" s="45" t="s">
        <v>39</v>
      </c>
      <c r="C12" s="50">
        <v>21</v>
      </c>
      <c r="D12" s="50">
        <v>4</v>
      </c>
      <c r="E12" s="50">
        <v>1</v>
      </c>
      <c r="F12" s="50">
        <v>29</v>
      </c>
      <c r="G12" s="50">
        <v>0</v>
      </c>
      <c r="H12" s="50">
        <v>0</v>
      </c>
      <c r="I12" s="50">
        <v>7</v>
      </c>
      <c r="J12" s="50">
        <v>1</v>
      </c>
      <c r="K12" s="50">
        <v>2</v>
      </c>
      <c r="L12" s="50">
        <v>1</v>
      </c>
      <c r="M12" s="50">
        <v>33</v>
      </c>
      <c r="N12" s="50">
        <v>0</v>
      </c>
      <c r="O12" s="15">
        <f t="shared" si="0"/>
        <v>66</v>
      </c>
      <c r="P12" s="15">
        <f t="shared" si="1"/>
        <v>99</v>
      </c>
      <c r="R12" s="1" t="s">
        <v>8</v>
      </c>
      <c r="S12" s="17">
        <f t="shared" ref="S12:AF12" si="4">SUM(C18:C21)</f>
        <v>57</v>
      </c>
      <c r="T12" s="17">
        <f t="shared" si="4"/>
        <v>21</v>
      </c>
      <c r="U12" s="17">
        <f t="shared" si="4"/>
        <v>5</v>
      </c>
      <c r="V12" s="17">
        <f t="shared" si="4"/>
        <v>101</v>
      </c>
      <c r="W12" s="17">
        <f t="shared" si="4"/>
        <v>1</v>
      </c>
      <c r="X12" s="17">
        <f t="shared" si="4"/>
        <v>1</v>
      </c>
      <c r="Y12" s="17">
        <f t="shared" si="4"/>
        <v>29</v>
      </c>
      <c r="Z12" s="17">
        <f t="shared" si="4"/>
        <v>14</v>
      </c>
      <c r="AA12" s="17">
        <f t="shared" si="4"/>
        <v>5</v>
      </c>
      <c r="AB12" s="17">
        <f t="shared" si="4"/>
        <v>13</v>
      </c>
      <c r="AC12" s="17">
        <f t="shared" si="4"/>
        <v>100</v>
      </c>
      <c r="AD12" s="17">
        <f t="shared" si="4"/>
        <v>0</v>
      </c>
      <c r="AE12" s="31">
        <f t="shared" si="4"/>
        <v>247</v>
      </c>
      <c r="AF12" s="31">
        <f t="shared" si="4"/>
        <v>347</v>
      </c>
    </row>
    <row r="13" spans="2:32" ht="23.1" customHeight="1" x14ac:dyDescent="0.25">
      <c r="B13" s="45" t="s">
        <v>40</v>
      </c>
      <c r="C13" s="50">
        <v>14</v>
      </c>
      <c r="D13" s="50">
        <v>5</v>
      </c>
      <c r="E13" s="50">
        <v>1</v>
      </c>
      <c r="F13" s="50">
        <v>21</v>
      </c>
      <c r="G13" s="50">
        <v>1</v>
      </c>
      <c r="H13" s="50">
        <v>0</v>
      </c>
      <c r="I13" s="50">
        <v>4</v>
      </c>
      <c r="J13" s="50">
        <v>3</v>
      </c>
      <c r="K13" s="50">
        <v>2</v>
      </c>
      <c r="L13" s="50">
        <v>5</v>
      </c>
      <c r="M13" s="50">
        <v>31</v>
      </c>
      <c r="N13" s="50">
        <v>0</v>
      </c>
      <c r="O13" s="15">
        <f t="shared" si="0"/>
        <v>56</v>
      </c>
      <c r="P13" s="15">
        <f t="shared" si="1"/>
        <v>87</v>
      </c>
      <c r="R13" s="1" t="s">
        <v>9</v>
      </c>
      <c r="S13" s="17">
        <f t="shared" ref="S13:AF13" si="5">SUM(C22:C25)</f>
        <v>77</v>
      </c>
      <c r="T13" s="17">
        <f t="shared" si="5"/>
        <v>15</v>
      </c>
      <c r="U13" s="17">
        <f t="shared" si="5"/>
        <v>16</v>
      </c>
      <c r="V13" s="17">
        <f t="shared" si="5"/>
        <v>84</v>
      </c>
      <c r="W13" s="17">
        <f t="shared" si="5"/>
        <v>1</v>
      </c>
      <c r="X13" s="17">
        <f t="shared" si="5"/>
        <v>2</v>
      </c>
      <c r="Y13" s="17">
        <f t="shared" si="5"/>
        <v>35</v>
      </c>
      <c r="Z13" s="17">
        <f t="shared" si="5"/>
        <v>8</v>
      </c>
      <c r="AA13" s="17">
        <f t="shared" si="5"/>
        <v>10</v>
      </c>
      <c r="AB13" s="17">
        <f t="shared" si="5"/>
        <v>10</v>
      </c>
      <c r="AC13" s="17">
        <f t="shared" si="5"/>
        <v>94</v>
      </c>
      <c r="AD13" s="17">
        <f t="shared" si="5"/>
        <v>0</v>
      </c>
      <c r="AE13" s="31">
        <f t="shared" si="5"/>
        <v>258</v>
      </c>
      <c r="AF13" s="31">
        <f t="shared" si="5"/>
        <v>352</v>
      </c>
    </row>
    <row r="14" spans="2:32" ht="23.1" customHeight="1" x14ac:dyDescent="0.25">
      <c r="B14" s="45" t="s">
        <v>41</v>
      </c>
      <c r="C14" s="50">
        <v>16</v>
      </c>
      <c r="D14" s="50">
        <v>3</v>
      </c>
      <c r="E14" s="50">
        <v>3</v>
      </c>
      <c r="F14" s="50">
        <v>25</v>
      </c>
      <c r="G14" s="50">
        <v>0</v>
      </c>
      <c r="H14" s="50">
        <v>1</v>
      </c>
      <c r="I14" s="50">
        <v>1</v>
      </c>
      <c r="J14" s="50">
        <v>2</v>
      </c>
      <c r="K14" s="50">
        <v>4</v>
      </c>
      <c r="L14" s="50">
        <v>2</v>
      </c>
      <c r="M14" s="50">
        <v>47</v>
      </c>
      <c r="N14" s="50">
        <v>0</v>
      </c>
      <c r="O14" s="15">
        <f t="shared" si="0"/>
        <v>57</v>
      </c>
      <c r="P14" s="15">
        <f t="shared" si="1"/>
        <v>104</v>
      </c>
      <c r="R14" s="1" t="s">
        <v>10</v>
      </c>
      <c r="S14" s="17">
        <f t="shared" ref="S14:AF14" si="6">SUM(C26:C29)</f>
        <v>69</v>
      </c>
      <c r="T14" s="17">
        <f t="shared" si="6"/>
        <v>24</v>
      </c>
      <c r="U14" s="17">
        <f t="shared" si="6"/>
        <v>17</v>
      </c>
      <c r="V14" s="17">
        <f t="shared" si="6"/>
        <v>96</v>
      </c>
      <c r="W14" s="17">
        <f t="shared" si="6"/>
        <v>2</v>
      </c>
      <c r="X14" s="17">
        <f t="shared" si="6"/>
        <v>1</v>
      </c>
      <c r="Y14" s="17">
        <f t="shared" si="6"/>
        <v>45</v>
      </c>
      <c r="Z14" s="17">
        <f t="shared" si="6"/>
        <v>5</v>
      </c>
      <c r="AA14" s="17">
        <f t="shared" si="6"/>
        <v>3</v>
      </c>
      <c r="AB14" s="17">
        <f t="shared" si="6"/>
        <v>2</v>
      </c>
      <c r="AC14" s="17">
        <f t="shared" si="6"/>
        <v>86</v>
      </c>
      <c r="AD14" s="17">
        <f t="shared" si="6"/>
        <v>0</v>
      </c>
      <c r="AE14" s="31">
        <f t="shared" si="6"/>
        <v>264</v>
      </c>
      <c r="AF14" s="31">
        <f t="shared" si="6"/>
        <v>350</v>
      </c>
    </row>
    <row r="15" spans="2:32" ht="23.1" customHeight="1" x14ac:dyDescent="0.25">
      <c r="B15" s="45" t="s">
        <v>42</v>
      </c>
      <c r="C15" s="50">
        <v>7</v>
      </c>
      <c r="D15" s="50">
        <v>0</v>
      </c>
      <c r="E15" s="50">
        <v>3</v>
      </c>
      <c r="F15" s="50">
        <v>26</v>
      </c>
      <c r="G15" s="50">
        <v>0</v>
      </c>
      <c r="H15" s="50">
        <v>1</v>
      </c>
      <c r="I15" s="50">
        <v>8</v>
      </c>
      <c r="J15" s="50">
        <v>2</v>
      </c>
      <c r="K15" s="50">
        <v>0</v>
      </c>
      <c r="L15" s="50">
        <v>1</v>
      </c>
      <c r="M15" s="50">
        <v>32</v>
      </c>
      <c r="N15" s="50">
        <v>0</v>
      </c>
      <c r="O15" s="15">
        <f t="shared" si="0"/>
        <v>48</v>
      </c>
      <c r="P15" s="15">
        <f t="shared" si="1"/>
        <v>80</v>
      </c>
      <c r="R15" s="1" t="s">
        <v>11</v>
      </c>
      <c r="S15" s="17">
        <f t="shared" ref="S15:AF15" si="7">SUM(C30:C33)</f>
        <v>89</v>
      </c>
      <c r="T15" s="17">
        <f t="shared" si="7"/>
        <v>17</v>
      </c>
      <c r="U15" s="17">
        <f t="shared" si="7"/>
        <v>20</v>
      </c>
      <c r="V15" s="17">
        <f t="shared" si="7"/>
        <v>78</v>
      </c>
      <c r="W15" s="17">
        <f t="shared" si="7"/>
        <v>2</v>
      </c>
      <c r="X15" s="17">
        <f t="shared" si="7"/>
        <v>6</v>
      </c>
      <c r="Y15" s="17">
        <f t="shared" si="7"/>
        <v>44</v>
      </c>
      <c r="Z15" s="17">
        <f t="shared" si="7"/>
        <v>5</v>
      </c>
      <c r="AA15" s="17">
        <f t="shared" si="7"/>
        <v>3</v>
      </c>
      <c r="AB15" s="17">
        <f t="shared" si="7"/>
        <v>11</v>
      </c>
      <c r="AC15" s="17">
        <f t="shared" si="7"/>
        <v>106</v>
      </c>
      <c r="AD15" s="17">
        <f t="shared" si="7"/>
        <v>1</v>
      </c>
      <c r="AE15" s="31">
        <f t="shared" si="7"/>
        <v>276</v>
      </c>
      <c r="AF15" s="31">
        <f t="shared" si="7"/>
        <v>382</v>
      </c>
    </row>
    <row r="16" spans="2:32" ht="23.1" customHeight="1" x14ac:dyDescent="0.25">
      <c r="B16" s="45" t="s">
        <v>43</v>
      </c>
      <c r="C16" s="50">
        <v>14</v>
      </c>
      <c r="D16" s="50">
        <v>1</v>
      </c>
      <c r="E16" s="50">
        <v>1</v>
      </c>
      <c r="F16" s="50">
        <v>21</v>
      </c>
      <c r="G16" s="50">
        <v>0</v>
      </c>
      <c r="H16" s="50">
        <v>1</v>
      </c>
      <c r="I16" s="50">
        <v>5</v>
      </c>
      <c r="J16" s="50">
        <v>3</v>
      </c>
      <c r="K16" s="50">
        <v>2</v>
      </c>
      <c r="L16" s="50">
        <v>1</v>
      </c>
      <c r="M16" s="50">
        <v>23</v>
      </c>
      <c r="N16" s="50">
        <v>0</v>
      </c>
      <c r="O16" s="15">
        <f t="shared" si="0"/>
        <v>49</v>
      </c>
      <c r="P16" s="15">
        <f t="shared" si="1"/>
        <v>72</v>
      </c>
      <c r="R16" s="1" t="s">
        <v>12</v>
      </c>
      <c r="S16" s="17">
        <f t="shared" ref="S16:AF16" si="8">SUM(C34:C37)</f>
        <v>86</v>
      </c>
      <c r="T16" s="17">
        <f t="shared" si="8"/>
        <v>25</v>
      </c>
      <c r="U16" s="17">
        <f t="shared" si="8"/>
        <v>16</v>
      </c>
      <c r="V16" s="17">
        <f t="shared" si="8"/>
        <v>70</v>
      </c>
      <c r="W16" s="17">
        <f t="shared" si="8"/>
        <v>2</v>
      </c>
      <c r="X16" s="17">
        <f t="shared" si="8"/>
        <v>5</v>
      </c>
      <c r="Y16" s="17">
        <f t="shared" si="8"/>
        <v>47</v>
      </c>
      <c r="Z16" s="17">
        <f t="shared" si="8"/>
        <v>4</v>
      </c>
      <c r="AA16" s="17">
        <f t="shared" si="8"/>
        <v>1</v>
      </c>
      <c r="AB16" s="17">
        <f t="shared" si="8"/>
        <v>12</v>
      </c>
      <c r="AC16" s="17">
        <f t="shared" si="8"/>
        <v>78</v>
      </c>
      <c r="AD16" s="17">
        <f t="shared" si="8"/>
        <v>0</v>
      </c>
      <c r="AE16" s="31">
        <f t="shared" si="8"/>
        <v>268</v>
      </c>
      <c r="AF16" s="31">
        <f t="shared" si="8"/>
        <v>346</v>
      </c>
    </row>
    <row r="17" spans="2:32" ht="23.1" customHeight="1" x14ac:dyDescent="0.25">
      <c r="B17" s="45" t="s">
        <v>44</v>
      </c>
      <c r="C17" s="50">
        <v>14</v>
      </c>
      <c r="D17" s="50">
        <v>4</v>
      </c>
      <c r="E17" s="50">
        <v>1</v>
      </c>
      <c r="F17" s="50">
        <v>25</v>
      </c>
      <c r="G17" s="50">
        <v>0</v>
      </c>
      <c r="H17" s="50">
        <v>1</v>
      </c>
      <c r="I17" s="50">
        <v>9</v>
      </c>
      <c r="J17" s="50">
        <v>2</v>
      </c>
      <c r="K17" s="50">
        <v>5</v>
      </c>
      <c r="L17" s="50">
        <v>2</v>
      </c>
      <c r="M17" s="50">
        <v>28</v>
      </c>
      <c r="N17" s="50">
        <v>0</v>
      </c>
      <c r="O17" s="15">
        <f t="shared" si="0"/>
        <v>63</v>
      </c>
      <c r="P17" s="15">
        <f t="shared" si="1"/>
        <v>91</v>
      </c>
      <c r="R17" s="1" t="s">
        <v>13</v>
      </c>
      <c r="S17" s="17">
        <f t="shared" ref="S17:AF17" si="9">SUM(C38:C41)</f>
        <v>86</v>
      </c>
      <c r="T17" s="17">
        <f t="shared" si="9"/>
        <v>24</v>
      </c>
      <c r="U17" s="17">
        <f t="shared" si="9"/>
        <v>19</v>
      </c>
      <c r="V17" s="17">
        <f t="shared" si="9"/>
        <v>78</v>
      </c>
      <c r="W17" s="17">
        <f t="shared" si="9"/>
        <v>2</v>
      </c>
      <c r="X17" s="17">
        <f t="shared" si="9"/>
        <v>3</v>
      </c>
      <c r="Y17" s="17">
        <f t="shared" si="9"/>
        <v>57</v>
      </c>
      <c r="Z17" s="17">
        <f t="shared" si="9"/>
        <v>4</v>
      </c>
      <c r="AA17" s="17">
        <f t="shared" si="9"/>
        <v>1</v>
      </c>
      <c r="AB17" s="17">
        <f t="shared" si="9"/>
        <v>9</v>
      </c>
      <c r="AC17" s="17">
        <f t="shared" si="9"/>
        <v>68</v>
      </c>
      <c r="AD17" s="17">
        <f t="shared" si="9"/>
        <v>0</v>
      </c>
      <c r="AE17" s="31">
        <f t="shared" si="9"/>
        <v>283</v>
      </c>
      <c r="AF17" s="31">
        <f t="shared" si="9"/>
        <v>351</v>
      </c>
    </row>
    <row r="18" spans="2:32" ht="23.1" customHeight="1" x14ac:dyDescent="0.25">
      <c r="B18" s="45" t="s">
        <v>45</v>
      </c>
      <c r="C18" s="50">
        <v>12</v>
      </c>
      <c r="D18" s="50">
        <v>2</v>
      </c>
      <c r="E18" s="50">
        <v>2</v>
      </c>
      <c r="F18" s="50">
        <v>29</v>
      </c>
      <c r="G18" s="50">
        <v>0</v>
      </c>
      <c r="H18" s="50">
        <v>0</v>
      </c>
      <c r="I18" s="50">
        <v>4</v>
      </c>
      <c r="J18" s="50">
        <v>4</v>
      </c>
      <c r="K18" s="50">
        <v>3</v>
      </c>
      <c r="L18" s="50">
        <v>2</v>
      </c>
      <c r="M18" s="50">
        <v>33</v>
      </c>
      <c r="N18" s="50">
        <v>0</v>
      </c>
      <c r="O18" s="15">
        <f t="shared" si="0"/>
        <v>58</v>
      </c>
      <c r="P18" s="15">
        <f t="shared" si="1"/>
        <v>91</v>
      </c>
      <c r="R18" s="1" t="s">
        <v>14</v>
      </c>
      <c r="S18" s="17">
        <f t="shared" ref="S18:AF18" si="10">SUM(C42:C45)</f>
        <v>124</v>
      </c>
      <c r="T18" s="17">
        <f t="shared" si="10"/>
        <v>22</v>
      </c>
      <c r="U18" s="17">
        <f t="shared" si="10"/>
        <v>28</v>
      </c>
      <c r="V18" s="17">
        <f t="shared" si="10"/>
        <v>73</v>
      </c>
      <c r="W18" s="17">
        <f t="shared" si="10"/>
        <v>4</v>
      </c>
      <c r="X18" s="17">
        <f t="shared" si="10"/>
        <v>8</v>
      </c>
      <c r="Y18" s="17">
        <f t="shared" si="10"/>
        <v>57</v>
      </c>
      <c r="Z18" s="17">
        <f t="shared" si="10"/>
        <v>11</v>
      </c>
      <c r="AA18" s="17">
        <f t="shared" si="10"/>
        <v>0</v>
      </c>
      <c r="AB18" s="17">
        <f t="shared" si="10"/>
        <v>12</v>
      </c>
      <c r="AC18" s="17">
        <f t="shared" si="10"/>
        <v>77</v>
      </c>
      <c r="AD18" s="17">
        <f t="shared" si="10"/>
        <v>0</v>
      </c>
      <c r="AE18" s="31">
        <f t="shared" si="10"/>
        <v>339</v>
      </c>
      <c r="AF18" s="31">
        <f t="shared" si="10"/>
        <v>416</v>
      </c>
    </row>
    <row r="19" spans="2:32" ht="23.1" customHeight="1" x14ac:dyDescent="0.25">
      <c r="B19" s="45" t="s">
        <v>46</v>
      </c>
      <c r="C19" s="50">
        <v>10</v>
      </c>
      <c r="D19" s="50">
        <v>5</v>
      </c>
      <c r="E19" s="50">
        <v>2</v>
      </c>
      <c r="F19" s="50">
        <v>23</v>
      </c>
      <c r="G19" s="50">
        <v>1</v>
      </c>
      <c r="H19" s="50">
        <v>0</v>
      </c>
      <c r="I19" s="50">
        <v>8</v>
      </c>
      <c r="J19" s="50">
        <v>2</v>
      </c>
      <c r="K19" s="50">
        <v>1</v>
      </c>
      <c r="L19" s="50">
        <v>3</v>
      </c>
      <c r="M19" s="50">
        <v>23</v>
      </c>
      <c r="N19" s="50">
        <v>0</v>
      </c>
      <c r="O19" s="15">
        <f t="shared" si="0"/>
        <v>55</v>
      </c>
      <c r="P19" s="15">
        <f t="shared" si="1"/>
        <v>78</v>
      </c>
      <c r="R19" s="1" t="s">
        <v>15</v>
      </c>
      <c r="S19" s="17">
        <f t="shared" ref="S19:AF19" si="11">SUM(C46:C49)</f>
        <v>128</v>
      </c>
      <c r="T19" s="17">
        <f t="shared" si="11"/>
        <v>43</v>
      </c>
      <c r="U19" s="17">
        <f t="shared" si="11"/>
        <v>25</v>
      </c>
      <c r="V19" s="17">
        <f t="shared" si="11"/>
        <v>95</v>
      </c>
      <c r="W19" s="17">
        <f t="shared" si="11"/>
        <v>8</v>
      </c>
      <c r="X19" s="17">
        <f t="shared" si="11"/>
        <v>6</v>
      </c>
      <c r="Y19" s="17">
        <f t="shared" si="11"/>
        <v>52</v>
      </c>
      <c r="Z19" s="17">
        <f t="shared" si="11"/>
        <v>8</v>
      </c>
      <c r="AA19" s="17">
        <f t="shared" si="11"/>
        <v>4</v>
      </c>
      <c r="AB19" s="17">
        <f t="shared" si="11"/>
        <v>7</v>
      </c>
      <c r="AC19" s="17">
        <f t="shared" si="11"/>
        <v>89</v>
      </c>
      <c r="AD19" s="17">
        <f t="shared" si="11"/>
        <v>0</v>
      </c>
      <c r="AE19" s="31">
        <f t="shared" si="11"/>
        <v>376</v>
      </c>
      <c r="AF19" s="31">
        <f t="shared" si="11"/>
        <v>465</v>
      </c>
    </row>
    <row r="20" spans="2:32" ht="23.1" customHeight="1" x14ac:dyDescent="0.25">
      <c r="B20" s="45" t="s">
        <v>47</v>
      </c>
      <c r="C20" s="50">
        <v>16</v>
      </c>
      <c r="D20" s="50">
        <v>4</v>
      </c>
      <c r="E20" s="50">
        <v>1</v>
      </c>
      <c r="F20" s="50">
        <v>29</v>
      </c>
      <c r="G20" s="50">
        <v>0</v>
      </c>
      <c r="H20" s="50">
        <v>1</v>
      </c>
      <c r="I20" s="50">
        <v>4</v>
      </c>
      <c r="J20" s="50">
        <v>4</v>
      </c>
      <c r="K20" s="50">
        <v>1</v>
      </c>
      <c r="L20" s="50">
        <v>5</v>
      </c>
      <c r="M20" s="50">
        <v>23</v>
      </c>
      <c r="N20" s="50">
        <v>0</v>
      </c>
      <c r="O20" s="15">
        <f t="shared" si="0"/>
        <v>65</v>
      </c>
      <c r="P20" s="15">
        <f t="shared" si="1"/>
        <v>88</v>
      </c>
      <c r="R20" s="1" t="s">
        <v>16</v>
      </c>
      <c r="S20" s="17">
        <f t="shared" ref="S20:AF20" si="12">SUM(C50:C53)</f>
        <v>161</v>
      </c>
      <c r="T20" s="17">
        <f t="shared" si="12"/>
        <v>27</v>
      </c>
      <c r="U20" s="17">
        <f t="shared" si="12"/>
        <v>38</v>
      </c>
      <c r="V20" s="17">
        <f t="shared" si="12"/>
        <v>107</v>
      </c>
      <c r="W20" s="17">
        <f t="shared" si="12"/>
        <v>6</v>
      </c>
      <c r="X20" s="17">
        <f t="shared" si="12"/>
        <v>8</v>
      </c>
      <c r="Y20" s="17">
        <f t="shared" si="12"/>
        <v>72</v>
      </c>
      <c r="Z20" s="17">
        <f t="shared" si="12"/>
        <v>14</v>
      </c>
      <c r="AA20" s="17">
        <f t="shared" si="12"/>
        <v>5</v>
      </c>
      <c r="AB20" s="17">
        <f t="shared" si="12"/>
        <v>4</v>
      </c>
      <c r="AC20" s="17">
        <f t="shared" si="12"/>
        <v>124</v>
      </c>
      <c r="AD20" s="17">
        <f t="shared" si="12"/>
        <v>0</v>
      </c>
      <c r="AE20" s="31">
        <f t="shared" si="12"/>
        <v>442</v>
      </c>
      <c r="AF20" s="31">
        <f t="shared" si="12"/>
        <v>566</v>
      </c>
    </row>
    <row r="21" spans="2:32" ht="23.1" customHeight="1" x14ac:dyDescent="0.25">
      <c r="B21" s="45" t="s">
        <v>48</v>
      </c>
      <c r="C21" s="50">
        <v>19</v>
      </c>
      <c r="D21" s="50">
        <v>10</v>
      </c>
      <c r="E21" s="50">
        <v>0</v>
      </c>
      <c r="F21" s="50">
        <v>20</v>
      </c>
      <c r="G21" s="50">
        <v>0</v>
      </c>
      <c r="H21" s="50">
        <v>0</v>
      </c>
      <c r="I21" s="50">
        <v>13</v>
      </c>
      <c r="J21" s="50">
        <v>4</v>
      </c>
      <c r="K21" s="50">
        <v>0</v>
      </c>
      <c r="L21" s="50">
        <v>3</v>
      </c>
      <c r="M21" s="50">
        <v>21</v>
      </c>
      <c r="N21" s="50">
        <v>0</v>
      </c>
      <c r="O21" s="15">
        <f t="shared" si="0"/>
        <v>69</v>
      </c>
      <c r="P21" s="15">
        <f t="shared" si="1"/>
        <v>90</v>
      </c>
      <c r="R21" s="36" t="s">
        <v>20</v>
      </c>
      <c r="S21" s="34">
        <f t="shared" ref="S21:AF21" si="13">SUM(C54:C57)</f>
        <v>182</v>
      </c>
      <c r="T21" s="17">
        <f t="shared" si="13"/>
        <v>26</v>
      </c>
      <c r="U21" s="17">
        <f t="shared" si="13"/>
        <v>30</v>
      </c>
      <c r="V21" s="17">
        <f t="shared" si="13"/>
        <v>109</v>
      </c>
      <c r="W21" s="17">
        <f t="shared" si="13"/>
        <v>13</v>
      </c>
      <c r="X21" s="17">
        <f t="shared" si="13"/>
        <v>6</v>
      </c>
      <c r="Y21" s="17">
        <f t="shared" si="13"/>
        <v>64</v>
      </c>
      <c r="Z21" s="17">
        <f t="shared" si="13"/>
        <v>20</v>
      </c>
      <c r="AA21" s="17">
        <f t="shared" si="13"/>
        <v>2</v>
      </c>
      <c r="AB21" s="17">
        <f t="shared" si="13"/>
        <v>10</v>
      </c>
      <c r="AC21" s="17">
        <f t="shared" si="13"/>
        <v>126</v>
      </c>
      <c r="AD21" s="17">
        <f t="shared" si="13"/>
        <v>0</v>
      </c>
      <c r="AE21" s="31">
        <f t="shared" si="13"/>
        <v>462</v>
      </c>
      <c r="AF21" s="31">
        <f t="shared" si="13"/>
        <v>588</v>
      </c>
    </row>
    <row r="22" spans="2:32" ht="23.1" customHeight="1" x14ac:dyDescent="0.25">
      <c r="B22" s="45" t="s">
        <v>49</v>
      </c>
      <c r="C22" s="50">
        <v>23</v>
      </c>
      <c r="D22" s="50">
        <v>4</v>
      </c>
      <c r="E22" s="50">
        <v>2</v>
      </c>
      <c r="F22" s="50">
        <v>22</v>
      </c>
      <c r="G22" s="50">
        <v>0</v>
      </c>
      <c r="H22" s="50">
        <v>1</v>
      </c>
      <c r="I22" s="50">
        <v>2</v>
      </c>
      <c r="J22" s="50">
        <v>6</v>
      </c>
      <c r="K22" s="50">
        <v>3</v>
      </c>
      <c r="L22" s="50">
        <v>3</v>
      </c>
      <c r="M22" s="50">
        <v>29</v>
      </c>
      <c r="N22" s="50">
        <v>0</v>
      </c>
      <c r="O22" s="15">
        <f t="shared" si="0"/>
        <v>66</v>
      </c>
      <c r="P22" s="15">
        <f t="shared" si="1"/>
        <v>95</v>
      </c>
      <c r="R22" s="36" t="s">
        <v>146</v>
      </c>
      <c r="S22" s="34">
        <f>SUM(C58:C61)</f>
        <v>40</v>
      </c>
      <c r="T22" s="34">
        <f t="shared" ref="T22:AF22" si="14">SUM(D58:D61)</f>
        <v>48</v>
      </c>
      <c r="U22" s="34">
        <f t="shared" si="14"/>
        <v>21</v>
      </c>
      <c r="V22" s="34">
        <f t="shared" si="14"/>
        <v>63</v>
      </c>
      <c r="W22" s="34">
        <f t="shared" si="14"/>
        <v>23</v>
      </c>
      <c r="X22" s="34">
        <f t="shared" si="14"/>
        <v>19</v>
      </c>
      <c r="Y22" s="34">
        <f t="shared" si="14"/>
        <v>23</v>
      </c>
      <c r="Z22" s="34">
        <f t="shared" si="14"/>
        <v>17</v>
      </c>
      <c r="AA22" s="34">
        <f t="shared" si="14"/>
        <v>17</v>
      </c>
      <c r="AB22" s="34">
        <f t="shared" si="14"/>
        <v>18</v>
      </c>
      <c r="AC22" s="34">
        <f t="shared" si="14"/>
        <v>66</v>
      </c>
      <c r="AD22" s="34">
        <f t="shared" si="14"/>
        <v>0</v>
      </c>
      <c r="AE22" s="31">
        <f t="shared" si="14"/>
        <v>289</v>
      </c>
      <c r="AF22" s="31">
        <f t="shared" si="14"/>
        <v>355</v>
      </c>
    </row>
    <row r="23" spans="2:32" ht="23.1" customHeight="1" x14ac:dyDescent="0.25">
      <c r="B23" s="45" t="s">
        <v>50</v>
      </c>
      <c r="C23" s="50">
        <v>19</v>
      </c>
      <c r="D23" s="50">
        <v>3</v>
      </c>
      <c r="E23" s="50">
        <v>5</v>
      </c>
      <c r="F23" s="50">
        <v>23</v>
      </c>
      <c r="G23" s="50">
        <v>0</v>
      </c>
      <c r="H23" s="50">
        <v>0</v>
      </c>
      <c r="I23" s="50">
        <v>11</v>
      </c>
      <c r="J23" s="50">
        <v>0</v>
      </c>
      <c r="K23" s="50">
        <v>4</v>
      </c>
      <c r="L23" s="50">
        <v>3</v>
      </c>
      <c r="M23" s="50">
        <v>19</v>
      </c>
      <c r="N23" s="50">
        <v>0</v>
      </c>
      <c r="O23" s="15">
        <f t="shared" si="0"/>
        <v>68</v>
      </c>
      <c r="P23" s="15">
        <f t="shared" si="1"/>
        <v>87</v>
      </c>
      <c r="R23" s="36" t="s">
        <v>147</v>
      </c>
      <c r="S23" s="34">
        <f>SUM(C62:C65)</f>
        <v>80</v>
      </c>
      <c r="T23" s="34">
        <f t="shared" ref="T23:AF23" si="15">SUM(D62:D65)</f>
        <v>52</v>
      </c>
      <c r="U23" s="34">
        <f t="shared" si="15"/>
        <v>38</v>
      </c>
      <c r="V23" s="34">
        <f t="shared" si="15"/>
        <v>103</v>
      </c>
      <c r="W23" s="34">
        <f t="shared" si="15"/>
        <v>16</v>
      </c>
      <c r="X23" s="34">
        <f t="shared" si="15"/>
        <v>19</v>
      </c>
      <c r="Y23" s="34">
        <f t="shared" si="15"/>
        <v>65</v>
      </c>
      <c r="Z23" s="34">
        <f t="shared" si="15"/>
        <v>14</v>
      </c>
      <c r="AA23" s="34">
        <f t="shared" si="15"/>
        <v>19</v>
      </c>
      <c r="AB23" s="34">
        <f t="shared" si="15"/>
        <v>11</v>
      </c>
      <c r="AC23" s="34">
        <f t="shared" si="15"/>
        <v>83</v>
      </c>
      <c r="AD23" s="34">
        <f t="shared" si="15"/>
        <v>0</v>
      </c>
      <c r="AE23" s="31">
        <f t="shared" si="15"/>
        <v>417</v>
      </c>
      <c r="AF23" s="31">
        <f t="shared" si="15"/>
        <v>500</v>
      </c>
    </row>
    <row r="24" spans="2:32" ht="23.1" customHeight="1" x14ac:dyDescent="0.25">
      <c r="B24" s="45" t="s">
        <v>51</v>
      </c>
      <c r="C24" s="50">
        <v>18</v>
      </c>
      <c r="D24" s="50">
        <v>5</v>
      </c>
      <c r="E24" s="50">
        <v>3</v>
      </c>
      <c r="F24" s="50">
        <v>23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3</v>
      </c>
      <c r="M24" s="50">
        <v>20</v>
      </c>
      <c r="N24" s="50">
        <v>0</v>
      </c>
      <c r="O24" s="15">
        <f t="shared" si="0"/>
        <v>57</v>
      </c>
      <c r="P24" s="15">
        <f t="shared" si="1"/>
        <v>77</v>
      </c>
      <c r="R24" s="36" t="s">
        <v>148</v>
      </c>
      <c r="S24" s="34">
        <f>SUM(C66:C69)</f>
        <v>75</v>
      </c>
      <c r="T24" s="34">
        <f t="shared" ref="T24:AF24" si="16">SUM(D66:D69)</f>
        <v>28</v>
      </c>
      <c r="U24" s="34">
        <f t="shared" si="16"/>
        <v>19</v>
      </c>
      <c r="V24" s="34">
        <f t="shared" si="16"/>
        <v>88</v>
      </c>
      <c r="W24" s="34">
        <f t="shared" si="16"/>
        <v>14</v>
      </c>
      <c r="X24" s="34">
        <f t="shared" si="16"/>
        <v>3</v>
      </c>
      <c r="Y24" s="34">
        <f t="shared" si="16"/>
        <v>71</v>
      </c>
      <c r="Z24" s="34">
        <f t="shared" si="16"/>
        <v>28</v>
      </c>
      <c r="AA24" s="34">
        <f t="shared" si="16"/>
        <v>21</v>
      </c>
      <c r="AB24" s="34">
        <f t="shared" si="16"/>
        <v>9</v>
      </c>
      <c r="AC24" s="34">
        <f t="shared" si="16"/>
        <v>45</v>
      </c>
      <c r="AD24" s="34">
        <f t="shared" si="16"/>
        <v>0</v>
      </c>
      <c r="AE24" s="31">
        <f t="shared" si="16"/>
        <v>356</v>
      </c>
      <c r="AF24" s="31">
        <f t="shared" si="16"/>
        <v>401</v>
      </c>
    </row>
    <row r="25" spans="2:32" ht="23.1" customHeight="1" x14ac:dyDescent="0.25">
      <c r="B25" s="45" t="s">
        <v>52</v>
      </c>
      <c r="C25" s="50">
        <v>17</v>
      </c>
      <c r="D25" s="50">
        <v>3</v>
      </c>
      <c r="E25" s="50">
        <v>6</v>
      </c>
      <c r="F25" s="50">
        <v>16</v>
      </c>
      <c r="G25" s="50">
        <v>1</v>
      </c>
      <c r="H25" s="50">
        <v>1</v>
      </c>
      <c r="I25" s="50">
        <v>19</v>
      </c>
      <c r="J25" s="50">
        <v>1</v>
      </c>
      <c r="K25" s="50">
        <v>2</v>
      </c>
      <c r="L25" s="50">
        <v>1</v>
      </c>
      <c r="M25" s="50">
        <v>26</v>
      </c>
      <c r="N25" s="50">
        <v>0</v>
      </c>
      <c r="O25" s="15">
        <f t="shared" si="0"/>
        <v>67</v>
      </c>
      <c r="P25" s="15">
        <f t="shared" si="1"/>
        <v>93</v>
      </c>
      <c r="R25" s="36" t="s">
        <v>149</v>
      </c>
      <c r="S25" s="34">
        <f>SUM(C70:C73)</f>
        <v>45</v>
      </c>
      <c r="T25" s="34">
        <f t="shared" ref="T25:AF25" si="17">SUM(D70:D73)</f>
        <v>22</v>
      </c>
      <c r="U25" s="34">
        <f t="shared" si="17"/>
        <v>17</v>
      </c>
      <c r="V25" s="34">
        <f t="shared" si="17"/>
        <v>70</v>
      </c>
      <c r="W25" s="34">
        <f t="shared" si="17"/>
        <v>15</v>
      </c>
      <c r="X25" s="34">
        <f t="shared" si="17"/>
        <v>9</v>
      </c>
      <c r="Y25" s="34">
        <f t="shared" si="17"/>
        <v>41</v>
      </c>
      <c r="Z25" s="34">
        <f t="shared" si="17"/>
        <v>31</v>
      </c>
      <c r="AA25" s="34">
        <f t="shared" si="17"/>
        <v>27</v>
      </c>
      <c r="AB25" s="34">
        <f t="shared" si="17"/>
        <v>11</v>
      </c>
      <c r="AC25" s="34">
        <f t="shared" si="17"/>
        <v>42</v>
      </c>
      <c r="AD25" s="34">
        <f t="shared" si="17"/>
        <v>0</v>
      </c>
      <c r="AE25" s="31">
        <f t="shared" si="17"/>
        <v>288</v>
      </c>
      <c r="AF25" s="31">
        <f t="shared" si="17"/>
        <v>330</v>
      </c>
    </row>
    <row r="26" spans="2:32" ht="23.1" customHeight="1" x14ac:dyDescent="0.25">
      <c r="B26" s="45" t="s">
        <v>53</v>
      </c>
      <c r="C26" s="50">
        <v>15</v>
      </c>
      <c r="D26" s="50">
        <v>6</v>
      </c>
      <c r="E26" s="50">
        <v>2</v>
      </c>
      <c r="F26" s="50">
        <v>30</v>
      </c>
      <c r="G26" s="50">
        <v>1</v>
      </c>
      <c r="H26" s="50">
        <v>0</v>
      </c>
      <c r="I26" s="50">
        <v>10</v>
      </c>
      <c r="J26" s="50">
        <v>3</v>
      </c>
      <c r="K26" s="50">
        <v>2</v>
      </c>
      <c r="L26" s="50">
        <v>0</v>
      </c>
      <c r="M26" s="50">
        <v>21</v>
      </c>
      <c r="N26" s="50">
        <v>0</v>
      </c>
      <c r="O26" s="15">
        <f t="shared" si="0"/>
        <v>69</v>
      </c>
      <c r="P26" s="15">
        <f t="shared" si="1"/>
        <v>90</v>
      </c>
      <c r="R26" s="36" t="s">
        <v>150</v>
      </c>
      <c r="S26" s="34">
        <f>SUM(C74:C77)</f>
        <v>52</v>
      </c>
      <c r="T26" s="34">
        <f t="shared" ref="T26:AF26" si="18">SUM(D74:D77)</f>
        <v>23</v>
      </c>
      <c r="U26" s="34">
        <f t="shared" si="18"/>
        <v>25</v>
      </c>
      <c r="V26" s="34">
        <f t="shared" si="18"/>
        <v>48</v>
      </c>
      <c r="W26" s="34">
        <f t="shared" si="18"/>
        <v>16</v>
      </c>
      <c r="X26" s="34">
        <f t="shared" si="18"/>
        <v>9</v>
      </c>
      <c r="Y26" s="34">
        <f t="shared" si="18"/>
        <v>50</v>
      </c>
      <c r="Z26" s="34">
        <f t="shared" si="18"/>
        <v>30</v>
      </c>
      <c r="AA26" s="34">
        <f t="shared" si="18"/>
        <v>40</v>
      </c>
      <c r="AB26" s="34">
        <f t="shared" si="18"/>
        <v>9</v>
      </c>
      <c r="AC26" s="34">
        <f t="shared" si="18"/>
        <v>23</v>
      </c>
      <c r="AD26" s="34">
        <f t="shared" si="18"/>
        <v>0</v>
      </c>
      <c r="AE26" s="31">
        <f t="shared" si="18"/>
        <v>302</v>
      </c>
      <c r="AF26" s="31">
        <f t="shared" si="18"/>
        <v>325</v>
      </c>
    </row>
    <row r="27" spans="2:32" ht="23.1" customHeight="1" x14ac:dyDescent="0.25">
      <c r="B27" s="45" t="s">
        <v>54</v>
      </c>
      <c r="C27" s="50">
        <v>19</v>
      </c>
      <c r="D27" s="50">
        <v>3</v>
      </c>
      <c r="E27" s="50">
        <v>5</v>
      </c>
      <c r="F27" s="50">
        <v>25</v>
      </c>
      <c r="G27" s="50">
        <v>0</v>
      </c>
      <c r="H27" s="50">
        <v>0</v>
      </c>
      <c r="I27" s="50">
        <v>13</v>
      </c>
      <c r="J27" s="50">
        <v>0</v>
      </c>
      <c r="K27" s="50">
        <v>1</v>
      </c>
      <c r="L27" s="50">
        <v>1</v>
      </c>
      <c r="M27" s="50">
        <v>20</v>
      </c>
      <c r="N27" s="50">
        <v>0</v>
      </c>
      <c r="O27" s="15">
        <f t="shared" si="0"/>
        <v>67</v>
      </c>
      <c r="P27" s="15">
        <f t="shared" si="1"/>
        <v>87</v>
      </c>
      <c r="R27" s="36" t="s">
        <v>151</v>
      </c>
      <c r="S27" s="34">
        <f>SUM(C78:C81)</f>
        <v>29</v>
      </c>
      <c r="T27" s="34">
        <f t="shared" ref="T27:AF27" si="19">SUM(D78:D81)</f>
        <v>9</v>
      </c>
      <c r="U27" s="34">
        <f t="shared" si="19"/>
        <v>5</v>
      </c>
      <c r="V27" s="34">
        <f t="shared" si="19"/>
        <v>20</v>
      </c>
      <c r="W27" s="34">
        <f t="shared" si="19"/>
        <v>4</v>
      </c>
      <c r="X27" s="34">
        <f t="shared" si="19"/>
        <v>4</v>
      </c>
      <c r="Y27" s="34">
        <f t="shared" si="19"/>
        <v>53</v>
      </c>
      <c r="Z27" s="34">
        <f t="shared" si="19"/>
        <v>18</v>
      </c>
      <c r="AA27" s="34">
        <f t="shared" si="19"/>
        <v>22</v>
      </c>
      <c r="AB27" s="34">
        <f t="shared" si="19"/>
        <v>7</v>
      </c>
      <c r="AC27" s="34">
        <f t="shared" si="19"/>
        <v>12</v>
      </c>
      <c r="AD27" s="34">
        <f t="shared" si="19"/>
        <v>0</v>
      </c>
      <c r="AE27" s="31">
        <f t="shared" si="19"/>
        <v>171</v>
      </c>
      <c r="AF27" s="31">
        <f t="shared" si="19"/>
        <v>183</v>
      </c>
    </row>
    <row r="28" spans="2:32" ht="23.1" customHeight="1" x14ac:dyDescent="0.25">
      <c r="B28" s="45" t="s">
        <v>55</v>
      </c>
      <c r="C28" s="50">
        <v>16</v>
      </c>
      <c r="D28" s="50">
        <v>6</v>
      </c>
      <c r="E28" s="50">
        <v>3</v>
      </c>
      <c r="F28" s="50">
        <v>21</v>
      </c>
      <c r="G28" s="50">
        <v>1</v>
      </c>
      <c r="H28" s="50">
        <v>0</v>
      </c>
      <c r="I28" s="50">
        <v>13</v>
      </c>
      <c r="J28" s="50">
        <v>2</v>
      </c>
      <c r="K28" s="50">
        <v>0</v>
      </c>
      <c r="L28" s="50">
        <v>1</v>
      </c>
      <c r="M28" s="50">
        <v>25</v>
      </c>
      <c r="N28" s="50">
        <v>0</v>
      </c>
      <c r="O28" s="15">
        <f t="shared" si="0"/>
        <v>63</v>
      </c>
      <c r="P28" s="15">
        <f t="shared" si="1"/>
        <v>88</v>
      </c>
      <c r="R28" s="36" t="s">
        <v>152</v>
      </c>
      <c r="S28" s="34">
        <f>SUM(C82:C85)</f>
        <v>28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2</v>
      </c>
      <c r="W28" s="34">
        <f t="shared" si="20"/>
        <v>1</v>
      </c>
      <c r="X28" s="34">
        <f t="shared" si="20"/>
        <v>2</v>
      </c>
      <c r="Y28" s="34">
        <f t="shared" si="20"/>
        <v>73</v>
      </c>
      <c r="Z28" s="34">
        <f t="shared" si="20"/>
        <v>49</v>
      </c>
      <c r="AA28" s="34">
        <f t="shared" si="20"/>
        <v>36</v>
      </c>
      <c r="AB28" s="34">
        <f t="shared" si="20"/>
        <v>14</v>
      </c>
      <c r="AC28" s="34">
        <f t="shared" si="20"/>
        <v>4</v>
      </c>
      <c r="AD28" s="34">
        <f t="shared" si="20"/>
        <v>0</v>
      </c>
      <c r="AE28" s="31">
        <f t="shared" si="20"/>
        <v>206</v>
      </c>
      <c r="AF28" s="31">
        <f t="shared" si="20"/>
        <v>210</v>
      </c>
    </row>
    <row r="29" spans="2:32" ht="23.1" customHeight="1" x14ac:dyDescent="0.25">
      <c r="B29" s="45" t="s">
        <v>56</v>
      </c>
      <c r="C29" s="50">
        <v>19</v>
      </c>
      <c r="D29" s="50">
        <v>9</v>
      </c>
      <c r="E29" s="50">
        <v>7</v>
      </c>
      <c r="F29" s="50">
        <v>20</v>
      </c>
      <c r="G29" s="50">
        <v>0</v>
      </c>
      <c r="H29" s="50">
        <v>1</v>
      </c>
      <c r="I29" s="50">
        <v>9</v>
      </c>
      <c r="J29" s="50">
        <v>0</v>
      </c>
      <c r="K29" s="50">
        <v>0</v>
      </c>
      <c r="L29" s="50">
        <v>0</v>
      </c>
      <c r="M29" s="50">
        <v>20</v>
      </c>
      <c r="N29" s="50">
        <v>0</v>
      </c>
      <c r="O29" s="15">
        <f t="shared" si="0"/>
        <v>65</v>
      </c>
      <c r="P29" s="15">
        <f t="shared" si="1"/>
        <v>85</v>
      </c>
      <c r="R29" s="36" t="s">
        <v>153</v>
      </c>
      <c r="S29" s="34">
        <f>SUM(C86:C89)</f>
        <v>18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3</v>
      </c>
      <c r="W29" s="34">
        <f t="shared" si="21"/>
        <v>0</v>
      </c>
      <c r="X29" s="34">
        <f t="shared" si="21"/>
        <v>6</v>
      </c>
      <c r="Y29" s="34">
        <f t="shared" si="21"/>
        <v>63</v>
      </c>
      <c r="Z29" s="34">
        <f t="shared" si="21"/>
        <v>51</v>
      </c>
      <c r="AA29" s="34">
        <f t="shared" si="21"/>
        <v>53</v>
      </c>
      <c r="AB29" s="34">
        <f t="shared" si="21"/>
        <v>46</v>
      </c>
      <c r="AC29" s="34">
        <f t="shared" si="21"/>
        <v>5</v>
      </c>
      <c r="AD29" s="34">
        <f t="shared" si="21"/>
        <v>0</v>
      </c>
      <c r="AE29" s="31">
        <f t="shared" si="21"/>
        <v>245</v>
      </c>
      <c r="AF29" s="31">
        <f t="shared" si="21"/>
        <v>250</v>
      </c>
    </row>
    <row r="30" spans="2:32" ht="23.1" customHeight="1" x14ac:dyDescent="0.25">
      <c r="B30" s="45" t="s">
        <v>57</v>
      </c>
      <c r="C30" s="50">
        <v>23</v>
      </c>
      <c r="D30" s="50">
        <v>3</v>
      </c>
      <c r="E30" s="50">
        <v>12</v>
      </c>
      <c r="F30" s="50">
        <v>25</v>
      </c>
      <c r="G30" s="50">
        <v>1</v>
      </c>
      <c r="H30" s="50">
        <v>1</v>
      </c>
      <c r="I30" s="50">
        <v>13</v>
      </c>
      <c r="J30" s="50">
        <v>2</v>
      </c>
      <c r="K30" s="50">
        <v>1</v>
      </c>
      <c r="L30" s="50">
        <v>0</v>
      </c>
      <c r="M30" s="50">
        <v>30</v>
      </c>
      <c r="N30" s="50">
        <v>0</v>
      </c>
      <c r="O30" s="15">
        <f t="shared" si="0"/>
        <v>81</v>
      </c>
      <c r="P30" s="15">
        <f t="shared" si="1"/>
        <v>111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2</v>
      </c>
      <c r="W30" s="34">
        <f t="shared" si="22"/>
        <v>2</v>
      </c>
      <c r="X30" s="34">
        <f t="shared" si="22"/>
        <v>16</v>
      </c>
      <c r="Y30" s="34">
        <f t="shared" si="22"/>
        <v>40</v>
      </c>
      <c r="Z30" s="34">
        <f t="shared" si="22"/>
        <v>28</v>
      </c>
      <c r="AA30" s="34">
        <f t="shared" si="22"/>
        <v>30</v>
      </c>
      <c r="AB30" s="34">
        <f t="shared" si="22"/>
        <v>30</v>
      </c>
      <c r="AC30" s="34">
        <f t="shared" si="22"/>
        <v>11</v>
      </c>
      <c r="AD30" s="34">
        <f t="shared" si="22"/>
        <v>0</v>
      </c>
      <c r="AE30" s="31">
        <f t="shared" si="22"/>
        <v>153</v>
      </c>
      <c r="AF30" s="31">
        <f t="shared" si="22"/>
        <v>164</v>
      </c>
    </row>
    <row r="31" spans="2:32" ht="23.1" customHeight="1" x14ac:dyDescent="0.25">
      <c r="B31" s="46" t="s">
        <v>58</v>
      </c>
      <c r="C31" s="50">
        <v>18</v>
      </c>
      <c r="D31" s="50">
        <v>8</v>
      </c>
      <c r="E31" s="50">
        <v>3</v>
      </c>
      <c r="F31" s="50">
        <v>19</v>
      </c>
      <c r="G31" s="50">
        <v>1</v>
      </c>
      <c r="H31" s="50">
        <v>1</v>
      </c>
      <c r="I31" s="50">
        <v>9</v>
      </c>
      <c r="J31" s="50">
        <v>1</v>
      </c>
      <c r="K31" s="50">
        <v>2</v>
      </c>
      <c r="L31" s="50">
        <v>9</v>
      </c>
      <c r="M31" s="50">
        <v>25</v>
      </c>
      <c r="N31" s="50">
        <v>0</v>
      </c>
      <c r="O31" s="15">
        <f t="shared" si="0"/>
        <v>71</v>
      </c>
      <c r="P31" s="15">
        <f t="shared" si="1"/>
        <v>96</v>
      </c>
      <c r="R31" s="36" t="s">
        <v>155</v>
      </c>
      <c r="S31" s="34">
        <f>SUM(C94:C97)</f>
        <v>10</v>
      </c>
      <c r="T31" s="34">
        <f t="shared" ref="T31:AF31" si="23">SUM(D94:D97)</f>
        <v>2</v>
      </c>
      <c r="U31" s="34">
        <f t="shared" si="23"/>
        <v>2</v>
      </c>
      <c r="V31" s="34">
        <f t="shared" si="23"/>
        <v>7</v>
      </c>
      <c r="W31" s="34">
        <f t="shared" si="23"/>
        <v>4</v>
      </c>
      <c r="X31" s="34">
        <f t="shared" si="23"/>
        <v>17</v>
      </c>
      <c r="Y31" s="34">
        <f t="shared" si="23"/>
        <v>30</v>
      </c>
      <c r="Z31" s="34">
        <f t="shared" si="23"/>
        <v>29</v>
      </c>
      <c r="AA31" s="34">
        <f t="shared" si="23"/>
        <v>19</v>
      </c>
      <c r="AB31" s="34">
        <f t="shared" si="23"/>
        <v>22</v>
      </c>
      <c r="AC31" s="34">
        <f t="shared" si="23"/>
        <v>2</v>
      </c>
      <c r="AD31" s="34">
        <f t="shared" si="23"/>
        <v>0</v>
      </c>
      <c r="AE31" s="31">
        <f t="shared" si="23"/>
        <v>142</v>
      </c>
      <c r="AF31" s="31">
        <f t="shared" si="23"/>
        <v>144</v>
      </c>
    </row>
    <row r="32" spans="2:32" ht="23.1" customHeight="1" x14ac:dyDescent="0.25">
      <c r="B32" s="46" t="s">
        <v>59</v>
      </c>
      <c r="C32" s="50">
        <v>27</v>
      </c>
      <c r="D32" s="50">
        <v>3</v>
      </c>
      <c r="E32" s="50">
        <v>0</v>
      </c>
      <c r="F32" s="50">
        <v>22</v>
      </c>
      <c r="G32" s="50">
        <v>0</v>
      </c>
      <c r="H32" s="50">
        <v>4</v>
      </c>
      <c r="I32" s="50">
        <v>11</v>
      </c>
      <c r="J32" s="50">
        <v>2</v>
      </c>
      <c r="K32" s="50">
        <v>0</v>
      </c>
      <c r="L32" s="50">
        <v>1</v>
      </c>
      <c r="M32" s="50">
        <v>29</v>
      </c>
      <c r="N32" s="50">
        <v>1</v>
      </c>
      <c r="O32" s="15">
        <f t="shared" si="0"/>
        <v>71</v>
      </c>
      <c r="P32" s="15">
        <f t="shared" si="1"/>
        <v>100</v>
      </c>
      <c r="R32" s="33" t="s">
        <v>156</v>
      </c>
      <c r="S32" s="34">
        <f>SUM(C98:C101)</f>
        <v>18</v>
      </c>
      <c r="T32" s="34">
        <f t="shared" ref="T32:AF32" si="24">SUM(D98:D101)</f>
        <v>6</v>
      </c>
      <c r="U32" s="34">
        <f t="shared" si="24"/>
        <v>3</v>
      </c>
      <c r="V32" s="34">
        <f t="shared" si="24"/>
        <v>64</v>
      </c>
      <c r="W32" s="34">
        <f t="shared" si="24"/>
        <v>3</v>
      </c>
      <c r="X32" s="34">
        <f t="shared" si="24"/>
        <v>10</v>
      </c>
      <c r="Y32" s="34">
        <f t="shared" si="24"/>
        <v>31</v>
      </c>
      <c r="Z32" s="34">
        <f t="shared" si="24"/>
        <v>30</v>
      </c>
      <c r="AA32" s="34">
        <f t="shared" si="24"/>
        <v>12</v>
      </c>
      <c r="AB32" s="34">
        <f t="shared" si="24"/>
        <v>10</v>
      </c>
      <c r="AC32" s="34">
        <f t="shared" si="24"/>
        <v>18</v>
      </c>
      <c r="AD32" s="34">
        <f t="shared" si="24"/>
        <v>0</v>
      </c>
      <c r="AE32" s="31">
        <f t="shared" si="24"/>
        <v>187</v>
      </c>
      <c r="AF32" s="31">
        <f t="shared" si="24"/>
        <v>205</v>
      </c>
    </row>
    <row r="33" spans="2:32" ht="23.1" customHeight="1" x14ac:dyDescent="0.25">
      <c r="B33" s="45" t="s">
        <v>60</v>
      </c>
      <c r="C33" s="50">
        <v>21</v>
      </c>
      <c r="D33" s="50">
        <v>3</v>
      </c>
      <c r="E33" s="50">
        <v>5</v>
      </c>
      <c r="F33" s="50">
        <v>12</v>
      </c>
      <c r="G33" s="50">
        <v>0</v>
      </c>
      <c r="H33" s="50">
        <v>0</v>
      </c>
      <c r="I33" s="50">
        <v>11</v>
      </c>
      <c r="J33" s="50">
        <v>0</v>
      </c>
      <c r="K33" s="50">
        <v>0</v>
      </c>
      <c r="L33" s="50">
        <v>1</v>
      </c>
      <c r="M33" s="50">
        <v>22</v>
      </c>
      <c r="N33" s="50">
        <v>0</v>
      </c>
      <c r="O33" s="15">
        <f t="shared" si="0"/>
        <v>53</v>
      </c>
      <c r="P33" s="15">
        <f t="shared" si="1"/>
        <v>75</v>
      </c>
      <c r="R33" s="33" t="s">
        <v>157</v>
      </c>
      <c r="S33" s="34">
        <f>SUM(C102:C105)</f>
        <v>19</v>
      </c>
      <c r="T33" s="34">
        <f t="shared" ref="T33:AF33" si="25">SUM(D102:D105)</f>
        <v>21</v>
      </c>
      <c r="U33" s="34">
        <f t="shared" si="25"/>
        <v>6</v>
      </c>
      <c r="V33" s="34">
        <f t="shared" si="25"/>
        <v>72</v>
      </c>
      <c r="W33" s="34">
        <f t="shared" si="25"/>
        <v>8</v>
      </c>
      <c r="X33" s="34">
        <f t="shared" si="25"/>
        <v>8</v>
      </c>
      <c r="Y33" s="34">
        <f t="shared" si="25"/>
        <v>28</v>
      </c>
      <c r="Z33" s="34">
        <f t="shared" si="25"/>
        <v>21</v>
      </c>
      <c r="AA33" s="34">
        <f t="shared" si="25"/>
        <v>15</v>
      </c>
      <c r="AB33" s="34">
        <f t="shared" si="25"/>
        <v>20</v>
      </c>
      <c r="AC33" s="34">
        <f t="shared" si="25"/>
        <v>47</v>
      </c>
      <c r="AD33" s="34">
        <f t="shared" si="25"/>
        <v>0</v>
      </c>
      <c r="AE33" s="31">
        <f t="shared" si="25"/>
        <v>218</v>
      </c>
      <c r="AF33" s="31">
        <f t="shared" si="25"/>
        <v>265</v>
      </c>
    </row>
    <row r="34" spans="2:32" ht="23.1" customHeight="1" x14ac:dyDescent="0.25">
      <c r="B34" s="46" t="s">
        <v>61</v>
      </c>
      <c r="C34" s="50">
        <v>19</v>
      </c>
      <c r="D34" s="50">
        <v>5</v>
      </c>
      <c r="E34" s="50">
        <v>5</v>
      </c>
      <c r="F34" s="50">
        <v>16</v>
      </c>
      <c r="G34" s="50">
        <v>2</v>
      </c>
      <c r="H34" s="50">
        <v>1</v>
      </c>
      <c r="I34" s="50">
        <v>12</v>
      </c>
      <c r="J34" s="50">
        <v>1</v>
      </c>
      <c r="K34" s="50">
        <v>0</v>
      </c>
      <c r="L34" s="50">
        <v>2</v>
      </c>
      <c r="M34" s="50">
        <v>21</v>
      </c>
      <c r="N34" s="50">
        <v>0</v>
      </c>
      <c r="O34" s="15">
        <f t="shared" si="0"/>
        <v>63</v>
      </c>
      <c r="P34" s="15">
        <f t="shared" si="1"/>
        <v>84</v>
      </c>
      <c r="R34" s="38" t="s">
        <v>90</v>
      </c>
      <c r="S34" s="39">
        <f t="shared" ref="S34:AF34" si="26">MAX(S10:S12)</f>
        <v>68</v>
      </c>
      <c r="T34" s="39">
        <f t="shared" si="26"/>
        <v>21</v>
      </c>
      <c r="U34" s="39">
        <f t="shared" si="26"/>
        <v>8</v>
      </c>
      <c r="V34" s="39">
        <f t="shared" si="26"/>
        <v>101</v>
      </c>
      <c r="W34" s="39">
        <f t="shared" si="26"/>
        <v>2</v>
      </c>
      <c r="X34" s="39">
        <f t="shared" si="26"/>
        <v>4</v>
      </c>
      <c r="Y34" s="39">
        <f t="shared" si="26"/>
        <v>29</v>
      </c>
      <c r="Z34" s="39">
        <f t="shared" si="26"/>
        <v>14</v>
      </c>
      <c r="AA34" s="39">
        <f t="shared" si="26"/>
        <v>16</v>
      </c>
      <c r="AB34" s="39">
        <f t="shared" si="26"/>
        <v>13</v>
      </c>
      <c r="AC34" s="39">
        <f t="shared" si="26"/>
        <v>130</v>
      </c>
      <c r="AD34" s="39">
        <f t="shared" si="26"/>
        <v>0</v>
      </c>
      <c r="AE34" s="40">
        <f t="shared" si="26"/>
        <v>247</v>
      </c>
      <c r="AF34" s="40">
        <f t="shared" si="26"/>
        <v>347</v>
      </c>
    </row>
    <row r="35" spans="2:32" ht="23.1" customHeight="1" x14ac:dyDescent="0.25">
      <c r="B35" s="46" t="s">
        <v>62</v>
      </c>
      <c r="C35" s="50">
        <v>23</v>
      </c>
      <c r="D35" s="50">
        <v>5</v>
      </c>
      <c r="E35" s="50">
        <v>4</v>
      </c>
      <c r="F35" s="50">
        <v>15</v>
      </c>
      <c r="G35" s="50">
        <v>0</v>
      </c>
      <c r="H35" s="50">
        <v>1</v>
      </c>
      <c r="I35" s="50">
        <v>13</v>
      </c>
      <c r="J35" s="50">
        <v>0</v>
      </c>
      <c r="K35" s="50">
        <v>0</v>
      </c>
      <c r="L35" s="50">
        <v>0</v>
      </c>
      <c r="M35" s="50">
        <v>19</v>
      </c>
      <c r="N35" s="50">
        <v>0</v>
      </c>
      <c r="O35" s="15">
        <f t="shared" si="0"/>
        <v>61</v>
      </c>
      <c r="P35" s="15">
        <f t="shared" si="1"/>
        <v>80</v>
      </c>
      <c r="R35" s="38" t="s">
        <v>91</v>
      </c>
      <c r="S35" s="39">
        <f t="shared" ref="S35:AF35" si="27">MAX(S13:S18)</f>
        <v>124</v>
      </c>
      <c r="T35" s="39">
        <f t="shared" si="27"/>
        <v>25</v>
      </c>
      <c r="U35" s="39">
        <f t="shared" si="27"/>
        <v>28</v>
      </c>
      <c r="V35" s="39">
        <f t="shared" si="27"/>
        <v>96</v>
      </c>
      <c r="W35" s="39">
        <f t="shared" si="27"/>
        <v>4</v>
      </c>
      <c r="X35" s="39">
        <f t="shared" si="27"/>
        <v>8</v>
      </c>
      <c r="Y35" s="39">
        <f t="shared" si="27"/>
        <v>57</v>
      </c>
      <c r="Z35" s="39">
        <f t="shared" si="27"/>
        <v>11</v>
      </c>
      <c r="AA35" s="39">
        <f t="shared" si="27"/>
        <v>10</v>
      </c>
      <c r="AB35" s="39">
        <f t="shared" si="27"/>
        <v>12</v>
      </c>
      <c r="AC35" s="39">
        <f t="shared" si="27"/>
        <v>106</v>
      </c>
      <c r="AD35" s="39">
        <f t="shared" si="27"/>
        <v>1</v>
      </c>
      <c r="AE35" s="40">
        <f t="shared" si="27"/>
        <v>339</v>
      </c>
      <c r="AF35" s="40">
        <f t="shared" si="27"/>
        <v>416</v>
      </c>
    </row>
    <row r="36" spans="2:32" ht="23.1" customHeight="1" x14ac:dyDescent="0.25">
      <c r="B36" s="46" t="s">
        <v>63</v>
      </c>
      <c r="C36" s="50">
        <v>20</v>
      </c>
      <c r="D36" s="50">
        <v>12</v>
      </c>
      <c r="E36" s="50">
        <v>5</v>
      </c>
      <c r="F36" s="50">
        <v>28</v>
      </c>
      <c r="G36" s="50">
        <v>0</v>
      </c>
      <c r="H36" s="50">
        <v>2</v>
      </c>
      <c r="I36" s="50">
        <v>10</v>
      </c>
      <c r="J36" s="50">
        <v>1</v>
      </c>
      <c r="K36" s="50">
        <v>1</v>
      </c>
      <c r="L36" s="50">
        <v>3</v>
      </c>
      <c r="M36" s="50">
        <v>16</v>
      </c>
      <c r="N36" s="50">
        <v>0</v>
      </c>
      <c r="O36" s="15">
        <f t="shared" si="0"/>
        <v>82</v>
      </c>
      <c r="P36" s="15">
        <f t="shared" si="1"/>
        <v>98</v>
      </c>
      <c r="R36" s="38" t="s">
        <v>92</v>
      </c>
      <c r="S36" s="39">
        <f t="shared" ref="S36:AF36" si="28">MAX(S19:S21)</f>
        <v>182</v>
      </c>
      <c r="T36" s="39">
        <f t="shared" si="28"/>
        <v>43</v>
      </c>
      <c r="U36" s="39">
        <f t="shared" si="28"/>
        <v>38</v>
      </c>
      <c r="V36" s="39">
        <f t="shared" si="28"/>
        <v>109</v>
      </c>
      <c r="W36" s="39">
        <f t="shared" si="28"/>
        <v>13</v>
      </c>
      <c r="X36" s="39">
        <f t="shared" si="28"/>
        <v>8</v>
      </c>
      <c r="Y36" s="39">
        <f t="shared" si="28"/>
        <v>72</v>
      </c>
      <c r="Z36" s="39">
        <f t="shared" si="28"/>
        <v>20</v>
      </c>
      <c r="AA36" s="39">
        <f t="shared" si="28"/>
        <v>5</v>
      </c>
      <c r="AB36" s="39">
        <f t="shared" si="28"/>
        <v>10</v>
      </c>
      <c r="AC36" s="39">
        <f t="shared" si="28"/>
        <v>126</v>
      </c>
      <c r="AD36" s="39">
        <f t="shared" si="28"/>
        <v>0</v>
      </c>
      <c r="AE36" s="40">
        <f t="shared" si="28"/>
        <v>462</v>
      </c>
      <c r="AF36" s="40">
        <f t="shared" si="28"/>
        <v>588</v>
      </c>
    </row>
    <row r="37" spans="2:32" ht="23.1" customHeight="1" x14ac:dyDescent="0.25">
      <c r="B37" s="45" t="s">
        <v>64</v>
      </c>
      <c r="C37" s="50">
        <v>24</v>
      </c>
      <c r="D37" s="50">
        <v>3</v>
      </c>
      <c r="E37" s="50">
        <v>2</v>
      </c>
      <c r="F37" s="50">
        <v>11</v>
      </c>
      <c r="G37" s="50">
        <v>0</v>
      </c>
      <c r="H37" s="50">
        <v>1</v>
      </c>
      <c r="I37" s="50">
        <v>12</v>
      </c>
      <c r="J37" s="50">
        <v>2</v>
      </c>
      <c r="K37" s="50">
        <v>0</v>
      </c>
      <c r="L37" s="50">
        <v>7</v>
      </c>
      <c r="M37" s="50">
        <v>22</v>
      </c>
      <c r="N37" s="50">
        <v>0</v>
      </c>
      <c r="O37" s="15">
        <f t="shared" si="0"/>
        <v>62</v>
      </c>
      <c r="P37" s="15">
        <f t="shared" si="1"/>
        <v>84</v>
      </c>
      <c r="R37" s="37" t="s">
        <v>85</v>
      </c>
      <c r="S37" s="35">
        <f t="shared" ref="S37:AF37" si="29">SUM(S10:S12)</f>
        <v>176</v>
      </c>
      <c r="T37" s="16">
        <f t="shared" si="29"/>
        <v>40</v>
      </c>
      <c r="U37" s="16">
        <f t="shared" si="29"/>
        <v>17</v>
      </c>
      <c r="V37" s="16">
        <f t="shared" si="29"/>
        <v>270</v>
      </c>
      <c r="W37" s="16">
        <f t="shared" si="29"/>
        <v>3</v>
      </c>
      <c r="X37" s="16">
        <f t="shared" si="29"/>
        <v>5</v>
      </c>
      <c r="Y37" s="16">
        <f t="shared" si="29"/>
        <v>73</v>
      </c>
      <c r="Z37" s="16">
        <f t="shared" si="29"/>
        <v>27</v>
      </c>
      <c r="AA37" s="16">
        <f t="shared" si="29"/>
        <v>32</v>
      </c>
      <c r="AB37" s="16">
        <f t="shared" si="29"/>
        <v>26</v>
      </c>
      <c r="AC37" s="16">
        <f t="shared" si="29"/>
        <v>336</v>
      </c>
      <c r="AD37" s="16">
        <f t="shared" si="29"/>
        <v>0</v>
      </c>
      <c r="AE37" s="32">
        <f t="shared" si="29"/>
        <v>669</v>
      </c>
      <c r="AF37" s="32">
        <f t="shared" si="29"/>
        <v>1005</v>
      </c>
    </row>
    <row r="38" spans="2:32" ht="23.1" customHeight="1" x14ac:dyDescent="0.25">
      <c r="B38" s="46" t="s">
        <v>65</v>
      </c>
      <c r="C38" s="50">
        <v>10</v>
      </c>
      <c r="D38" s="50">
        <v>9</v>
      </c>
      <c r="E38" s="50">
        <v>3</v>
      </c>
      <c r="F38" s="50">
        <v>21</v>
      </c>
      <c r="G38" s="50">
        <v>1</v>
      </c>
      <c r="H38" s="50">
        <v>0</v>
      </c>
      <c r="I38" s="50">
        <v>17</v>
      </c>
      <c r="J38" s="50">
        <v>3</v>
      </c>
      <c r="K38" s="50">
        <v>1</v>
      </c>
      <c r="L38" s="50">
        <v>1</v>
      </c>
      <c r="M38" s="50">
        <v>19</v>
      </c>
      <c r="N38" s="50">
        <v>0</v>
      </c>
      <c r="O38" s="15">
        <f t="shared" si="0"/>
        <v>66</v>
      </c>
      <c r="P38" s="15">
        <f t="shared" si="1"/>
        <v>85</v>
      </c>
      <c r="R38" s="28" t="s">
        <v>86</v>
      </c>
      <c r="S38" s="16">
        <f t="shared" ref="S38:AF38" si="30">SUM(S13:S18)</f>
        <v>531</v>
      </c>
      <c r="T38" s="16">
        <f t="shared" si="30"/>
        <v>127</v>
      </c>
      <c r="U38" s="16">
        <f t="shared" si="30"/>
        <v>116</v>
      </c>
      <c r="V38" s="16">
        <f t="shared" si="30"/>
        <v>479</v>
      </c>
      <c r="W38" s="16">
        <f t="shared" si="30"/>
        <v>13</v>
      </c>
      <c r="X38" s="16">
        <f t="shared" si="30"/>
        <v>25</v>
      </c>
      <c r="Y38" s="16">
        <f t="shared" si="30"/>
        <v>285</v>
      </c>
      <c r="Z38" s="16">
        <f t="shared" si="30"/>
        <v>37</v>
      </c>
      <c r="AA38" s="16">
        <f t="shared" si="30"/>
        <v>18</v>
      </c>
      <c r="AB38" s="16">
        <f t="shared" si="30"/>
        <v>56</v>
      </c>
      <c r="AC38" s="16">
        <f t="shared" si="30"/>
        <v>509</v>
      </c>
      <c r="AD38" s="16">
        <f t="shared" si="30"/>
        <v>1</v>
      </c>
      <c r="AE38" s="32">
        <f t="shared" si="30"/>
        <v>1688</v>
      </c>
      <c r="AF38" s="32">
        <f t="shared" si="30"/>
        <v>2197</v>
      </c>
    </row>
    <row r="39" spans="2:32" ht="23.1" customHeight="1" x14ac:dyDescent="0.25">
      <c r="B39" s="46" t="s">
        <v>66</v>
      </c>
      <c r="C39" s="50">
        <v>21</v>
      </c>
      <c r="D39" s="50">
        <v>5</v>
      </c>
      <c r="E39" s="50">
        <v>5</v>
      </c>
      <c r="F39" s="50">
        <v>21</v>
      </c>
      <c r="G39" s="50">
        <v>0</v>
      </c>
      <c r="H39" s="50">
        <v>2</v>
      </c>
      <c r="I39" s="50">
        <v>19</v>
      </c>
      <c r="J39" s="50">
        <v>0</v>
      </c>
      <c r="K39" s="50">
        <v>0</v>
      </c>
      <c r="L39" s="50">
        <v>1</v>
      </c>
      <c r="M39" s="50">
        <v>18</v>
      </c>
      <c r="N39" s="50">
        <v>0</v>
      </c>
      <c r="O39" s="15">
        <f t="shared" si="0"/>
        <v>74</v>
      </c>
      <c r="P39" s="15">
        <f t="shared" si="1"/>
        <v>92</v>
      </c>
      <c r="R39" s="29" t="s">
        <v>87</v>
      </c>
      <c r="S39" s="16">
        <f t="shared" ref="S39:AF39" si="31">SUM(S19:S21)</f>
        <v>471</v>
      </c>
      <c r="T39" s="16">
        <f t="shared" si="31"/>
        <v>96</v>
      </c>
      <c r="U39" s="16">
        <f t="shared" si="31"/>
        <v>93</v>
      </c>
      <c r="V39" s="16">
        <f t="shared" si="31"/>
        <v>311</v>
      </c>
      <c r="W39" s="16">
        <f t="shared" si="31"/>
        <v>27</v>
      </c>
      <c r="X39" s="16">
        <f t="shared" si="31"/>
        <v>20</v>
      </c>
      <c r="Y39" s="16">
        <f t="shared" si="31"/>
        <v>188</v>
      </c>
      <c r="Z39" s="16">
        <f t="shared" si="31"/>
        <v>42</v>
      </c>
      <c r="AA39" s="16">
        <f t="shared" si="31"/>
        <v>11</v>
      </c>
      <c r="AB39" s="16">
        <f t="shared" si="31"/>
        <v>21</v>
      </c>
      <c r="AC39" s="16">
        <f t="shared" si="31"/>
        <v>339</v>
      </c>
      <c r="AD39" s="16">
        <f t="shared" si="31"/>
        <v>0</v>
      </c>
      <c r="AE39" s="32">
        <f t="shared" si="31"/>
        <v>1280</v>
      </c>
      <c r="AF39" s="32">
        <f t="shared" si="31"/>
        <v>1619</v>
      </c>
    </row>
    <row r="40" spans="2:32" ht="23.1" customHeight="1" x14ac:dyDescent="0.25">
      <c r="B40" s="46" t="s">
        <v>67</v>
      </c>
      <c r="C40" s="50">
        <v>27</v>
      </c>
      <c r="D40" s="50">
        <v>4</v>
      </c>
      <c r="E40" s="50">
        <v>3</v>
      </c>
      <c r="F40" s="50">
        <v>18</v>
      </c>
      <c r="G40" s="50">
        <v>1</v>
      </c>
      <c r="H40" s="50">
        <v>1</v>
      </c>
      <c r="I40" s="50">
        <v>12</v>
      </c>
      <c r="J40" s="50">
        <v>0</v>
      </c>
      <c r="K40" s="50">
        <v>0</v>
      </c>
      <c r="L40" s="50">
        <v>4</v>
      </c>
      <c r="M40" s="50">
        <v>16</v>
      </c>
      <c r="N40" s="50">
        <v>0</v>
      </c>
      <c r="O40" s="15">
        <f t="shared" si="0"/>
        <v>70</v>
      </c>
      <c r="P40" s="15">
        <f t="shared" si="1"/>
        <v>86</v>
      </c>
      <c r="R40" s="5" t="s">
        <v>17</v>
      </c>
      <c r="S40" s="16">
        <f t="shared" ref="S40:AF40" si="32">SUM(S10:S21)</f>
        <v>1178</v>
      </c>
      <c r="T40" s="16">
        <f t="shared" si="32"/>
        <v>263</v>
      </c>
      <c r="U40" s="16">
        <f t="shared" si="32"/>
        <v>226</v>
      </c>
      <c r="V40" s="16">
        <f t="shared" si="32"/>
        <v>1060</v>
      </c>
      <c r="W40" s="16">
        <f t="shared" si="32"/>
        <v>43</v>
      </c>
      <c r="X40" s="16">
        <f t="shared" si="32"/>
        <v>50</v>
      </c>
      <c r="Y40" s="16">
        <f t="shared" si="32"/>
        <v>546</v>
      </c>
      <c r="Z40" s="16">
        <f t="shared" si="32"/>
        <v>106</v>
      </c>
      <c r="AA40" s="16">
        <f t="shared" si="32"/>
        <v>61</v>
      </c>
      <c r="AB40" s="16">
        <f t="shared" si="32"/>
        <v>103</v>
      </c>
      <c r="AC40" s="16">
        <f t="shared" si="32"/>
        <v>1184</v>
      </c>
      <c r="AD40" s="16">
        <f t="shared" si="32"/>
        <v>1</v>
      </c>
      <c r="AE40" s="32">
        <f t="shared" si="32"/>
        <v>3637</v>
      </c>
      <c r="AF40" s="32">
        <f t="shared" si="32"/>
        <v>4821</v>
      </c>
    </row>
    <row r="41" spans="2:32" ht="23.1" customHeight="1" x14ac:dyDescent="0.25">
      <c r="B41" s="45" t="s">
        <v>68</v>
      </c>
      <c r="C41" s="50">
        <v>28</v>
      </c>
      <c r="D41" s="50">
        <v>6</v>
      </c>
      <c r="E41" s="50">
        <v>8</v>
      </c>
      <c r="F41" s="50">
        <v>18</v>
      </c>
      <c r="G41" s="50">
        <v>0</v>
      </c>
      <c r="H41" s="50">
        <v>0</v>
      </c>
      <c r="I41" s="50">
        <v>9</v>
      </c>
      <c r="J41" s="50">
        <v>1</v>
      </c>
      <c r="K41" s="50">
        <v>0</v>
      </c>
      <c r="L41" s="50">
        <v>3</v>
      </c>
      <c r="M41" s="50">
        <v>15</v>
      </c>
      <c r="N41" s="50">
        <v>0</v>
      </c>
      <c r="O41" s="15">
        <f t="shared" si="0"/>
        <v>73</v>
      </c>
      <c r="P41" s="15">
        <f t="shared" si="1"/>
        <v>88</v>
      </c>
      <c r="R41" s="5" t="s">
        <v>159</v>
      </c>
      <c r="S41" s="16">
        <f>SUM(S10:S33)</f>
        <v>1597</v>
      </c>
      <c r="T41" s="16">
        <f t="shared" ref="T41:AF41" si="33">SUM(T10:T33)</f>
        <v>477</v>
      </c>
      <c r="U41" s="16">
        <f t="shared" si="33"/>
        <v>365</v>
      </c>
      <c r="V41" s="16">
        <f t="shared" si="33"/>
        <v>1602</v>
      </c>
      <c r="W41" s="16">
        <f t="shared" si="33"/>
        <v>149</v>
      </c>
      <c r="X41" s="16">
        <f t="shared" si="33"/>
        <v>172</v>
      </c>
      <c r="Y41" s="16">
        <f t="shared" si="33"/>
        <v>1114</v>
      </c>
      <c r="Z41" s="16">
        <f t="shared" si="33"/>
        <v>452</v>
      </c>
      <c r="AA41" s="16">
        <f t="shared" si="33"/>
        <v>372</v>
      </c>
      <c r="AB41" s="16">
        <f t="shared" si="33"/>
        <v>310</v>
      </c>
      <c r="AC41" s="16">
        <f t="shared" si="33"/>
        <v>1542</v>
      </c>
      <c r="AD41" s="16">
        <f t="shared" si="33"/>
        <v>1</v>
      </c>
      <c r="AE41" s="32">
        <f t="shared" si="33"/>
        <v>6611</v>
      </c>
      <c r="AF41" s="32">
        <f t="shared" si="33"/>
        <v>8153</v>
      </c>
    </row>
    <row r="42" spans="2:32" ht="23.1" customHeight="1" x14ac:dyDescent="0.25">
      <c r="B42" s="46" t="s">
        <v>69</v>
      </c>
      <c r="C42" s="50">
        <v>22</v>
      </c>
      <c r="D42" s="50">
        <v>4</v>
      </c>
      <c r="E42" s="50">
        <v>10</v>
      </c>
      <c r="F42" s="50">
        <v>17</v>
      </c>
      <c r="G42" s="50">
        <v>0</v>
      </c>
      <c r="H42" s="50">
        <v>4</v>
      </c>
      <c r="I42" s="50">
        <v>18</v>
      </c>
      <c r="J42" s="50">
        <v>2</v>
      </c>
      <c r="K42" s="50">
        <v>0</v>
      </c>
      <c r="L42" s="50">
        <v>3</v>
      </c>
      <c r="M42" s="50">
        <v>23</v>
      </c>
      <c r="N42" s="50">
        <v>0</v>
      </c>
      <c r="O42" s="15">
        <f t="shared" si="0"/>
        <v>80</v>
      </c>
      <c r="P42" s="15">
        <f t="shared" si="1"/>
        <v>103</v>
      </c>
      <c r="R42" s="5" t="s">
        <v>160</v>
      </c>
      <c r="S42" s="48">
        <f>S41/S40</f>
        <v>1.3556876061120544</v>
      </c>
      <c r="T42" s="48">
        <f t="shared" ref="T42:AF42" si="34">T41/T40</f>
        <v>1.8136882129277567</v>
      </c>
      <c r="U42" s="48">
        <f t="shared" si="34"/>
        <v>1.6150442477876106</v>
      </c>
      <c r="V42" s="48">
        <f t="shared" si="34"/>
        <v>1.5113207547169811</v>
      </c>
      <c r="W42" s="48">
        <f t="shared" si="34"/>
        <v>3.4651162790697674</v>
      </c>
      <c r="X42" s="48">
        <f t="shared" si="34"/>
        <v>3.44</v>
      </c>
      <c r="Y42" s="48">
        <f t="shared" si="34"/>
        <v>2.0402930402930401</v>
      </c>
      <c r="Z42" s="48">
        <f t="shared" si="34"/>
        <v>4.2641509433962268</v>
      </c>
      <c r="AA42" s="48">
        <f t="shared" si="34"/>
        <v>6.0983606557377046</v>
      </c>
      <c r="AB42" s="48">
        <f t="shared" si="34"/>
        <v>3.0097087378640777</v>
      </c>
      <c r="AC42" s="48">
        <f t="shared" si="34"/>
        <v>1.3023648648648649</v>
      </c>
      <c r="AD42" s="48">
        <f t="shared" si="34"/>
        <v>1</v>
      </c>
      <c r="AE42" s="48">
        <f t="shared" si="34"/>
        <v>1.8177069012922737</v>
      </c>
      <c r="AF42" s="48">
        <f t="shared" si="34"/>
        <v>1.6911429164073843</v>
      </c>
    </row>
    <row r="43" spans="2:32" ht="23.1" customHeight="1" x14ac:dyDescent="0.25">
      <c r="B43" s="45" t="s">
        <v>70</v>
      </c>
      <c r="C43" s="50">
        <v>22</v>
      </c>
      <c r="D43" s="50">
        <v>5</v>
      </c>
      <c r="E43" s="50">
        <v>6</v>
      </c>
      <c r="F43" s="50">
        <v>17</v>
      </c>
      <c r="G43" s="50">
        <v>2</v>
      </c>
      <c r="H43" s="50">
        <v>2</v>
      </c>
      <c r="I43" s="50">
        <v>7</v>
      </c>
      <c r="J43" s="50">
        <v>4</v>
      </c>
      <c r="K43" s="50">
        <v>0</v>
      </c>
      <c r="L43" s="50">
        <v>1</v>
      </c>
      <c r="M43" s="50">
        <v>22</v>
      </c>
      <c r="N43" s="50">
        <v>0</v>
      </c>
      <c r="O43" s="15">
        <f t="shared" si="0"/>
        <v>66</v>
      </c>
      <c r="P43" s="15">
        <f t="shared" si="1"/>
        <v>88</v>
      </c>
    </row>
    <row r="44" spans="2:32" ht="23.1" customHeight="1" x14ac:dyDescent="0.25">
      <c r="B44" s="47" t="s">
        <v>71</v>
      </c>
      <c r="C44" s="50">
        <v>30</v>
      </c>
      <c r="D44" s="50">
        <v>9</v>
      </c>
      <c r="E44" s="50">
        <v>5</v>
      </c>
      <c r="F44" s="50">
        <v>17</v>
      </c>
      <c r="G44" s="50">
        <v>2</v>
      </c>
      <c r="H44" s="50">
        <v>1</v>
      </c>
      <c r="I44" s="50">
        <v>11</v>
      </c>
      <c r="J44" s="50">
        <v>3</v>
      </c>
      <c r="K44" s="50">
        <v>0</v>
      </c>
      <c r="L44" s="50">
        <v>2</v>
      </c>
      <c r="M44" s="50">
        <v>20</v>
      </c>
      <c r="N44" s="50">
        <v>0</v>
      </c>
      <c r="O44" s="15">
        <f t="shared" si="0"/>
        <v>80</v>
      </c>
      <c r="P44" s="15">
        <f t="shared" si="1"/>
        <v>100</v>
      </c>
    </row>
    <row r="45" spans="2:32" ht="23.1" customHeight="1" x14ac:dyDescent="0.25">
      <c r="B45" s="45" t="s">
        <v>72</v>
      </c>
      <c r="C45" s="50">
        <v>50</v>
      </c>
      <c r="D45" s="50">
        <v>4</v>
      </c>
      <c r="E45" s="50">
        <v>7</v>
      </c>
      <c r="F45" s="50">
        <v>22</v>
      </c>
      <c r="G45" s="50">
        <v>0</v>
      </c>
      <c r="H45" s="50">
        <v>1</v>
      </c>
      <c r="I45" s="50">
        <v>21</v>
      </c>
      <c r="J45" s="50">
        <v>2</v>
      </c>
      <c r="K45" s="50">
        <v>0</v>
      </c>
      <c r="L45" s="50">
        <v>6</v>
      </c>
      <c r="M45" s="50">
        <v>12</v>
      </c>
      <c r="N45" s="50">
        <v>0</v>
      </c>
      <c r="O45" s="15">
        <f t="shared" si="0"/>
        <v>113</v>
      </c>
      <c r="P45" s="15">
        <f t="shared" si="1"/>
        <v>125</v>
      </c>
    </row>
    <row r="46" spans="2:32" ht="23.1" customHeight="1" x14ac:dyDescent="0.25">
      <c r="B46" s="46" t="s">
        <v>73</v>
      </c>
      <c r="C46" s="50">
        <v>30</v>
      </c>
      <c r="D46" s="50">
        <v>3</v>
      </c>
      <c r="E46" s="50">
        <v>4</v>
      </c>
      <c r="F46" s="50">
        <v>26</v>
      </c>
      <c r="G46" s="50">
        <v>2</v>
      </c>
      <c r="H46" s="50">
        <v>1</v>
      </c>
      <c r="I46" s="50">
        <v>14</v>
      </c>
      <c r="J46" s="50">
        <v>1</v>
      </c>
      <c r="K46" s="50">
        <v>1</v>
      </c>
      <c r="L46" s="50">
        <v>2</v>
      </c>
      <c r="M46" s="50">
        <v>19</v>
      </c>
      <c r="N46" s="50">
        <v>0</v>
      </c>
      <c r="O46" s="15">
        <f t="shared" si="0"/>
        <v>84</v>
      </c>
      <c r="P46" s="15">
        <f t="shared" si="1"/>
        <v>103</v>
      </c>
      <c r="R46" s="8"/>
      <c r="T46"/>
    </row>
    <row r="47" spans="2:32" ht="23.1" customHeight="1" x14ac:dyDescent="0.25">
      <c r="B47" s="46" t="s">
        <v>74</v>
      </c>
      <c r="C47" s="50">
        <v>32</v>
      </c>
      <c r="D47" s="50">
        <v>7</v>
      </c>
      <c r="E47" s="50">
        <v>12</v>
      </c>
      <c r="F47" s="50">
        <v>29</v>
      </c>
      <c r="G47" s="50">
        <v>1</v>
      </c>
      <c r="H47" s="50">
        <v>4</v>
      </c>
      <c r="I47" s="50">
        <v>11</v>
      </c>
      <c r="J47" s="50">
        <v>5</v>
      </c>
      <c r="K47" s="50">
        <v>2</v>
      </c>
      <c r="L47" s="50">
        <v>2</v>
      </c>
      <c r="M47" s="50">
        <v>22</v>
      </c>
      <c r="N47" s="50">
        <v>0</v>
      </c>
      <c r="O47" s="15">
        <f t="shared" si="0"/>
        <v>105</v>
      </c>
      <c r="P47" s="15">
        <f t="shared" si="1"/>
        <v>127</v>
      </c>
      <c r="R47" s="8"/>
      <c r="T47"/>
    </row>
    <row r="48" spans="2:32" ht="23.1" customHeight="1" x14ac:dyDescent="0.25">
      <c r="B48" s="46" t="s">
        <v>75</v>
      </c>
      <c r="C48" s="50">
        <v>35</v>
      </c>
      <c r="D48" s="50">
        <v>13</v>
      </c>
      <c r="E48" s="50">
        <v>5</v>
      </c>
      <c r="F48" s="50">
        <v>19</v>
      </c>
      <c r="G48" s="50">
        <v>2</v>
      </c>
      <c r="H48" s="50">
        <v>0</v>
      </c>
      <c r="I48" s="50">
        <v>14</v>
      </c>
      <c r="J48" s="50">
        <v>2</v>
      </c>
      <c r="K48" s="50">
        <v>1</v>
      </c>
      <c r="L48" s="50">
        <v>1</v>
      </c>
      <c r="M48" s="50">
        <v>23</v>
      </c>
      <c r="N48" s="50">
        <v>0</v>
      </c>
      <c r="O48" s="15">
        <f t="shared" si="0"/>
        <v>92</v>
      </c>
      <c r="P48" s="15">
        <f t="shared" si="1"/>
        <v>115</v>
      </c>
      <c r="R48" s="8"/>
      <c r="T48"/>
    </row>
    <row r="49" spans="2:20" ht="23.1" customHeight="1" x14ac:dyDescent="0.25">
      <c r="B49" s="45" t="s">
        <v>76</v>
      </c>
      <c r="C49" s="50">
        <v>31</v>
      </c>
      <c r="D49" s="50">
        <v>20</v>
      </c>
      <c r="E49" s="50">
        <v>4</v>
      </c>
      <c r="F49" s="50">
        <v>21</v>
      </c>
      <c r="G49" s="50">
        <v>3</v>
      </c>
      <c r="H49" s="50">
        <v>1</v>
      </c>
      <c r="I49" s="50">
        <v>13</v>
      </c>
      <c r="J49" s="50">
        <v>0</v>
      </c>
      <c r="K49" s="50">
        <v>0</v>
      </c>
      <c r="L49" s="50">
        <v>2</v>
      </c>
      <c r="M49" s="50">
        <v>25</v>
      </c>
      <c r="N49" s="50">
        <v>0</v>
      </c>
      <c r="O49" s="15">
        <f t="shared" si="0"/>
        <v>95</v>
      </c>
      <c r="P49" s="15">
        <f t="shared" si="1"/>
        <v>120</v>
      </c>
      <c r="R49" s="8"/>
      <c r="T49"/>
    </row>
    <row r="50" spans="2:20" ht="23.1" customHeight="1" x14ac:dyDescent="0.25">
      <c r="B50" s="46" t="s">
        <v>77</v>
      </c>
      <c r="C50" s="50">
        <v>37</v>
      </c>
      <c r="D50" s="50">
        <v>7</v>
      </c>
      <c r="E50" s="50">
        <v>10</v>
      </c>
      <c r="F50" s="50">
        <v>24</v>
      </c>
      <c r="G50" s="50">
        <v>2</v>
      </c>
      <c r="H50" s="50">
        <v>0</v>
      </c>
      <c r="I50" s="50">
        <v>19</v>
      </c>
      <c r="J50" s="50">
        <v>1</v>
      </c>
      <c r="K50" s="50">
        <v>1</v>
      </c>
      <c r="L50" s="50">
        <v>2</v>
      </c>
      <c r="M50" s="50">
        <v>25</v>
      </c>
      <c r="N50" s="50">
        <v>0</v>
      </c>
      <c r="O50" s="15">
        <f t="shared" si="0"/>
        <v>103</v>
      </c>
      <c r="P50" s="15">
        <f t="shared" si="1"/>
        <v>128</v>
      </c>
      <c r="R50" s="8"/>
      <c r="T50"/>
    </row>
    <row r="51" spans="2:20" ht="23.1" customHeight="1" x14ac:dyDescent="0.25">
      <c r="B51" s="46" t="s">
        <v>78</v>
      </c>
      <c r="C51" s="50">
        <v>42</v>
      </c>
      <c r="D51" s="50">
        <v>6</v>
      </c>
      <c r="E51" s="50">
        <v>10</v>
      </c>
      <c r="F51" s="50">
        <v>26</v>
      </c>
      <c r="G51" s="50">
        <v>1</v>
      </c>
      <c r="H51" s="50">
        <v>3</v>
      </c>
      <c r="I51" s="50">
        <v>16</v>
      </c>
      <c r="J51" s="50">
        <v>5</v>
      </c>
      <c r="K51" s="50">
        <v>2</v>
      </c>
      <c r="L51" s="50">
        <v>0</v>
      </c>
      <c r="M51" s="50">
        <v>37</v>
      </c>
      <c r="N51" s="50">
        <v>0</v>
      </c>
      <c r="O51" s="15">
        <f t="shared" si="0"/>
        <v>111</v>
      </c>
      <c r="P51" s="15">
        <f t="shared" si="1"/>
        <v>148</v>
      </c>
      <c r="R51" s="8"/>
      <c r="T51"/>
    </row>
    <row r="52" spans="2:20" ht="23.1" customHeight="1" x14ac:dyDescent="0.25">
      <c r="B52" s="46" t="s">
        <v>79</v>
      </c>
      <c r="C52" s="50">
        <v>40</v>
      </c>
      <c r="D52" s="50">
        <v>8</v>
      </c>
      <c r="E52" s="50">
        <v>11</v>
      </c>
      <c r="F52" s="50">
        <v>32</v>
      </c>
      <c r="G52" s="50">
        <v>1</v>
      </c>
      <c r="H52" s="50">
        <v>1</v>
      </c>
      <c r="I52" s="50">
        <v>24</v>
      </c>
      <c r="J52" s="50">
        <v>6</v>
      </c>
      <c r="K52" s="50">
        <v>1</v>
      </c>
      <c r="L52" s="50">
        <v>0</v>
      </c>
      <c r="M52" s="50">
        <v>24</v>
      </c>
      <c r="N52" s="50">
        <v>0</v>
      </c>
      <c r="O52" s="15">
        <f t="shared" si="0"/>
        <v>124</v>
      </c>
      <c r="P52" s="15">
        <f t="shared" si="1"/>
        <v>148</v>
      </c>
      <c r="R52" s="8"/>
      <c r="T52"/>
    </row>
    <row r="53" spans="2:20" ht="23.1" customHeight="1" x14ac:dyDescent="0.25">
      <c r="B53" s="45" t="s">
        <v>80</v>
      </c>
      <c r="C53" s="50">
        <v>42</v>
      </c>
      <c r="D53" s="50">
        <v>6</v>
      </c>
      <c r="E53" s="50">
        <v>7</v>
      </c>
      <c r="F53" s="50">
        <v>25</v>
      </c>
      <c r="G53" s="50">
        <v>2</v>
      </c>
      <c r="H53" s="50">
        <v>4</v>
      </c>
      <c r="I53" s="50">
        <v>13</v>
      </c>
      <c r="J53" s="50">
        <v>2</v>
      </c>
      <c r="K53" s="50">
        <v>1</v>
      </c>
      <c r="L53" s="50">
        <v>2</v>
      </c>
      <c r="M53" s="50">
        <v>38</v>
      </c>
      <c r="N53" s="50">
        <v>0</v>
      </c>
      <c r="O53" s="15">
        <f t="shared" si="0"/>
        <v>104</v>
      </c>
      <c r="P53" s="15">
        <f t="shared" si="1"/>
        <v>142</v>
      </c>
      <c r="R53" s="8"/>
      <c r="T53"/>
    </row>
    <row r="54" spans="2:20" ht="23.1" customHeight="1" x14ac:dyDescent="0.25">
      <c r="B54" s="45" t="s">
        <v>81</v>
      </c>
      <c r="C54" s="50">
        <v>55</v>
      </c>
      <c r="D54" s="50">
        <v>6</v>
      </c>
      <c r="E54" s="50">
        <v>7</v>
      </c>
      <c r="F54" s="50">
        <v>29</v>
      </c>
      <c r="G54" s="50">
        <v>4</v>
      </c>
      <c r="H54" s="50">
        <v>4</v>
      </c>
      <c r="I54" s="50">
        <v>15</v>
      </c>
      <c r="J54" s="50">
        <v>10</v>
      </c>
      <c r="K54" s="50">
        <v>0</v>
      </c>
      <c r="L54" s="50">
        <v>6</v>
      </c>
      <c r="M54" s="50">
        <v>35</v>
      </c>
      <c r="N54" s="50">
        <v>0</v>
      </c>
      <c r="O54" s="15">
        <f t="shared" si="0"/>
        <v>136</v>
      </c>
      <c r="P54" s="15">
        <f t="shared" si="1"/>
        <v>171</v>
      </c>
      <c r="R54" s="8"/>
      <c r="T54"/>
    </row>
    <row r="55" spans="2:20" ht="23.1" customHeight="1" x14ac:dyDescent="0.25">
      <c r="B55" s="45" t="s">
        <v>82</v>
      </c>
      <c r="C55" s="50">
        <v>55</v>
      </c>
      <c r="D55" s="50">
        <v>11</v>
      </c>
      <c r="E55" s="50">
        <v>8</v>
      </c>
      <c r="F55" s="50">
        <v>38</v>
      </c>
      <c r="G55" s="50">
        <v>1</v>
      </c>
      <c r="H55" s="50">
        <v>1</v>
      </c>
      <c r="I55" s="50">
        <v>17</v>
      </c>
      <c r="J55" s="50">
        <v>4</v>
      </c>
      <c r="K55" s="50">
        <v>0</v>
      </c>
      <c r="L55" s="50">
        <v>0</v>
      </c>
      <c r="M55" s="50">
        <v>32</v>
      </c>
      <c r="N55" s="50">
        <v>0</v>
      </c>
      <c r="O55" s="15">
        <f t="shared" si="0"/>
        <v>135</v>
      </c>
      <c r="P55" s="15">
        <f t="shared" si="1"/>
        <v>167</v>
      </c>
      <c r="R55" s="8"/>
      <c r="T55"/>
    </row>
    <row r="56" spans="2:20" ht="23.1" customHeight="1" x14ac:dyDescent="0.25">
      <c r="B56" s="45" t="s">
        <v>83</v>
      </c>
      <c r="C56" s="50">
        <v>33</v>
      </c>
      <c r="D56" s="50">
        <v>2</v>
      </c>
      <c r="E56" s="50">
        <v>8</v>
      </c>
      <c r="F56" s="50">
        <v>11</v>
      </c>
      <c r="G56" s="50">
        <v>3</v>
      </c>
      <c r="H56" s="50">
        <v>0</v>
      </c>
      <c r="I56" s="50">
        <v>15</v>
      </c>
      <c r="J56" s="50">
        <v>4</v>
      </c>
      <c r="K56" s="50">
        <v>1</v>
      </c>
      <c r="L56" s="50">
        <v>2</v>
      </c>
      <c r="M56" s="50">
        <v>25</v>
      </c>
      <c r="N56" s="50">
        <v>0</v>
      </c>
      <c r="O56" s="15">
        <f t="shared" si="0"/>
        <v>79</v>
      </c>
      <c r="P56" s="15">
        <f t="shared" si="1"/>
        <v>104</v>
      </c>
      <c r="R56" s="8"/>
      <c r="T56"/>
    </row>
    <row r="57" spans="2:20" ht="23.1" customHeight="1" x14ac:dyDescent="0.25">
      <c r="B57" s="45" t="s">
        <v>84</v>
      </c>
      <c r="C57" s="50">
        <v>39</v>
      </c>
      <c r="D57" s="50">
        <v>7</v>
      </c>
      <c r="E57" s="50">
        <v>7</v>
      </c>
      <c r="F57" s="50">
        <v>31</v>
      </c>
      <c r="G57" s="50">
        <v>5</v>
      </c>
      <c r="H57" s="50">
        <v>1</v>
      </c>
      <c r="I57" s="50">
        <v>17</v>
      </c>
      <c r="J57" s="50">
        <v>2</v>
      </c>
      <c r="K57" s="50">
        <v>1</v>
      </c>
      <c r="L57" s="50">
        <v>2</v>
      </c>
      <c r="M57" s="50">
        <v>34</v>
      </c>
      <c r="N57" s="50">
        <v>0</v>
      </c>
      <c r="O57" s="15">
        <f t="shared" si="0"/>
        <v>112</v>
      </c>
      <c r="P57" s="15">
        <f t="shared" si="1"/>
        <v>146</v>
      </c>
      <c r="R57" s="8"/>
      <c r="T57"/>
    </row>
    <row r="58" spans="2:20" ht="23.1" customHeight="1" x14ac:dyDescent="0.25">
      <c r="B58" s="45" t="s">
        <v>99</v>
      </c>
      <c r="C58" s="50">
        <v>18</v>
      </c>
      <c r="D58" s="50">
        <v>13</v>
      </c>
      <c r="E58" s="50">
        <v>3</v>
      </c>
      <c r="F58" s="50">
        <v>10</v>
      </c>
      <c r="G58" s="50">
        <v>5</v>
      </c>
      <c r="H58" s="50">
        <v>4</v>
      </c>
      <c r="I58" s="50">
        <v>4</v>
      </c>
      <c r="J58" s="50">
        <v>1</v>
      </c>
      <c r="K58" s="50">
        <v>1</v>
      </c>
      <c r="L58" s="50">
        <v>0</v>
      </c>
      <c r="M58" s="50">
        <v>20</v>
      </c>
      <c r="N58" s="50">
        <v>0</v>
      </c>
      <c r="O58" s="15">
        <f t="shared" ref="O58:O105" si="35">SUM(C58:L58,N58)</f>
        <v>59</v>
      </c>
      <c r="P58" s="15">
        <f t="shared" ref="P58:P105" si="36">SUM(C58:N58)</f>
        <v>79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5</v>
      </c>
      <c r="E59" s="50">
        <v>6</v>
      </c>
      <c r="F59" s="50">
        <v>10</v>
      </c>
      <c r="G59" s="50">
        <v>5</v>
      </c>
      <c r="H59" s="50">
        <v>5</v>
      </c>
      <c r="I59" s="50">
        <v>3</v>
      </c>
      <c r="J59" s="50">
        <v>10</v>
      </c>
      <c r="K59" s="50">
        <v>5</v>
      </c>
      <c r="L59" s="50">
        <v>10</v>
      </c>
      <c r="M59" s="50">
        <v>10</v>
      </c>
      <c r="N59" s="50">
        <v>0</v>
      </c>
      <c r="O59" s="15">
        <f t="shared" si="35"/>
        <v>66</v>
      </c>
      <c r="P59" s="15">
        <f t="shared" si="36"/>
        <v>76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10</v>
      </c>
      <c r="E60" s="50">
        <v>5</v>
      </c>
      <c r="F60" s="50">
        <v>13</v>
      </c>
      <c r="G60" s="50">
        <v>3</v>
      </c>
      <c r="H60" s="50">
        <v>5</v>
      </c>
      <c r="I60" s="50">
        <v>3</v>
      </c>
      <c r="J60" s="50">
        <v>3</v>
      </c>
      <c r="K60" s="50">
        <v>5</v>
      </c>
      <c r="L60" s="50">
        <v>3</v>
      </c>
      <c r="M60" s="50">
        <v>6</v>
      </c>
      <c r="N60" s="50">
        <v>0</v>
      </c>
      <c r="O60" s="15">
        <f t="shared" si="35"/>
        <v>55</v>
      </c>
      <c r="P60" s="15">
        <f t="shared" si="36"/>
        <v>61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20</v>
      </c>
      <c r="E61" s="50">
        <v>7</v>
      </c>
      <c r="F61" s="50">
        <v>30</v>
      </c>
      <c r="G61" s="50">
        <v>10</v>
      </c>
      <c r="H61" s="50">
        <v>5</v>
      </c>
      <c r="I61" s="50">
        <v>13</v>
      </c>
      <c r="J61" s="50">
        <v>3</v>
      </c>
      <c r="K61" s="50">
        <v>6</v>
      </c>
      <c r="L61" s="50">
        <v>5</v>
      </c>
      <c r="M61" s="50">
        <v>30</v>
      </c>
      <c r="N61" s="50">
        <v>0</v>
      </c>
      <c r="O61" s="15">
        <f t="shared" si="35"/>
        <v>109</v>
      </c>
      <c r="P61" s="15">
        <f t="shared" si="36"/>
        <v>139</v>
      </c>
      <c r="R61" s="8"/>
      <c r="T61"/>
    </row>
    <row r="62" spans="2:20" ht="23.1" customHeight="1" x14ac:dyDescent="0.25">
      <c r="B62" s="45" t="s">
        <v>107</v>
      </c>
      <c r="C62" s="50">
        <v>22</v>
      </c>
      <c r="D62" s="50">
        <v>13</v>
      </c>
      <c r="E62" s="50">
        <v>5</v>
      </c>
      <c r="F62" s="50">
        <v>27</v>
      </c>
      <c r="G62" s="50">
        <v>5</v>
      </c>
      <c r="H62" s="50">
        <v>6</v>
      </c>
      <c r="I62" s="50">
        <v>15</v>
      </c>
      <c r="J62" s="50">
        <v>5</v>
      </c>
      <c r="K62" s="50">
        <v>6</v>
      </c>
      <c r="L62" s="50">
        <v>2</v>
      </c>
      <c r="M62" s="50">
        <v>20</v>
      </c>
      <c r="N62" s="50">
        <v>0</v>
      </c>
      <c r="O62" s="15">
        <f t="shared" si="35"/>
        <v>106</v>
      </c>
      <c r="P62" s="15">
        <f t="shared" si="36"/>
        <v>126</v>
      </c>
      <c r="R62" s="8"/>
      <c r="T62"/>
    </row>
    <row r="63" spans="2:20" ht="23.1" customHeight="1" x14ac:dyDescent="0.25">
      <c r="B63" s="45" t="s">
        <v>108</v>
      </c>
      <c r="C63" s="50">
        <v>18</v>
      </c>
      <c r="D63" s="50">
        <v>14</v>
      </c>
      <c r="E63" s="50">
        <v>9</v>
      </c>
      <c r="F63" s="50">
        <v>14</v>
      </c>
      <c r="G63" s="50">
        <v>3</v>
      </c>
      <c r="H63" s="50">
        <v>7</v>
      </c>
      <c r="I63" s="50">
        <v>14</v>
      </c>
      <c r="J63" s="50">
        <v>5</v>
      </c>
      <c r="K63" s="50">
        <v>6</v>
      </c>
      <c r="L63" s="50">
        <v>3</v>
      </c>
      <c r="M63" s="50">
        <v>17</v>
      </c>
      <c r="N63" s="50">
        <v>0</v>
      </c>
      <c r="O63" s="15">
        <f t="shared" si="35"/>
        <v>93</v>
      </c>
      <c r="P63" s="15">
        <f t="shared" si="36"/>
        <v>110</v>
      </c>
      <c r="R63" s="8"/>
      <c r="T63"/>
    </row>
    <row r="64" spans="2:20" ht="23.1" customHeight="1" x14ac:dyDescent="0.25">
      <c r="B64" s="45" t="s">
        <v>109</v>
      </c>
      <c r="C64" s="50">
        <v>20</v>
      </c>
      <c r="D64" s="50">
        <v>7</v>
      </c>
      <c r="E64" s="50">
        <v>17</v>
      </c>
      <c r="F64" s="50">
        <v>42</v>
      </c>
      <c r="G64" s="50">
        <v>4</v>
      </c>
      <c r="H64" s="50">
        <v>2</v>
      </c>
      <c r="I64" s="50">
        <v>16</v>
      </c>
      <c r="J64" s="50">
        <v>2</v>
      </c>
      <c r="K64" s="50">
        <v>4</v>
      </c>
      <c r="L64" s="50">
        <v>2</v>
      </c>
      <c r="M64" s="50">
        <v>25</v>
      </c>
      <c r="N64" s="50">
        <v>0</v>
      </c>
      <c r="O64" s="15">
        <f t="shared" si="35"/>
        <v>116</v>
      </c>
      <c r="P64" s="15">
        <f t="shared" si="36"/>
        <v>141</v>
      </c>
      <c r="R64" s="8"/>
      <c r="T64"/>
    </row>
    <row r="65" spans="2:20" ht="23.1" customHeight="1" x14ac:dyDescent="0.25">
      <c r="B65" s="45" t="s">
        <v>158</v>
      </c>
      <c r="C65" s="50">
        <v>20</v>
      </c>
      <c r="D65" s="50">
        <v>18</v>
      </c>
      <c r="E65" s="50">
        <v>7</v>
      </c>
      <c r="F65" s="50">
        <v>20</v>
      </c>
      <c r="G65" s="50">
        <v>4</v>
      </c>
      <c r="H65" s="50">
        <v>4</v>
      </c>
      <c r="I65" s="50">
        <v>20</v>
      </c>
      <c r="J65" s="50">
        <v>2</v>
      </c>
      <c r="K65" s="50">
        <v>3</v>
      </c>
      <c r="L65" s="50">
        <v>4</v>
      </c>
      <c r="M65" s="50">
        <v>21</v>
      </c>
      <c r="N65" s="50">
        <v>0</v>
      </c>
      <c r="O65" s="15">
        <f t="shared" si="35"/>
        <v>102</v>
      </c>
      <c r="P65" s="15">
        <f t="shared" si="36"/>
        <v>123</v>
      </c>
      <c r="R65" s="8"/>
      <c r="T65"/>
    </row>
    <row r="66" spans="2:20" ht="23.1" customHeight="1" x14ac:dyDescent="0.25">
      <c r="B66" s="45" t="s">
        <v>103</v>
      </c>
      <c r="C66" s="50">
        <v>20</v>
      </c>
      <c r="D66" s="50">
        <v>5</v>
      </c>
      <c r="E66" s="50">
        <v>3</v>
      </c>
      <c r="F66" s="50">
        <v>13</v>
      </c>
      <c r="G66" s="50">
        <v>3</v>
      </c>
      <c r="H66" s="50">
        <v>0</v>
      </c>
      <c r="I66" s="50">
        <v>11</v>
      </c>
      <c r="J66" s="50">
        <v>7</v>
      </c>
      <c r="K66" s="50">
        <v>3</v>
      </c>
      <c r="L66" s="50">
        <v>0</v>
      </c>
      <c r="M66" s="50">
        <v>15</v>
      </c>
      <c r="N66" s="50">
        <v>0</v>
      </c>
      <c r="O66" s="15">
        <f t="shared" si="35"/>
        <v>65</v>
      </c>
      <c r="P66" s="15">
        <f t="shared" si="36"/>
        <v>80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3</v>
      </c>
      <c r="E67" s="50">
        <v>5</v>
      </c>
      <c r="F67" s="50">
        <v>33</v>
      </c>
      <c r="G67" s="50">
        <v>5</v>
      </c>
      <c r="H67" s="50">
        <v>1</v>
      </c>
      <c r="I67" s="50">
        <v>13</v>
      </c>
      <c r="J67" s="50">
        <v>4</v>
      </c>
      <c r="K67" s="50">
        <v>2</v>
      </c>
      <c r="L67" s="50">
        <v>2</v>
      </c>
      <c r="M67" s="50">
        <v>11</v>
      </c>
      <c r="N67" s="50">
        <v>0</v>
      </c>
      <c r="O67" s="15">
        <f t="shared" si="35"/>
        <v>98</v>
      </c>
      <c r="P67" s="15">
        <f t="shared" si="36"/>
        <v>109</v>
      </c>
      <c r="R67" s="8"/>
      <c r="T67"/>
    </row>
    <row r="68" spans="2:20" ht="23.1" customHeight="1" x14ac:dyDescent="0.25">
      <c r="B68" s="45" t="s">
        <v>105</v>
      </c>
      <c r="C68" s="50">
        <v>11</v>
      </c>
      <c r="D68" s="50">
        <v>14</v>
      </c>
      <c r="E68" s="50">
        <v>3</v>
      </c>
      <c r="F68" s="50">
        <v>17</v>
      </c>
      <c r="G68" s="50">
        <v>3</v>
      </c>
      <c r="H68" s="50">
        <v>1</v>
      </c>
      <c r="I68" s="50">
        <v>14</v>
      </c>
      <c r="J68" s="50">
        <v>2</v>
      </c>
      <c r="K68" s="50">
        <v>8</v>
      </c>
      <c r="L68" s="50">
        <v>3</v>
      </c>
      <c r="M68" s="50">
        <v>9</v>
      </c>
      <c r="N68" s="50">
        <v>0</v>
      </c>
      <c r="O68" s="15">
        <f t="shared" si="35"/>
        <v>76</v>
      </c>
      <c r="P68" s="15">
        <f t="shared" si="36"/>
        <v>85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6</v>
      </c>
      <c r="E69" s="50">
        <v>8</v>
      </c>
      <c r="F69" s="50">
        <v>25</v>
      </c>
      <c r="G69" s="50">
        <v>3</v>
      </c>
      <c r="H69" s="50">
        <v>1</v>
      </c>
      <c r="I69" s="50">
        <v>33</v>
      </c>
      <c r="J69" s="50">
        <v>15</v>
      </c>
      <c r="K69" s="50">
        <v>8</v>
      </c>
      <c r="L69" s="50">
        <v>4</v>
      </c>
      <c r="M69" s="50">
        <v>10</v>
      </c>
      <c r="N69" s="50">
        <v>0</v>
      </c>
      <c r="O69" s="15">
        <f t="shared" si="35"/>
        <v>117</v>
      </c>
      <c r="P69" s="15">
        <f t="shared" si="36"/>
        <v>127</v>
      </c>
      <c r="R69" s="8"/>
      <c r="T69"/>
    </row>
    <row r="70" spans="2:20" ht="23.1" customHeight="1" x14ac:dyDescent="0.25">
      <c r="B70" s="45" t="s">
        <v>110</v>
      </c>
      <c r="C70" s="50">
        <v>11</v>
      </c>
      <c r="D70" s="50">
        <v>7</v>
      </c>
      <c r="E70" s="50">
        <v>3</v>
      </c>
      <c r="F70" s="50">
        <v>17</v>
      </c>
      <c r="G70" s="50">
        <v>3</v>
      </c>
      <c r="H70" s="50">
        <v>1</v>
      </c>
      <c r="I70" s="50">
        <v>12</v>
      </c>
      <c r="J70" s="50">
        <v>6</v>
      </c>
      <c r="K70" s="50">
        <v>10</v>
      </c>
      <c r="L70" s="50">
        <v>3</v>
      </c>
      <c r="M70" s="50">
        <v>9</v>
      </c>
      <c r="N70" s="50">
        <v>0</v>
      </c>
      <c r="O70" s="15">
        <f t="shared" si="35"/>
        <v>73</v>
      </c>
      <c r="P70" s="15">
        <f t="shared" si="36"/>
        <v>82</v>
      </c>
      <c r="R70" s="8"/>
      <c r="T70"/>
    </row>
    <row r="71" spans="2:20" ht="23.1" customHeight="1" x14ac:dyDescent="0.25">
      <c r="B71" s="45" t="s">
        <v>111</v>
      </c>
      <c r="C71" s="50">
        <v>13</v>
      </c>
      <c r="D71" s="50">
        <v>4</v>
      </c>
      <c r="E71" s="50">
        <v>6</v>
      </c>
      <c r="F71" s="50">
        <v>23</v>
      </c>
      <c r="G71" s="50">
        <v>5</v>
      </c>
      <c r="H71" s="50">
        <v>1</v>
      </c>
      <c r="I71" s="50">
        <v>15</v>
      </c>
      <c r="J71" s="50">
        <v>17</v>
      </c>
      <c r="K71" s="50">
        <v>10</v>
      </c>
      <c r="L71" s="50">
        <v>2</v>
      </c>
      <c r="M71" s="50">
        <v>11</v>
      </c>
      <c r="N71" s="50">
        <v>0</v>
      </c>
      <c r="O71" s="15">
        <f t="shared" si="35"/>
        <v>96</v>
      </c>
      <c r="P71" s="15">
        <f t="shared" si="36"/>
        <v>107</v>
      </c>
      <c r="R71" s="8"/>
      <c r="T71"/>
    </row>
    <row r="72" spans="2:20" ht="23.1" customHeight="1" x14ac:dyDescent="0.25">
      <c r="B72" s="45" t="s">
        <v>112</v>
      </c>
      <c r="C72" s="50">
        <v>11</v>
      </c>
      <c r="D72" s="50">
        <v>7</v>
      </c>
      <c r="E72" s="50">
        <v>5</v>
      </c>
      <c r="F72" s="50">
        <v>20</v>
      </c>
      <c r="G72" s="50">
        <v>7</v>
      </c>
      <c r="H72" s="50">
        <v>2</v>
      </c>
      <c r="I72" s="50">
        <v>8</v>
      </c>
      <c r="J72" s="50">
        <v>3</v>
      </c>
      <c r="K72" s="50">
        <v>5</v>
      </c>
      <c r="L72" s="50">
        <v>3</v>
      </c>
      <c r="M72" s="50">
        <v>12</v>
      </c>
      <c r="N72" s="50">
        <v>0</v>
      </c>
      <c r="O72" s="15">
        <f t="shared" si="35"/>
        <v>71</v>
      </c>
      <c r="P72" s="15">
        <f t="shared" si="36"/>
        <v>83</v>
      </c>
      <c r="R72" s="8"/>
      <c r="T72"/>
    </row>
    <row r="73" spans="2:20" ht="23.1" customHeight="1" x14ac:dyDescent="0.25">
      <c r="B73" s="45" t="s">
        <v>113</v>
      </c>
      <c r="C73" s="50">
        <v>10</v>
      </c>
      <c r="D73" s="50">
        <v>4</v>
      </c>
      <c r="E73" s="50">
        <v>3</v>
      </c>
      <c r="F73" s="50">
        <v>10</v>
      </c>
      <c r="G73" s="50">
        <v>0</v>
      </c>
      <c r="H73" s="50">
        <v>5</v>
      </c>
      <c r="I73" s="50">
        <v>6</v>
      </c>
      <c r="J73" s="50">
        <v>5</v>
      </c>
      <c r="K73" s="50">
        <v>2</v>
      </c>
      <c r="L73" s="50">
        <v>3</v>
      </c>
      <c r="M73" s="50">
        <v>10</v>
      </c>
      <c r="N73" s="50">
        <v>0</v>
      </c>
      <c r="O73" s="15">
        <f t="shared" si="35"/>
        <v>48</v>
      </c>
      <c r="P73" s="15">
        <f t="shared" si="36"/>
        <v>58</v>
      </c>
      <c r="R73" s="8"/>
      <c r="T73"/>
    </row>
    <row r="74" spans="2:20" ht="23.1" customHeight="1" x14ac:dyDescent="0.25">
      <c r="B74" s="45" t="s">
        <v>114</v>
      </c>
      <c r="C74" s="50">
        <v>12</v>
      </c>
      <c r="D74" s="50">
        <v>5</v>
      </c>
      <c r="E74" s="50">
        <v>3</v>
      </c>
      <c r="F74" s="50">
        <v>12</v>
      </c>
      <c r="G74" s="50">
        <v>2</v>
      </c>
      <c r="H74" s="50">
        <v>3</v>
      </c>
      <c r="I74" s="50">
        <v>5</v>
      </c>
      <c r="J74" s="50">
        <v>3</v>
      </c>
      <c r="K74" s="50">
        <v>6</v>
      </c>
      <c r="L74" s="50">
        <v>2</v>
      </c>
      <c r="M74" s="50">
        <v>7</v>
      </c>
      <c r="N74" s="50">
        <v>0</v>
      </c>
      <c r="O74" s="15">
        <f t="shared" si="35"/>
        <v>53</v>
      </c>
      <c r="P74" s="15">
        <f t="shared" si="36"/>
        <v>60</v>
      </c>
      <c r="R74" s="8"/>
      <c r="T74"/>
    </row>
    <row r="75" spans="2:20" ht="23.1" customHeight="1" x14ac:dyDescent="0.25">
      <c r="B75" s="45" t="s">
        <v>115</v>
      </c>
      <c r="C75" s="50">
        <v>15</v>
      </c>
      <c r="D75" s="50">
        <v>7</v>
      </c>
      <c r="E75" s="50">
        <v>6</v>
      </c>
      <c r="F75" s="50">
        <v>10</v>
      </c>
      <c r="G75" s="50">
        <v>8</v>
      </c>
      <c r="H75" s="50">
        <v>2</v>
      </c>
      <c r="I75" s="50">
        <v>11</v>
      </c>
      <c r="J75" s="50">
        <v>8</v>
      </c>
      <c r="K75" s="50">
        <v>9</v>
      </c>
      <c r="L75" s="50">
        <v>3</v>
      </c>
      <c r="M75" s="50">
        <v>3</v>
      </c>
      <c r="N75" s="50">
        <v>0</v>
      </c>
      <c r="O75" s="15">
        <f t="shared" si="35"/>
        <v>79</v>
      </c>
      <c r="P75" s="15">
        <f t="shared" si="36"/>
        <v>82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3</v>
      </c>
      <c r="E76" s="50">
        <v>10</v>
      </c>
      <c r="F76" s="50">
        <v>11</v>
      </c>
      <c r="G76" s="50">
        <v>2</v>
      </c>
      <c r="H76" s="50">
        <v>3</v>
      </c>
      <c r="I76" s="50">
        <v>17</v>
      </c>
      <c r="J76" s="50">
        <v>12</v>
      </c>
      <c r="K76" s="50">
        <v>15</v>
      </c>
      <c r="L76" s="50">
        <v>2</v>
      </c>
      <c r="M76" s="50">
        <v>6</v>
      </c>
      <c r="N76" s="50">
        <v>0</v>
      </c>
      <c r="O76" s="15">
        <f t="shared" si="35"/>
        <v>87</v>
      </c>
      <c r="P76" s="15">
        <f t="shared" si="36"/>
        <v>93</v>
      </c>
      <c r="R76" s="8"/>
      <c r="T76"/>
    </row>
    <row r="77" spans="2:20" ht="23.1" customHeight="1" x14ac:dyDescent="0.25">
      <c r="B77" s="45" t="s">
        <v>117</v>
      </c>
      <c r="C77" s="50">
        <v>13</v>
      </c>
      <c r="D77" s="50">
        <v>8</v>
      </c>
      <c r="E77" s="50">
        <v>6</v>
      </c>
      <c r="F77" s="50">
        <v>15</v>
      </c>
      <c r="G77" s="50">
        <v>4</v>
      </c>
      <c r="H77" s="50">
        <v>1</v>
      </c>
      <c r="I77" s="50">
        <v>17</v>
      </c>
      <c r="J77" s="50">
        <v>7</v>
      </c>
      <c r="K77" s="50">
        <v>10</v>
      </c>
      <c r="L77" s="50">
        <v>2</v>
      </c>
      <c r="M77" s="50">
        <v>7</v>
      </c>
      <c r="N77" s="50">
        <v>0</v>
      </c>
      <c r="O77" s="15">
        <f t="shared" si="35"/>
        <v>83</v>
      </c>
      <c r="P77" s="15">
        <f t="shared" si="36"/>
        <v>90</v>
      </c>
      <c r="R77" s="8"/>
      <c r="T77"/>
    </row>
    <row r="78" spans="2:20" ht="23.1" customHeight="1" x14ac:dyDescent="0.25">
      <c r="B78" s="46" t="s">
        <v>118</v>
      </c>
      <c r="C78" s="50">
        <v>12</v>
      </c>
      <c r="D78" s="50">
        <v>1</v>
      </c>
      <c r="E78" s="50">
        <v>1</v>
      </c>
      <c r="F78" s="50">
        <v>6</v>
      </c>
      <c r="G78" s="50">
        <v>2</v>
      </c>
      <c r="H78" s="50">
        <v>0</v>
      </c>
      <c r="I78" s="50">
        <v>18</v>
      </c>
      <c r="J78" s="50">
        <v>3</v>
      </c>
      <c r="K78" s="50">
        <v>6</v>
      </c>
      <c r="L78" s="50">
        <v>3</v>
      </c>
      <c r="M78" s="50">
        <v>8</v>
      </c>
      <c r="N78" s="50">
        <v>0</v>
      </c>
      <c r="O78" s="15">
        <f t="shared" si="35"/>
        <v>52</v>
      </c>
      <c r="P78" s="15">
        <f t="shared" si="36"/>
        <v>60</v>
      </c>
      <c r="R78" s="8"/>
      <c r="T78"/>
    </row>
    <row r="79" spans="2:20" ht="23.1" customHeight="1" x14ac:dyDescent="0.25">
      <c r="B79" s="45" t="s">
        <v>119</v>
      </c>
      <c r="C79" s="50">
        <v>5</v>
      </c>
      <c r="D79" s="50">
        <v>4</v>
      </c>
      <c r="E79" s="50">
        <v>3</v>
      </c>
      <c r="F79" s="50">
        <v>6</v>
      </c>
      <c r="G79" s="50">
        <v>1</v>
      </c>
      <c r="H79" s="50">
        <v>2</v>
      </c>
      <c r="I79" s="50">
        <v>13</v>
      </c>
      <c r="J79" s="50">
        <v>7</v>
      </c>
      <c r="K79" s="50">
        <v>4</v>
      </c>
      <c r="L79" s="50">
        <v>2</v>
      </c>
      <c r="M79" s="50">
        <v>3</v>
      </c>
      <c r="N79" s="50">
        <v>0</v>
      </c>
      <c r="O79" s="15">
        <f t="shared" si="35"/>
        <v>47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3</v>
      </c>
      <c r="E80" s="50">
        <v>1</v>
      </c>
      <c r="F80" s="50">
        <v>2</v>
      </c>
      <c r="G80" s="50">
        <v>0</v>
      </c>
      <c r="H80" s="50">
        <v>1</v>
      </c>
      <c r="I80" s="50">
        <v>9</v>
      </c>
      <c r="J80" s="50">
        <v>3</v>
      </c>
      <c r="K80" s="50">
        <v>6</v>
      </c>
      <c r="L80" s="50">
        <v>2</v>
      </c>
      <c r="M80" s="50">
        <v>1</v>
      </c>
      <c r="N80" s="50">
        <v>0</v>
      </c>
      <c r="O80" s="15">
        <f t="shared" si="35"/>
        <v>32</v>
      </c>
      <c r="P80" s="15">
        <f t="shared" si="36"/>
        <v>33</v>
      </c>
      <c r="R80" s="8"/>
      <c r="T80"/>
    </row>
    <row r="81" spans="2:20" ht="23.1" customHeight="1" x14ac:dyDescent="0.25">
      <c r="B81" s="45" t="s">
        <v>121</v>
      </c>
      <c r="C81" s="50">
        <v>7</v>
      </c>
      <c r="D81" s="50">
        <v>1</v>
      </c>
      <c r="E81" s="50">
        <v>0</v>
      </c>
      <c r="F81" s="50">
        <v>6</v>
      </c>
      <c r="G81" s="50">
        <v>1</v>
      </c>
      <c r="H81" s="50">
        <v>1</v>
      </c>
      <c r="I81" s="50">
        <v>13</v>
      </c>
      <c r="J81" s="50">
        <v>5</v>
      </c>
      <c r="K81" s="50">
        <v>6</v>
      </c>
      <c r="L81" s="50">
        <v>0</v>
      </c>
      <c r="M81" s="50">
        <v>0</v>
      </c>
      <c r="N81" s="50">
        <v>0</v>
      </c>
      <c r="O81" s="15">
        <f t="shared" si="35"/>
        <v>40</v>
      </c>
      <c r="P81" s="15">
        <f t="shared" si="36"/>
        <v>40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</v>
      </c>
      <c r="F82" s="50">
        <v>0</v>
      </c>
      <c r="G82" s="50">
        <v>1</v>
      </c>
      <c r="H82" s="50">
        <v>0</v>
      </c>
      <c r="I82" s="50">
        <v>18</v>
      </c>
      <c r="J82" s="50">
        <v>12</v>
      </c>
      <c r="K82" s="50">
        <v>13</v>
      </c>
      <c r="L82" s="50">
        <v>3</v>
      </c>
      <c r="M82" s="50">
        <v>0</v>
      </c>
      <c r="N82" s="50">
        <v>0</v>
      </c>
      <c r="O82" s="15">
        <f t="shared" si="35"/>
        <v>51</v>
      </c>
      <c r="P82" s="15">
        <f t="shared" si="36"/>
        <v>51</v>
      </c>
      <c r="R82" s="8"/>
      <c r="T82"/>
    </row>
    <row r="83" spans="2:20" ht="23.1" customHeight="1" x14ac:dyDescent="0.25">
      <c r="B83" s="45" t="s">
        <v>123</v>
      </c>
      <c r="C83" s="50">
        <v>11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25</v>
      </c>
      <c r="J83" s="50">
        <v>21</v>
      </c>
      <c r="K83" s="50">
        <v>13</v>
      </c>
      <c r="L83" s="50">
        <v>8</v>
      </c>
      <c r="M83" s="50">
        <v>1</v>
      </c>
      <c r="N83" s="50">
        <v>0</v>
      </c>
      <c r="O83" s="15">
        <f t="shared" si="35"/>
        <v>78</v>
      </c>
      <c r="P83" s="15">
        <f t="shared" si="36"/>
        <v>79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0</v>
      </c>
      <c r="E84" s="50">
        <v>0</v>
      </c>
      <c r="F84" s="50">
        <v>2</v>
      </c>
      <c r="G84" s="50">
        <v>0</v>
      </c>
      <c r="H84" s="50">
        <v>1</v>
      </c>
      <c r="I84" s="50">
        <v>17</v>
      </c>
      <c r="J84" s="50">
        <v>10</v>
      </c>
      <c r="K84" s="50">
        <v>5</v>
      </c>
      <c r="L84" s="50">
        <v>1</v>
      </c>
      <c r="M84" s="50">
        <v>0</v>
      </c>
      <c r="N84" s="50">
        <v>0</v>
      </c>
      <c r="O84" s="15">
        <f t="shared" si="35"/>
        <v>45</v>
      </c>
      <c r="P84" s="15">
        <f t="shared" si="36"/>
        <v>45</v>
      </c>
      <c r="R84" s="8"/>
      <c r="T84"/>
    </row>
    <row r="85" spans="2:20" ht="23.1" customHeight="1" x14ac:dyDescent="0.25">
      <c r="B85" s="45" t="s">
        <v>125</v>
      </c>
      <c r="C85" s="50">
        <v>5</v>
      </c>
      <c r="D85" s="50">
        <v>0</v>
      </c>
      <c r="E85" s="50">
        <v>0</v>
      </c>
      <c r="F85" s="50">
        <v>0</v>
      </c>
      <c r="G85" s="50">
        <v>0</v>
      </c>
      <c r="H85" s="50">
        <v>1</v>
      </c>
      <c r="I85" s="50">
        <v>13</v>
      </c>
      <c r="J85" s="50">
        <v>6</v>
      </c>
      <c r="K85" s="50">
        <v>5</v>
      </c>
      <c r="L85" s="50">
        <v>2</v>
      </c>
      <c r="M85" s="50">
        <v>3</v>
      </c>
      <c r="N85" s="50">
        <v>0</v>
      </c>
      <c r="O85" s="15">
        <f t="shared" si="35"/>
        <v>32</v>
      </c>
      <c r="P85" s="15">
        <f t="shared" si="36"/>
        <v>35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2</v>
      </c>
      <c r="F86" s="50">
        <v>1</v>
      </c>
      <c r="G86" s="50">
        <v>0</v>
      </c>
      <c r="H86" s="50">
        <v>0</v>
      </c>
      <c r="I86" s="50">
        <v>20</v>
      </c>
      <c r="J86" s="50">
        <v>22</v>
      </c>
      <c r="K86" s="50">
        <v>17</v>
      </c>
      <c r="L86" s="50">
        <v>5</v>
      </c>
      <c r="M86" s="50">
        <v>3</v>
      </c>
      <c r="N86" s="50">
        <v>0</v>
      </c>
      <c r="O86" s="15">
        <f t="shared" si="35"/>
        <v>69</v>
      </c>
      <c r="P86" s="15">
        <f t="shared" si="36"/>
        <v>72</v>
      </c>
      <c r="R86" s="8"/>
      <c r="T86"/>
    </row>
    <row r="87" spans="2:20" ht="23.1" customHeight="1" x14ac:dyDescent="0.25">
      <c r="B87" s="45" t="s">
        <v>127</v>
      </c>
      <c r="C87" s="50">
        <v>11</v>
      </c>
      <c r="D87" s="50">
        <v>3</v>
      </c>
      <c r="E87" s="50">
        <v>0</v>
      </c>
      <c r="F87" s="50">
        <v>2</v>
      </c>
      <c r="G87" s="50">
        <v>0</v>
      </c>
      <c r="H87" s="50">
        <v>2</v>
      </c>
      <c r="I87" s="50">
        <v>26</v>
      </c>
      <c r="J87" s="50">
        <v>20</v>
      </c>
      <c r="K87" s="50">
        <v>23</v>
      </c>
      <c r="L87" s="50">
        <v>25</v>
      </c>
      <c r="M87" s="50">
        <v>1</v>
      </c>
      <c r="N87" s="50">
        <v>0</v>
      </c>
      <c r="O87" s="15">
        <f t="shared" si="35"/>
        <v>112</v>
      </c>
      <c r="P87" s="15">
        <f t="shared" si="36"/>
        <v>113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4</v>
      </c>
      <c r="I88" s="50">
        <v>8</v>
      </c>
      <c r="J88" s="50">
        <v>3</v>
      </c>
      <c r="K88" s="50">
        <v>3</v>
      </c>
      <c r="L88" s="50">
        <v>11</v>
      </c>
      <c r="M88" s="50">
        <v>0</v>
      </c>
      <c r="N88" s="50">
        <v>0</v>
      </c>
      <c r="O88" s="15">
        <f t="shared" si="35"/>
        <v>31</v>
      </c>
      <c r="P88" s="15">
        <f t="shared" si="36"/>
        <v>31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9</v>
      </c>
      <c r="J89" s="50">
        <v>6</v>
      </c>
      <c r="K89" s="50">
        <v>10</v>
      </c>
      <c r="L89" s="50">
        <v>5</v>
      </c>
      <c r="M89" s="50">
        <v>1</v>
      </c>
      <c r="N89" s="50">
        <v>0</v>
      </c>
      <c r="O89" s="15">
        <f t="shared" si="35"/>
        <v>33</v>
      </c>
      <c r="P89" s="15">
        <f t="shared" si="36"/>
        <v>34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7</v>
      </c>
      <c r="J90" s="50">
        <v>10</v>
      </c>
      <c r="K90" s="50">
        <v>9</v>
      </c>
      <c r="L90" s="50">
        <v>7</v>
      </c>
      <c r="M90" s="50">
        <v>1</v>
      </c>
      <c r="N90" s="50">
        <v>0</v>
      </c>
      <c r="O90" s="15">
        <f t="shared" si="35"/>
        <v>34</v>
      </c>
      <c r="P90" s="15">
        <f t="shared" si="36"/>
        <v>35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1</v>
      </c>
      <c r="H91" s="50">
        <v>2</v>
      </c>
      <c r="I91" s="50">
        <v>7</v>
      </c>
      <c r="J91" s="50">
        <v>3</v>
      </c>
      <c r="K91" s="50">
        <v>5</v>
      </c>
      <c r="L91" s="50">
        <v>3</v>
      </c>
      <c r="M91" s="50">
        <v>6</v>
      </c>
      <c r="N91" s="50">
        <v>0</v>
      </c>
      <c r="O91" s="15">
        <f t="shared" si="35"/>
        <v>22</v>
      </c>
      <c r="P91" s="15">
        <f t="shared" si="36"/>
        <v>28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1</v>
      </c>
      <c r="H92" s="50">
        <v>10</v>
      </c>
      <c r="I92" s="50">
        <v>15</v>
      </c>
      <c r="J92" s="50">
        <v>7</v>
      </c>
      <c r="K92" s="50">
        <v>10</v>
      </c>
      <c r="L92" s="50">
        <v>12</v>
      </c>
      <c r="M92" s="50">
        <v>3</v>
      </c>
      <c r="N92" s="50">
        <v>0</v>
      </c>
      <c r="O92" s="15">
        <f t="shared" si="35"/>
        <v>57</v>
      </c>
      <c r="P92" s="15">
        <f t="shared" si="36"/>
        <v>60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0</v>
      </c>
      <c r="F93" s="50">
        <v>0</v>
      </c>
      <c r="G93" s="50">
        <v>0</v>
      </c>
      <c r="H93" s="50">
        <v>4</v>
      </c>
      <c r="I93" s="50">
        <v>11</v>
      </c>
      <c r="J93" s="50">
        <v>8</v>
      </c>
      <c r="K93" s="50">
        <v>6</v>
      </c>
      <c r="L93" s="50">
        <v>8</v>
      </c>
      <c r="M93" s="50">
        <v>1</v>
      </c>
      <c r="N93" s="50">
        <v>0</v>
      </c>
      <c r="O93" s="15">
        <f t="shared" si="35"/>
        <v>40</v>
      </c>
      <c r="P93" s="15">
        <f t="shared" si="36"/>
        <v>41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0</v>
      </c>
      <c r="G94" s="50">
        <v>1</v>
      </c>
      <c r="H94" s="50">
        <v>2</v>
      </c>
      <c r="I94" s="50">
        <v>5</v>
      </c>
      <c r="J94" s="50">
        <v>8</v>
      </c>
      <c r="K94" s="50">
        <v>5</v>
      </c>
      <c r="L94" s="50">
        <v>3</v>
      </c>
      <c r="M94" s="50">
        <v>0</v>
      </c>
      <c r="N94" s="50">
        <v>0</v>
      </c>
      <c r="O94" s="15">
        <f t="shared" si="35"/>
        <v>27</v>
      </c>
      <c r="P94" s="15">
        <f t="shared" si="36"/>
        <v>27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1</v>
      </c>
      <c r="F95" s="50">
        <v>2</v>
      </c>
      <c r="G95" s="50">
        <v>2</v>
      </c>
      <c r="H95" s="50">
        <v>6</v>
      </c>
      <c r="I95" s="50">
        <v>7</v>
      </c>
      <c r="J95" s="50">
        <v>5</v>
      </c>
      <c r="K95" s="50">
        <v>6</v>
      </c>
      <c r="L95" s="50">
        <v>5</v>
      </c>
      <c r="M95" s="50">
        <v>0</v>
      </c>
      <c r="N95" s="50">
        <v>0</v>
      </c>
      <c r="O95" s="15">
        <f t="shared" si="35"/>
        <v>36</v>
      </c>
      <c r="P95" s="15">
        <f t="shared" si="36"/>
        <v>36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0</v>
      </c>
      <c r="E96" s="50">
        <v>0</v>
      </c>
      <c r="F96" s="50">
        <v>3</v>
      </c>
      <c r="G96" s="50">
        <v>0</v>
      </c>
      <c r="H96" s="50">
        <v>6</v>
      </c>
      <c r="I96" s="50">
        <v>7</v>
      </c>
      <c r="J96" s="50">
        <v>8</v>
      </c>
      <c r="K96" s="50">
        <v>3</v>
      </c>
      <c r="L96" s="50">
        <v>8</v>
      </c>
      <c r="M96" s="50">
        <v>1</v>
      </c>
      <c r="N96" s="50">
        <v>0</v>
      </c>
      <c r="O96" s="15">
        <f t="shared" si="35"/>
        <v>40</v>
      </c>
      <c r="P96" s="15">
        <f t="shared" si="36"/>
        <v>41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2</v>
      </c>
      <c r="G97" s="50">
        <v>1</v>
      </c>
      <c r="H97" s="50">
        <v>3</v>
      </c>
      <c r="I97" s="50">
        <v>11</v>
      </c>
      <c r="J97" s="50">
        <v>8</v>
      </c>
      <c r="K97" s="50">
        <v>5</v>
      </c>
      <c r="L97" s="50">
        <v>6</v>
      </c>
      <c r="M97" s="50">
        <v>1</v>
      </c>
      <c r="N97" s="50">
        <v>0</v>
      </c>
      <c r="O97" s="15">
        <f t="shared" si="35"/>
        <v>39</v>
      </c>
      <c r="P97" s="15">
        <f t="shared" si="36"/>
        <v>40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0</v>
      </c>
      <c r="F98" s="50">
        <v>7</v>
      </c>
      <c r="G98" s="50">
        <v>0</v>
      </c>
      <c r="H98" s="50">
        <v>2</v>
      </c>
      <c r="I98" s="50">
        <v>12</v>
      </c>
      <c r="J98" s="50">
        <v>10</v>
      </c>
      <c r="K98" s="50">
        <v>2</v>
      </c>
      <c r="L98" s="50">
        <v>3</v>
      </c>
      <c r="M98" s="50">
        <v>4</v>
      </c>
      <c r="N98" s="50">
        <v>0</v>
      </c>
      <c r="O98" s="15">
        <f t="shared" si="35"/>
        <v>39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2</v>
      </c>
      <c r="E99" s="50">
        <v>0</v>
      </c>
      <c r="F99" s="50">
        <v>14</v>
      </c>
      <c r="G99" s="50">
        <v>0</v>
      </c>
      <c r="H99" s="50">
        <v>1</v>
      </c>
      <c r="I99" s="50">
        <v>3</v>
      </c>
      <c r="J99" s="50">
        <v>10</v>
      </c>
      <c r="K99" s="50">
        <v>3</v>
      </c>
      <c r="L99" s="50">
        <v>3</v>
      </c>
      <c r="M99" s="50">
        <v>2</v>
      </c>
      <c r="N99" s="50">
        <v>0</v>
      </c>
      <c r="O99" s="15">
        <f t="shared" si="35"/>
        <v>38</v>
      </c>
      <c r="P99" s="15">
        <f t="shared" si="36"/>
        <v>40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1</v>
      </c>
      <c r="E100" s="50">
        <v>0</v>
      </c>
      <c r="F100" s="50">
        <v>16</v>
      </c>
      <c r="G100" s="50">
        <v>2</v>
      </c>
      <c r="H100" s="50">
        <v>0</v>
      </c>
      <c r="I100" s="50">
        <v>8</v>
      </c>
      <c r="J100" s="50">
        <v>5</v>
      </c>
      <c r="K100" s="50">
        <v>4</v>
      </c>
      <c r="L100" s="50">
        <v>2</v>
      </c>
      <c r="M100" s="50">
        <v>3</v>
      </c>
      <c r="N100" s="50">
        <v>0</v>
      </c>
      <c r="O100" s="15">
        <f t="shared" si="35"/>
        <v>41</v>
      </c>
      <c r="P100" s="15">
        <f t="shared" si="36"/>
        <v>44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3</v>
      </c>
      <c r="E101" s="50">
        <v>3</v>
      </c>
      <c r="F101" s="50">
        <v>27</v>
      </c>
      <c r="G101" s="50">
        <v>1</v>
      </c>
      <c r="H101" s="50">
        <v>7</v>
      </c>
      <c r="I101" s="50">
        <v>8</v>
      </c>
      <c r="J101" s="50">
        <v>5</v>
      </c>
      <c r="K101" s="50">
        <v>3</v>
      </c>
      <c r="L101" s="50">
        <v>2</v>
      </c>
      <c r="M101" s="50">
        <v>9</v>
      </c>
      <c r="N101" s="50">
        <v>0</v>
      </c>
      <c r="O101" s="15">
        <f t="shared" si="35"/>
        <v>69</v>
      </c>
      <c r="P101" s="15">
        <f t="shared" si="36"/>
        <v>78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2</v>
      </c>
      <c r="E102" s="50">
        <v>3</v>
      </c>
      <c r="F102" s="50">
        <v>15</v>
      </c>
      <c r="G102" s="50">
        <v>2</v>
      </c>
      <c r="H102" s="50">
        <v>1</v>
      </c>
      <c r="I102" s="50">
        <v>6</v>
      </c>
      <c r="J102" s="50">
        <v>5</v>
      </c>
      <c r="K102" s="50">
        <v>4</v>
      </c>
      <c r="L102" s="50">
        <v>6</v>
      </c>
      <c r="M102" s="50">
        <v>5</v>
      </c>
      <c r="N102" s="50">
        <v>0</v>
      </c>
      <c r="O102" s="15">
        <f t="shared" si="35"/>
        <v>48</v>
      </c>
      <c r="P102" s="15">
        <f t="shared" si="36"/>
        <v>53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5</v>
      </c>
      <c r="E103" s="50">
        <v>1</v>
      </c>
      <c r="F103" s="50">
        <v>2</v>
      </c>
      <c r="G103" s="50">
        <v>2</v>
      </c>
      <c r="H103" s="50">
        <v>6</v>
      </c>
      <c r="I103" s="50">
        <v>7</v>
      </c>
      <c r="J103" s="50">
        <v>3</v>
      </c>
      <c r="K103" s="50">
        <v>2</v>
      </c>
      <c r="L103" s="50">
        <v>3</v>
      </c>
      <c r="M103" s="50">
        <v>6</v>
      </c>
      <c r="N103" s="50">
        <v>0</v>
      </c>
      <c r="O103" s="15">
        <f t="shared" si="35"/>
        <v>36</v>
      </c>
      <c r="P103" s="15">
        <f t="shared" si="36"/>
        <v>42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8</v>
      </c>
      <c r="E104" s="50">
        <v>0</v>
      </c>
      <c r="F104" s="50">
        <v>27</v>
      </c>
      <c r="G104" s="50">
        <v>2</v>
      </c>
      <c r="H104" s="50">
        <v>0</v>
      </c>
      <c r="I104" s="50">
        <v>7</v>
      </c>
      <c r="J104" s="50">
        <v>8</v>
      </c>
      <c r="K104" s="50">
        <v>6</v>
      </c>
      <c r="L104" s="50">
        <v>9</v>
      </c>
      <c r="M104" s="50">
        <v>18</v>
      </c>
      <c r="N104" s="50">
        <v>0</v>
      </c>
      <c r="O104" s="15">
        <f t="shared" si="35"/>
        <v>72</v>
      </c>
      <c r="P104" s="15">
        <f t="shared" si="36"/>
        <v>90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6</v>
      </c>
      <c r="E105" s="50">
        <v>2</v>
      </c>
      <c r="F105" s="50">
        <v>28</v>
      </c>
      <c r="G105" s="50">
        <v>2</v>
      </c>
      <c r="H105" s="50">
        <v>1</v>
      </c>
      <c r="I105" s="50">
        <v>8</v>
      </c>
      <c r="J105" s="50">
        <v>5</v>
      </c>
      <c r="K105" s="50">
        <v>3</v>
      </c>
      <c r="L105" s="50">
        <v>2</v>
      </c>
      <c r="M105" s="50">
        <v>18</v>
      </c>
      <c r="N105" s="50">
        <v>0</v>
      </c>
      <c r="O105" s="15">
        <f t="shared" si="35"/>
        <v>62</v>
      </c>
      <c r="P105" s="15">
        <f t="shared" si="36"/>
        <v>80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1597</v>
      </c>
      <c r="D106" s="16">
        <f t="shared" ref="D106:P106" si="37">SUM(D10:D105)</f>
        <v>477</v>
      </c>
      <c r="E106" s="16">
        <f t="shared" si="37"/>
        <v>365</v>
      </c>
      <c r="F106" s="16">
        <f t="shared" si="37"/>
        <v>1602</v>
      </c>
      <c r="G106" s="16">
        <f t="shared" si="37"/>
        <v>149</v>
      </c>
      <c r="H106" s="16">
        <f t="shared" si="37"/>
        <v>172</v>
      </c>
      <c r="I106" s="16">
        <f t="shared" si="37"/>
        <v>1114</v>
      </c>
      <c r="J106" s="16">
        <f t="shared" si="37"/>
        <v>452</v>
      </c>
      <c r="K106" s="16">
        <f t="shared" si="37"/>
        <v>372</v>
      </c>
      <c r="L106" s="16">
        <f t="shared" si="37"/>
        <v>310</v>
      </c>
      <c r="M106" s="16">
        <f t="shared" si="37"/>
        <v>1542</v>
      </c>
      <c r="N106" s="16">
        <f t="shared" si="37"/>
        <v>1</v>
      </c>
      <c r="O106" s="16">
        <f t="shared" si="37"/>
        <v>6611</v>
      </c>
      <c r="P106" s="16">
        <f t="shared" si="37"/>
        <v>8153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0.19587881761314854</v>
      </c>
      <c r="D107" s="43">
        <f t="shared" si="38"/>
        <v>5.8506071384766344E-2</v>
      </c>
      <c r="E107" s="43">
        <f t="shared" si="38"/>
        <v>4.4768796761928124E-2</v>
      </c>
      <c r="F107" s="43">
        <f t="shared" si="38"/>
        <v>0.1964920888016681</v>
      </c>
      <c r="G107" s="43">
        <f t="shared" si="38"/>
        <v>1.8275481417882988E-2</v>
      </c>
      <c r="H107" s="43">
        <f t="shared" si="38"/>
        <v>2.109652888507298E-2</v>
      </c>
      <c r="I107" s="43">
        <f t="shared" si="38"/>
        <v>0.13663682080215872</v>
      </c>
      <c r="J107" s="43">
        <f t="shared" si="38"/>
        <v>5.5439715442168525E-2</v>
      </c>
      <c r="K107" s="43">
        <f t="shared" si="38"/>
        <v>4.5627376425855515E-2</v>
      </c>
      <c r="L107" s="43">
        <f t="shared" si="38"/>
        <v>3.8022813688212927E-2</v>
      </c>
      <c r="M107" s="43">
        <f t="shared" si="38"/>
        <v>0.18913283453943333</v>
      </c>
      <c r="N107" s="43">
        <f t="shared" si="38"/>
        <v>1.2265423770391266E-4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0.24156708516109515</v>
      </c>
      <c r="D108" s="44">
        <f t="shared" ref="D108:N108" si="39">D106/$O$106</f>
        <v>7.2152473150809263E-2</v>
      </c>
      <c r="E108" s="44">
        <f t="shared" si="39"/>
        <v>5.5211011949780668E-2</v>
      </c>
      <c r="F108" s="44">
        <f t="shared" si="39"/>
        <v>0.24232340039328393</v>
      </c>
      <c r="G108" s="44">
        <f t="shared" si="39"/>
        <v>2.2538193919225534E-2</v>
      </c>
      <c r="H108" s="44">
        <f t="shared" si="39"/>
        <v>2.6017243987293905E-2</v>
      </c>
      <c r="I108" s="44">
        <f t="shared" si="39"/>
        <v>0.16850703373165934</v>
      </c>
      <c r="J108" s="44">
        <f t="shared" si="39"/>
        <v>6.8370896989865371E-2</v>
      </c>
      <c r="K108" s="44">
        <f t="shared" si="39"/>
        <v>5.6269853274844954E-2</v>
      </c>
      <c r="L108" s="44">
        <f t="shared" si="39"/>
        <v>4.6891544395704129E-2</v>
      </c>
      <c r="M108" s="44"/>
      <c r="N108" s="44">
        <f t="shared" si="39"/>
        <v>1.5126304643775526E-4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52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'31.10 Masaka-Maya-24h'!D5</f>
        <v>31.10.19</v>
      </c>
      <c r="E5" s="3"/>
      <c r="F5" s="41" t="s">
        <v>1</v>
      </c>
      <c r="G5" s="66" t="str">
        <f>'31.10 Masaka-Maya-24h'!G5:H5</f>
        <v>Maya</v>
      </c>
      <c r="H5" s="67"/>
      <c r="I5" s="14"/>
      <c r="J5" s="2" t="s">
        <v>5</v>
      </c>
      <c r="K5" s="66" t="s">
        <v>177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'29.10 Maya-Masaka'!G6:H6</f>
        <v>Masaka</v>
      </c>
      <c r="H6" s="67"/>
      <c r="J6" s="2" t="s">
        <v>21</v>
      </c>
      <c r="K6" s="66" t="str">
        <f>'31.10 Masaka-Maya-24h'!K6:L6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</v>
      </c>
      <c r="D10" s="50">
        <v>5</v>
      </c>
      <c r="E10" s="50">
        <v>1</v>
      </c>
      <c r="F10" s="50">
        <v>6</v>
      </c>
      <c r="G10" s="50">
        <v>0</v>
      </c>
      <c r="H10" s="50">
        <v>0</v>
      </c>
      <c r="I10" s="50">
        <v>6</v>
      </c>
      <c r="J10" s="50">
        <v>1</v>
      </c>
      <c r="K10" s="50">
        <v>1</v>
      </c>
      <c r="L10" s="50">
        <v>0</v>
      </c>
      <c r="M10" s="50">
        <v>7</v>
      </c>
      <c r="N10" s="50">
        <v>0</v>
      </c>
      <c r="O10" s="15">
        <f t="shared" ref="O10:O73" si="0">SUM(C10:L10,N10)</f>
        <v>33</v>
      </c>
      <c r="P10" s="15">
        <f t="shared" ref="P10:P73" si="1">SUM(C10:N10)</f>
        <v>40</v>
      </c>
      <c r="R10" s="1" t="s">
        <v>6</v>
      </c>
      <c r="S10" s="17">
        <f t="shared" ref="S10:AF10" si="2">SUM(C10:C13)</f>
        <v>75</v>
      </c>
      <c r="T10" s="17">
        <f t="shared" si="2"/>
        <v>23</v>
      </c>
      <c r="U10" s="17">
        <f t="shared" si="2"/>
        <v>6</v>
      </c>
      <c r="V10" s="17">
        <f t="shared" si="2"/>
        <v>46</v>
      </c>
      <c r="W10" s="17">
        <f t="shared" si="2"/>
        <v>2</v>
      </c>
      <c r="X10" s="17">
        <f t="shared" si="2"/>
        <v>2</v>
      </c>
      <c r="Y10" s="17">
        <f t="shared" si="2"/>
        <v>34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69</v>
      </c>
      <c r="AD10" s="17">
        <f t="shared" si="2"/>
        <v>0</v>
      </c>
      <c r="AE10" s="31">
        <f t="shared" si="2"/>
        <v>191</v>
      </c>
      <c r="AF10" s="31">
        <f t="shared" si="2"/>
        <v>260</v>
      </c>
    </row>
    <row r="11" spans="2:32" s="6" customFormat="1" ht="23.1" customHeight="1" x14ac:dyDescent="0.25">
      <c r="B11" s="45" t="s">
        <v>38</v>
      </c>
      <c r="C11" s="50">
        <v>18</v>
      </c>
      <c r="D11" s="50">
        <v>3</v>
      </c>
      <c r="E11" s="50">
        <v>2</v>
      </c>
      <c r="F11" s="50">
        <v>8</v>
      </c>
      <c r="G11" s="50">
        <v>1</v>
      </c>
      <c r="H11" s="50">
        <v>2</v>
      </c>
      <c r="I11" s="50">
        <v>12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46</v>
      </c>
      <c r="P11" s="15">
        <f t="shared" si="1"/>
        <v>59</v>
      </c>
      <c r="R11" s="1" t="s">
        <v>7</v>
      </c>
      <c r="S11" s="17">
        <f t="shared" ref="S11:AF11" si="3">SUM(C14:C17)</f>
        <v>124</v>
      </c>
      <c r="T11" s="17">
        <f t="shared" si="3"/>
        <v>80</v>
      </c>
      <c r="U11" s="17">
        <f t="shared" si="3"/>
        <v>5</v>
      </c>
      <c r="V11" s="17">
        <f t="shared" si="3"/>
        <v>115</v>
      </c>
      <c r="W11" s="17">
        <f t="shared" si="3"/>
        <v>4</v>
      </c>
      <c r="X11" s="17">
        <f t="shared" si="3"/>
        <v>6</v>
      </c>
      <c r="Y11" s="17">
        <f t="shared" si="3"/>
        <v>58</v>
      </c>
      <c r="Z11" s="17">
        <f t="shared" si="3"/>
        <v>6</v>
      </c>
      <c r="AA11" s="17">
        <f t="shared" si="3"/>
        <v>5</v>
      </c>
      <c r="AB11" s="17">
        <f t="shared" si="3"/>
        <v>10</v>
      </c>
      <c r="AC11" s="17">
        <f t="shared" si="3"/>
        <v>84</v>
      </c>
      <c r="AD11" s="17">
        <f t="shared" si="3"/>
        <v>0</v>
      </c>
      <c r="AE11" s="31">
        <f t="shared" si="3"/>
        <v>413</v>
      </c>
      <c r="AF11" s="31">
        <f t="shared" si="3"/>
        <v>497</v>
      </c>
    </row>
    <row r="12" spans="2:32" ht="23.1" customHeight="1" x14ac:dyDescent="0.25">
      <c r="B12" s="45" t="s">
        <v>39</v>
      </c>
      <c r="C12" s="50">
        <v>23</v>
      </c>
      <c r="D12" s="50">
        <v>7</v>
      </c>
      <c r="E12" s="50">
        <v>1</v>
      </c>
      <c r="F12" s="50">
        <v>7</v>
      </c>
      <c r="G12" s="50">
        <v>1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23</v>
      </c>
      <c r="N12" s="50">
        <v>0</v>
      </c>
      <c r="O12" s="15">
        <f t="shared" si="0"/>
        <v>44</v>
      </c>
      <c r="P12" s="15">
        <f t="shared" si="1"/>
        <v>67</v>
      </c>
      <c r="R12" s="1" t="s">
        <v>8</v>
      </c>
      <c r="S12" s="17">
        <f t="shared" ref="S12:AF12" si="4">SUM(C18:C21)</f>
        <v>92</v>
      </c>
      <c r="T12" s="17">
        <f t="shared" si="4"/>
        <v>100</v>
      </c>
      <c r="U12" s="17">
        <f t="shared" si="4"/>
        <v>10</v>
      </c>
      <c r="V12" s="17">
        <f t="shared" si="4"/>
        <v>118</v>
      </c>
      <c r="W12" s="17">
        <f t="shared" si="4"/>
        <v>10</v>
      </c>
      <c r="X12" s="17">
        <f t="shared" si="4"/>
        <v>1</v>
      </c>
      <c r="Y12" s="17">
        <f t="shared" si="4"/>
        <v>85</v>
      </c>
      <c r="Z12" s="17">
        <f t="shared" si="4"/>
        <v>45</v>
      </c>
      <c r="AA12" s="17">
        <f t="shared" si="4"/>
        <v>12</v>
      </c>
      <c r="AB12" s="17">
        <f t="shared" si="4"/>
        <v>13</v>
      </c>
      <c r="AC12" s="17">
        <f t="shared" si="4"/>
        <v>110</v>
      </c>
      <c r="AD12" s="17">
        <f t="shared" si="4"/>
        <v>0</v>
      </c>
      <c r="AE12" s="31">
        <f t="shared" si="4"/>
        <v>486</v>
      </c>
      <c r="AF12" s="31">
        <f t="shared" si="4"/>
        <v>596</v>
      </c>
    </row>
    <row r="13" spans="2:32" ht="23.1" customHeight="1" x14ac:dyDescent="0.25">
      <c r="B13" s="45" t="s">
        <v>40</v>
      </c>
      <c r="C13" s="50">
        <v>21</v>
      </c>
      <c r="D13" s="50">
        <v>8</v>
      </c>
      <c r="E13" s="50">
        <v>2</v>
      </c>
      <c r="F13" s="50">
        <v>25</v>
      </c>
      <c r="G13" s="50">
        <v>0</v>
      </c>
      <c r="H13" s="50">
        <v>0</v>
      </c>
      <c r="I13" s="50">
        <v>11</v>
      </c>
      <c r="J13" s="50">
        <v>0</v>
      </c>
      <c r="K13" s="50">
        <v>1</v>
      </c>
      <c r="L13" s="50">
        <v>0</v>
      </c>
      <c r="M13" s="50">
        <v>26</v>
      </c>
      <c r="N13" s="50">
        <v>0</v>
      </c>
      <c r="O13" s="15">
        <f t="shared" si="0"/>
        <v>68</v>
      </c>
      <c r="P13" s="15">
        <f t="shared" si="1"/>
        <v>94</v>
      </c>
      <c r="R13" s="1" t="s">
        <v>9</v>
      </c>
      <c r="S13" s="17">
        <f t="shared" ref="S13:AF13" si="5">SUM(C22:C25)</f>
        <v>137</v>
      </c>
      <c r="T13" s="17">
        <f t="shared" si="5"/>
        <v>90</v>
      </c>
      <c r="U13" s="17">
        <f t="shared" si="5"/>
        <v>4</v>
      </c>
      <c r="V13" s="17">
        <f t="shared" si="5"/>
        <v>154</v>
      </c>
      <c r="W13" s="17">
        <f t="shared" si="5"/>
        <v>5</v>
      </c>
      <c r="X13" s="17">
        <f t="shared" si="5"/>
        <v>4</v>
      </c>
      <c r="Y13" s="17">
        <f t="shared" si="5"/>
        <v>94</v>
      </c>
      <c r="Z13" s="17">
        <f t="shared" si="5"/>
        <v>18</v>
      </c>
      <c r="AA13" s="17">
        <f t="shared" si="5"/>
        <v>34</v>
      </c>
      <c r="AB13" s="17">
        <f t="shared" si="5"/>
        <v>15</v>
      </c>
      <c r="AC13" s="17">
        <f t="shared" si="5"/>
        <v>136</v>
      </c>
      <c r="AD13" s="17">
        <f t="shared" si="5"/>
        <v>0</v>
      </c>
      <c r="AE13" s="31">
        <f t="shared" si="5"/>
        <v>555</v>
      </c>
      <c r="AF13" s="31">
        <f t="shared" si="5"/>
        <v>691</v>
      </c>
    </row>
    <row r="14" spans="2:32" ht="23.1" customHeight="1" x14ac:dyDescent="0.25">
      <c r="B14" s="45" t="s">
        <v>41</v>
      </c>
      <c r="C14" s="50">
        <v>29</v>
      </c>
      <c r="D14" s="50">
        <v>19</v>
      </c>
      <c r="E14" s="50">
        <v>0</v>
      </c>
      <c r="F14" s="50">
        <v>21</v>
      </c>
      <c r="G14" s="50">
        <v>1</v>
      </c>
      <c r="H14" s="50">
        <v>1</v>
      </c>
      <c r="I14" s="50">
        <v>16</v>
      </c>
      <c r="J14" s="50">
        <v>1</v>
      </c>
      <c r="K14" s="50">
        <v>0</v>
      </c>
      <c r="L14" s="50">
        <v>2</v>
      </c>
      <c r="M14" s="50">
        <v>22</v>
      </c>
      <c r="N14" s="50">
        <v>0</v>
      </c>
      <c r="O14" s="15">
        <f t="shared" si="0"/>
        <v>90</v>
      </c>
      <c r="P14" s="15">
        <f t="shared" si="1"/>
        <v>112</v>
      </c>
      <c r="R14" s="1" t="s">
        <v>10</v>
      </c>
      <c r="S14" s="17">
        <f t="shared" ref="S14:AF14" si="6">SUM(C26:C29)</f>
        <v>98</v>
      </c>
      <c r="T14" s="17">
        <f t="shared" si="6"/>
        <v>61</v>
      </c>
      <c r="U14" s="17">
        <f t="shared" si="6"/>
        <v>11</v>
      </c>
      <c r="V14" s="17">
        <f t="shared" si="6"/>
        <v>103</v>
      </c>
      <c r="W14" s="17">
        <f t="shared" si="6"/>
        <v>7</v>
      </c>
      <c r="X14" s="17">
        <f t="shared" si="6"/>
        <v>8</v>
      </c>
      <c r="Y14" s="17">
        <f t="shared" si="6"/>
        <v>73</v>
      </c>
      <c r="Z14" s="17">
        <f t="shared" si="6"/>
        <v>9</v>
      </c>
      <c r="AA14" s="17">
        <f t="shared" si="6"/>
        <v>6</v>
      </c>
      <c r="AB14" s="17">
        <f t="shared" si="6"/>
        <v>10</v>
      </c>
      <c r="AC14" s="17">
        <f t="shared" si="6"/>
        <v>121</v>
      </c>
      <c r="AD14" s="17">
        <f t="shared" si="6"/>
        <v>0</v>
      </c>
      <c r="AE14" s="31">
        <f t="shared" si="6"/>
        <v>386</v>
      </c>
      <c r="AF14" s="31">
        <f t="shared" si="6"/>
        <v>507</v>
      </c>
    </row>
    <row r="15" spans="2:32" ht="23.1" customHeight="1" x14ac:dyDescent="0.25">
      <c r="B15" s="45" t="s">
        <v>42</v>
      </c>
      <c r="C15" s="50">
        <v>35</v>
      </c>
      <c r="D15" s="50">
        <v>22</v>
      </c>
      <c r="E15" s="50">
        <v>1</v>
      </c>
      <c r="F15" s="50">
        <v>27</v>
      </c>
      <c r="G15" s="50">
        <v>2</v>
      </c>
      <c r="H15" s="50">
        <v>3</v>
      </c>
      <c r="I15" s="50">
        <v>18</v>
      </c>
      <c r="J15" s="50">
        <v>0</v>
      </c>
      <c r="K15" s="50">
        <v>0</v>
      </c>
      <c r="L15" s="50">
        <v>7</v>
      </c>
      <c r="M15" s="50">
        <v>21</v>
      </c>
      <c r="N15" s="50">
        <v>0</v>
      </c>
      <c r="O15" s="15">
        <f t="shared" si="0"/>
        <v>115</v>
      </c>
      <c r="P15" s="15">
        <f t="shared" si="1"/>
        <v>136</v>
      </c>
      <c r="R15" s="1" t="s">
        <v>11</v>
      </c>
      <c r="S15" s="17">
        <f t="shared" ref="S15:AF15" si="7">SUM(C30:C33)</f>
        <v>121</v>
      </c>
      <c r="T15" s="17">
        <f t="shared" si="7"/>
        <v>26</v>
      </c>
      <c r="U15" s="17">
        <f t="shared" si="7"/>
        <v>37</v>
      </c>
      <c r="V15" s="17">
        <f t="shared" si="7"/>
        <v>122</v>
      </c>
      <c r="W15" s="17">
        <f t="shared" si="7"/>
        <v>5</v>
      </c>
      <c r="X15" s="17">
        <f t="shared" si="7"/>
        <v>8</v>
      </c>
      <c r="Y15" s="17">
        <f t="shared" si="7"/>
        <v>89</v>
      </c>
      <c r="Z15" s="17">
        <f t="shared" si="7"/>
        <v>3</v>
      </c>
      <c r="AA15" s="17">
        <f t="shared" si="7"/>
        <v>14</v>
      </c>
      <c r="AB15" s="17">
        <f t="shared" si="7"/>
        <v>8</v>
      </c>
      <c r="AC15" s="17">
        <f t="shared" si="7"/>
        <v>127</v>
      </c>
      <c r="AD15" s="17">
        <f t="shared" si="7"/>
        <v>0</v>
      </c>
      <c r="AE15" s="31">
        <f t="shared" si="7"/>
        <v>433</v>
      </c>
      <c r="AF15" s="31">
        <f t="shared" si="7"/>
        <v>560</v>
      </c>
    </row>
    <row r="16" spans="2:32" ht="23.1" customHeight="1" x14ac:dyDescent="0.25">
      <c r="B16" s="45" t="s">
        <v>43</v>
      </c>
      <c r="C16" s="50">
        <v>25</v>
      </c>
      <c r="D16" s="50">
        <v>18</v>
      </c>
      <c r="E16" s="50">
        <v>1</v>
      </c>
      <c r="F16" s="50">
        <v>28</v>
      </c>
      <c r="G16" s="50">
        <v>1</v>
      </c>
      <c r="H16" s="50">
        <v>1</v>
      </c>
      <c r="I16" s="50">
        <v>9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83</v>
      </c>
      <c r="P16" s="15">
        <f t="shared" si="1"/>
        <v>95</v>
      </c>
      <c r="R16" s="1" t="s">
        <v>12</v>
      </c>
      <c r="S16" s="17">
        <f t="shared" ref="S16:AF16" si="8">SUM(C34:C37)</f>
        <v>127</v>
      </c>
      <c r="T16" s="17">
        <f t="shared" si="8"/>
        <v>20</v>
      </c>
      <c r="U16" s="17">
        <f t="shared" si="8"/>
        <v>21</v>
      </c>
      <c r="V16" s="17">
        <f t="shared" si="8"/>
        <v>103</v>
      </c>
      <c r="W16" s="17">
        <f t="shared" si="8"/>
        <v>5</v>
      </c>
      <c r="X16" s="17">
        <f t="shared" si="8"/>
        <v>7</v>
      </c>
      <c r="Y16" s="17">
        <f t="shared" si="8"/>
        <v>76</v>
      </c>
      <c r="Z16" s="17">
        <f t="shared" si="8"/>
        <v>8</v>
      </c>
      <c r="AA16" s="17">
        <f t="shared" si="8"/>
        <v>10</v>
      </c>
      <c r="AB16" s="17">
        <f t="shared" si="8"/>
        <v>17</v>
      </c>
      <c r="AC16" s="17">
        <f t="shared" si="8"/>
        <v>105</v>
      </c>
      <c r="AD16" s="17">
        <f t="shared" si="8"/>
        <v>0</v>
      </c>
      <c r="AE16" s="31">
        <f t="shared" si="8"/>
        <v>394</v>
      </c>
      <c r="AF16" s="31">
        <f t="shared" si="8"/>
        <v>499</v>
      </c>
    </row>
    <row r="17" spans="2:32" ht="23.1" customHeight="1" x14ac:dyDescent="0.25">
      <c r="B17" s="45" t="s">
        <v>44</v>
      </c>
      <c r="C17" s="50">
        <v>35</v>
      </c>
      <c r="D17" s="50">
        <v>21</v>
      </c>
      <c r="E17" s="50">
        <v>3</v>
      </c>
      <c r="F17" s="50">
        <v>39</v>
      </c>
      <c r="G17" s="50">
        <v>0</v>
      </c>
      <c r="H17" s="50">
        <v>1</v>
      </c>
      <c r="I17" s="50">
        <v>15</v>
      </c>
      <c r="J17" s="50">
        <v>5</v>
      </c>
      <c r="K17" s="50">
        <v>5</v>
      </c>
      <c r="L17" s="50">
        <v>1</v>
      </c>
      <c r="M17" s="50">
        <v>29</v>
      </c>
      <c r="N17" s="50">
        <v>0</v>
      </c>
      <c r="O17" s="15">
        <f t="shared" si="0"/>
        <v>125</v>
      </c>
      <c r="P17" s="15">
        <f t="shared" si="1"/>
        <v>154</v>
      </c>
      <c r="R17" s="1" t="s">
        <v>13</v>
      </c>
      <c r="S17" s="17">
        <f t="shared" ref="S17:AF17" si="9">SUM(C38:C41)</f>
        <v>120</v>
      </c>
      <c r="T17" s="17">
        <f t="shared" si="9"/>
        <v>24</v>
      </c>
      <c r="U17" s="17">
        <f t="shared" si="9"/>
        <v>23</v>
      </c>
      <c r="V17" s="17">
        <f t="shared" si="9"/>
        <v>113</v>
      </c>
      <c r="W17" s="17">
        <f t="shared" si="9"/>
        <v>4</v>
      </c>
      <c r="X17" s="17">
        <f t="shared" si="9"/>
        <v>6</v>
      </c>
      <c r="Y17" s="17">
        <f t="shared" si="9"/>
        <v>86</v>
      </c>
      <c r="Z17" s="17">
        <f t="shared" si="9"/>
        <v>8</v>
      </c>
      <c r="AA17" s="17">
        <f t="shared" si="9"/>
        <v>11</v>
      </c>
      <c r="AB17" s="17">
        <f t="shared" si="9"/>
        <v>8</v>
      </c>
      <c r="AC17" s="17">
        <f t="shared" si="9"/>
        <v>92</v>
      </c>
      <c r="AD17" s="17">
        <f t="shared" si="9"/>
        <v>0</v>
      </c>
      <c r="AE17" s="31">
        <f t="shared" si="9"/>
        <v>403</v>
      </c>
      <c r="AF17" s="31">
        <f t="shared" si="9"/>
        <v>495</v>
      </c>
    </row>
    <row r="18" spans="2:32" ht="23.1" customHeight="1" x14ac:dyDescent="0.25">
      <c r="B18" s="45" t="s">
        <v>45</v>
      </c>
      <c r="C18" s="50">
        <v>30</v>
      </c>
      <c r="D18" s="50">
        <v>20</v>
      </c>
      <c r="E18" s="50">
        <v>3</v>
      </c>
      <c r="F18" s="50">
        <v>28</v>
      </c>
      <c r="G18" s="50">
        <v>1</v>
      </c>
      <c r="H18" s="50">
        <v>0</v>
      </c>
      <c r="I18" s="50">
        <v>16</v>
      </c>
      <c r="J18" s="50">
        <v>17</v>
      </c>
      <c r="K18" s="50">
        <v>7</v>
      </c>
      <c r="L18" s="50">
        <v>0</v>
      </c>
      <c r="M18" s="50">
        <v>30</v>
      </c>
      <c r="N18" s="50">
        <v>0</v>
      </c>
      <c r="O18" s="15">
        <f t="shared" si="0"/>
        <v>122</v>
      </c>
      <c r="P18" s="15">
        <f t="shared" si="1"/>
        <v>152</v>
      </c>
      <c r="R18" s="1" t="s">
        <v>14</v>
      </c>
      <c r="S18" s="17">
        <f t="shared" ref="S18:AF18" si="10">SUM(C42:C45)</f>
        <v>120</v>
      </c>
      <c r="T18" s="17">
        <f t="shared" si="10"/>
        <v>26</v>
      </c>
      <c r="U18" s="17">
        <f t="shared" si="10"/>
        <v>20</v>
      </c>
      <c r="V18" s="17">
        <f t="shared" si="10"/>
        <v>92</v>
      </c>
      <c r="W18" s="17">
        <f t="shared" si="10"/>
        <v>3</v>
      </c>
      <c r="X18" s="17">
        <f t="shared" si="10"/>
        <v>5</v>
      </c>
      <c r="Y18" s="17">
        <f t="shared" si="10"/>
        <v>74</v>
      </c>
      <c r="Z18" s="17">
        <f t="shared" si="10"/>
        <v>4</v>
      </c>
      <c r="AA18" s="17">
        <f t="shared" si="10"/>
        <v>2</v>
      </c>
      <c r="AB18" s="17">
        <f t="shared" si="10"/>
        <v>21</v>
      </c>
      <c r="AC18" s="17">
        <f t="shared" si="10"/>
        <v>72</v>
      </c>
      <c r="AD18" s="17">
        <f t="shared" si="10"/>
        <v>0</v>
      </c>
      <c r="AE18" s="31">
        <f t="shared" si="10"/>
        <v>367</v>
      </c>
      <c r="AF18" s="31">
        <f t="shared" si="10"/>
        <v>439</v>
      </c>
    </row>
    <row r="19" spans="2:32" ht="23.1" customHeight="1" x14ac:dyDescent="0.25">
      <c r="B19" s="45" t="s">
        <v>46</v>
      </c>
      <c r="C19" s="50">
        <v>25</v>
      </c>
      <c r="D19" s="50">
        <v>25</v>
      </c>
      <c r="E19" s="50">
        <v>3</v>
      </c>
      <c r="F19" s="50">
        <v>30</v>
      </c>
      <c r="G19" s="50">
        <v>5</v>
      </c>
      <c r="H19" s="50">
        <v>0</v>
      </c>
      <c r="I19" s="50">
        <v>22</v>
      </c>
      <c r="J19" s="50">
        <v>13</v>
      </c>
      <c r="K19" s="50">
        <v>0</v>
      </c>
      <c r="L19" s="50">
        <v>4</v>
      </c>
      <c r="M19" s="50">
        <v>27</v>
      </c>
      <c r="N19" s="50">
        <v>0</v>
      </c>
      <c r="O19" s="15">
        <f t="shared" si="0"/>
        <v>127</v>
      </c>
      <c r="P19" s="15">
        <f t="shared" si="1"/>
        <v>154</v>
      </c>
      <c r="R19" s="1" t="s">
        <v>15</v>
      </c>
      <c r="S19" s="17">
        <f t="shared" ref="S19:AF19" si="11">SUM(C46:C49)</f>
        <v>110</v>
      </c>
      <c r="T19" s="17">
        <f t="shared" si="11"/>
        <v>22</v>
      </c>
      <c r="U19" s="17">
        <f t="shared" si="11"/>
        <v>17</v>
      </c>
      <c r="V19" s="17">
        <f t="shared" si="11"/>
        <v>104</v>
      </c>
      <c r="W19" s="17">
        <f t="shared" si="11"/>
        <v>5</v>
      </c>
      <c r="X19" s="17">
        <f t="shared" si="11"/>
        <v>8</v>
      </c>
      <c r="Y19" s="17">
        <f t="shared" si="11"/>
        <v>84</v>
      </c>
      <c r="Z19" s="17">
        <f t="shared" si="11"/>
        <v>11</v>
      </c>
      <c r="AA19" s="17">
        <f t="shared" si="11"/>
        <v>4</v>
      </c>
      <c r="AB19" s="17">
        <f t="shared" si="11"/>
        <v>14</v>
      </c>
      <c r="AC19" s="17">
        <f t="shared" si="11"/>
        <v>113</v>
      </c>
      <c r="AD19" s="17">
        <f t="shared" si="11"/>
        <v>0</v>
      </c>
      <c r="AE19" s="31">
        <f t="shared" si="11"/>
        <v>379</v>
      </c>
      <c r="AF19" s="31">
        <f t="shared" si="11"/>
        <v>492</v>
      </c>
    </row>
    <row r="20" spans="2:32" ht="23.1" customHeight="1" x14ac:dyDescent="0.25">
      <c r="B20" s="45" t="s">
        <v>47</v>
      </c>
      <c r="C20" s="50">
        <v>12</v>
      </c>
      <c r="D20" s="50">
        <v>25</v>
      </c>
      <c r="E20" s="50">
        <v>2</v>
      </c>
      <c r="F20" s="50">
        <v>15</v>
      </c>
      <c r="G20" s="50">
        <v>3</v>
      </c>
      <c r="H20" s="50">
        <v>1</v>
      </c>
      <c r="I20" s="50">
        <v>12</v>
      </c>
      <c r="J20" s="50">
        <v>15</v>
      </c>
      <c r="K20" s="50">
        <v>0</v>
      </c>
      <c r="L20" s="50">
        <v>7</v>
      </c>
      <c r="M20" s="50">
        <v>18</v>
      </c>
      <c r="N20" s="50">
        <v>0</v>
      </c>
      <c r="O20" s="15">
        <f t="shared" si="0"/>
        <v>92</v>
      </c>
      <c r="P20" s="15">
        <f t="shared" si="1"/>
        <v>110</v>
      </c>
      <c r="R20" s="1" t="s">
        <v>16</v>
      </c>
      <c r="S20" s="17">
        <f t="shared" ref="S20:AF20" si="12">SUM(C50:C53)</f>
        <v>88</v>
      </c>
      <c r="T20" s="17">
        <f t="shared" si="12"/>
        <v>24</v>
      </c>
      <c r="U20" s="17">
        <f t="shared" si="12"/>
        <v>23</v>
      </c>
      <c r="V20" s="17">
        <f t="shared" si="12"/>
        <v>116</v>
      </c>
      <c r="W20" s="17">
        <f t="shared" si="12"/>
        <v>6</v>
      </c>
      <c r="X20" s="17">
        <f t="shared" si="12"/>
        <v>7</v>
      </c>
      <c r="Y20" s="17">
        <f t="shared" si="12"/>
        <v>56</v>
      </c>
      <c r="Z20" s="17">
        <f t="shared" si="12"/>
        <v>16</v>
      </c>
      <c r="AA20" s="17">
        <f t="shared" si="12"/>
        <v>8</v>
      </c>
      <c r="AB20" s="17">
        <f t="shared" si="12"/>
        <v>13</v>
      </c>
      <c r="AC20" s="17">
        <f t="shared" si="12"/>
        <v>87</v>
      </c>
      <c r="AD20" s="17">
        <f t="shared" si="12"/>
        <v>0</v>
      </c>
      <c r="AE20" s="31">
        <f t="shared" si="12"/>
        <v>357</v>
      </c>
      <c r="AF20" s="31">
        <f t="shared" si="12"/>
        <v>444</v>
      </c>
    </row>
    <row r="21" spans="2:32" ht="23.1" customHeight="1" x14ac:dyDescent="0.25">
      <c r="B21" s="45" t="s">
        <v>48</v>
      </c>
      <c r="C21" s="50">
        <v>25</v>
      </c>
      <c r="D21" s="50">
        <v>30</v>
      </c>
      <c r="E21" s="50">
        <v>2</v>
      </c>
      <c r="F21" s="50">
        <v>45</v>
      </c>
      <c r="G21" s="50">
        <v>1</v>
      </c>
      <c r="H21" s="50">
        <v>0</v>
      </c>
      <c r="I21" s="50">
        <v>35</v>
      </c>
      <c r="J21" s="50">
        <v>0</v>
      </c>
      <c r="K21" s="50">
        <v>5</v>
      </c>
      <c r="L21" s="50">
        <v>2</v>
      </c>
      <c r="M21" s="50">
        <v>35</v>
      </c>
      <c r="N21" s="50">
        <v>0</v>
      </c>
      <c r="O21" s="15">
        <f t="shared" si="0"/>
        <v>145</v>
      </c>
      <c r="P21" s="15">
        <f t="shared" si="1"/>
        <v>180</v>
      </c>
      <c r="R21" s="36" t="s">
        <v>20</v>
      </c>
      <c r="S21" s="34">
        <f t="shared" ref="S21:AF21" si="13">SUM(C54:C57)</f>
        <v>69</v>
      </c>
      <c r="T21" s="17">
        <f t="shared" si="13"/>
        <v>15</v>
      </c>
      <c r="U21" s="17">
        <f t="shared" si="13"/>
        <v>15</v>
      </c>
      <c r="V21" s="17">
        <f t="shared" si="13"/>
        <v>96</v>
      </c>
      <c r="W21" s="17">
        <f t="shared" si="13"/>
        <v>3</v>
      </c>
      <c r="X21" s="17">
        <f t="shared" si="13"/>
        <v>4</v>
      </c>
      <c r="Y21" s="17">
        <f t="shared" si="13"/>
        <v>58</v>
      </c>
      <c r="Z21" s="17">
        <f t="shared" si="13"/>
        <v>36</v>
      </c>
      <c r="AA21" s="17">
        <f t="shared" si="13"/>
        <v>20</v>
      </c>
      <c r="AB21" s="17">
        <f t="shared" si="13"/>
        <v>10</v>
      </c>
      <c r="AC21" s="17">
        <f t="shared" si="13"/>
        <v>100</v>
      </c>
      <c r="AD21" s="17">
        <f t="shared" si="13"/>
        <v>0</v>
      </c>
      <c r="AE21" s="31">
        <f t="shared" si="13"/>
        <v>326</v>
      </c>
      <c r="AF21" s="31">
        <f t="shared" si="13"/>
        <v>426</v>
      </c>
    </row>
    <row r="22" spans="2:32" ht="23.1" customHeight="1" x14ac:dyDescent="0.25">
      <c r="B22" s="45" t="s">
        <v>49</v>
      </c>
      <c r="C22" s="50">
        <v>35</v>
      </c>
      <c r="D22" s="50">
        <v>16</v>
      </c>
      <c r="E22" s="50">
        <v>2</v>
      </c>
      <c r="F22" s="50">
        <v>55</v>
      </c>
      <c r="G22" s="50">
        <v>0</v>
      </c>
      <c r="H22" s="50">
        <v>2</v>
      </c>
      <c r="I22" s="50">
        <v>30</v>
      </c>
      <c r="J22" s="50">
        <v>3</v>
      </c>
      <c r="K22" s="50">
        <v>17</v>
      </c>
      <c r="L22" s="50">
        <v>10</v>
      </c>
      <c r="M22" s="50">
        <v>31</v>
      </c>
      <c r="N22" s="50">
        <v>0</v>
      </c>
      <c r="O22" s="15">
        <f t="shared" si="0"/>
        <v>170</v>
      </c>
      <c r="P22" s="15">
        <f t="shared" si="1"/>
        <v>201</v>
      </c>
      <c r="R22" s="36" t="s">
        <v>146</v>
      </c>
      <c r="S22" s="34">
        <f>SUM(C58:C61)</f>
        <v>26</v>
      </c>
      <c r="T22" s="34">
        <f t="shared" ref="T22:AF22" si="14">SUM(D58:D61)</f>
        <v>20</v>
      </c>
      <c r="U22" s="34">
        <f t="shared" si="14"/>
        <v>8</v>
      </c>
      <c r="V22" s="34">
        <f t="shared" si="14"/>
        <v>62</v>
      </c>
      <c r="W22" s="34">
        <f t="shared" si="14"/>
        <v>3</v>
      </c>
      <c r="X22" s="34">
        <f t="shared" si="14"/>
        <v>3</v>
      </c>
      <c r="Y22" s="34">
        <f t="shared" si="14"/>
        <v>23</v>
      </c>
      <c r="Z22" s="34">
        <f t="shared" si="14"/>
        <v>16</v>
      </c>
      <c r="AA22" s="34">
        <f t="shared" si="14"/>
        <v>28</v>
      </c>
      <c r="AB22" s="34">
        <f t="shared" si="14"/>
        <v>17</v>
      </c>
      <c r="AC22" s="34">
        <f t="shared" si="14"/>
        <v>32</v>
      </c>
      <c r="AD22" s="34">
        <f t="shared" si="14"/>
        <v>0</v>
      </c>
      <c r="AE22" s="31">
        <f t="shared" si="14"/>
        <v>206</v>
      </c>
      <c r="AF22" s="31">
        <f t="shared" si="14"/>
        <v>238</v>
      </c>
    </row>
    <row r="23" spans="2:32" ht="23.1" customHeight="1" x14ac:dyDescent="0.25">
      <c r="B23" s="45" t="s">
        <v>50</v>
      </c>
      <c r="C23" s="50">
        <v>40</v>
      </c>
      <c r="D23" s="50">
        <v>30</v>
      </c>
      <c r="E23" s="50">
        <v>2</v>
      </c>
      <c r="F23" s="50">
        <v>40</v>
      </c>
      <c r="G23" s="50">
        <v>2</v>
      </c>
      <c r="H23" s="50">
        <v>1</v>
      </c>
      <c r="I23" s="50">
        <v>28</v>
      </c>
      <c r="J23" s="50">
        <v>8</v>
      </c>
      <c r="K23" s="50">
        <v>12</v>
      </c>
      <c r="L23" s="50">
        <v>0</v>
      </c>
      <c r="M23" s="50">
        <v>52</v>
      </c>
      <c r="N23" s="50">
        <v>0</v>
      </c>
      <c r="O23" s="15">
        <f t="shared" si="0"/>
        <v>163</v>
      </c>
      <c r="P23" s="15">
        <f t="shared" si="1"/>
        <v>215</v>
      </c>
      <c r="R23" s="36" t="s">
        <v>147</v>
      </c>
      <c r="S23" s="34">
        <f>SUM(C62:C65)</f>
        <v>39</v>
      </c>
      <c r="T23" s="34">
        <f t="shared" ref="T23:AF23" si="15">SUM(D62:D65)</f>
        <v>37</v>
      </c>
      <c r="U23" s="34">
        <f t="shared" si="15"/>
        <v>9</v>
      </c>
      <c r="V23" s="34">
        <f t="shared" si="15"/>
        <v>72</v>
      </c>
      <c r="W23" s="34">
        <f t="shared" si="15"/>
        <v>4</v>
      </c>
      <c r="X23" s="34">
        <f t="shared" si="15"/>
        <v>4</v>
      </c>
      <c r="Y23" s="34">
        <f t="shared" si="15"/>
        <v>43</v>
      </c>
      <c r="Z23" s="34">
        <f t="shared" si="15"/>
        <v>13</v>
      </c>
      <c r="AA23" s="34">
        <f t="shared" si="15"/>
        <v>31</v>
      </c>
      <c r="AB23" s="34">
        <f t="shared" si="15"/>
        <v>9</v>
      </c>
      <c r="AC23" s="34">
        <f t="shared" si="15"/>
        <v>37</v>
      </c>
      <c r="AD23" s="34">
        <f t="shared" si="15"/>
        <v>0</v>
      </c>
      <c r="AE23" s="31">
        <f t="shared" si="15"/>
        <v>261</v>
      </c>
      <c r="AF23" s="31">
        <f t="shared" si="15"/>
        <v>298</v>
      </c>
    </row>
    <row r="24" spans="2:32" ht="23.1" customHeight="1" x14ac:dyDescent="0.25">
      <c r="B24" s="45" t="s">
        <v>51</v>
      </c>
      <c r="C24" s="50">
        <v>29</v>
      </c>
      <c r="D24" s="50">
        <v>17</v>
      </c>
      <c r="E24" s="50">
        <v>0</v>
      </c>
      <c r="F24" s="50">
        <v>23</v>
      </c>
      <c r="G24" s="50">
        <v>3</v>
      </c>
      <c r="H24" s="50">
        <v>0</v>
      </c>
      <c r="I24" s="50">
        <v>15</v>
      </c>
      <c r="J24" s="50">
        <v>5</v>
      </c>
      <c r="K24" s="50">
        <v>3</v>
      </c>
      <c r="L24" s="50">
        <v>2</v>
      </c>
      <c r="M24" s="50">
        <v>27</v>
      </c>
      <c r="N24" s="50">
        <v>0</v>
      </c>
      <c r="O24" s="15">
        <f t="shared" si="0"/>
        <v>97</v>
      </c>
      <c r="P24" s="15">
        <f t="shared" si="1"/>
        <v>124</v>
      </c>
      <c r="R24" s="36" t="s">
        <v>148</v>
      </c>
      <c r="S24" s="34">
        <f>SUM(C66:C69)</f>
        <v>45</v>
      </c>
      <c r="T24" s="34">
        <f t="shared" ref="T24:AF24" si="16">SUM(D66:D69)</f>
        <v>22</v>
      </c>
      <c r="U24" s="34">
        <f t="shared" si="16"/>
        <v>11</v>
      </c>
      <c r="V24" s="34">
        <f t="shared" si="16"/>
        <v>60</v>
      </c>
      <c r="W24" s="34">
        <f t="shared" si="16"/>
        <v>1</v>
      </c>
      <c r="X24" s="34">
        <f t="shared" si="16"/>
        <v>5</v>
      </c>
      <c r="Y24" s="34">
        <f t="shared" si="16"/>
        <v>33</v>
      </c>
      <c r="Z24" s="34">
        <f t="shared" si="16"/>
        <v>13</v>
      </c>
      <c r="AA24" s="34">
        <f t="shared" si="16"/>
        <v>43</v>
      </c>
      <c r="AB24" s="34">
        <f t="shared" si="16"/>
        <v>8</v>
      </c>
      <c r="AC24" s="34">
        <f t="shared" si="16"/>
        <v>27</v>
      </c>
      <c r="AD24" s="34">
        <f t="shared" si="16"/>
        <v>0</v>
      </c>
      <c r="AE24" s="31">
        <f t="shared" si="16"/>
        <v>241</v>
      </c>
      <c r="AF24" s="31">
        <f t="shared" si="16"/>
        <v>268</v>
      </c>
    </row>
    <row r="25" spans="2:32" ht="23.1" customHeight="1" x14ac:dyDescent="0.25">
      <c r="B25" s="45" t="s">
        <v>52</v>
      </c>
      <c r="C25" s="50">
        <v>33</v>
      </c>
      <c r="D25" s="50">
        <v>27</v>
      </c>
      <c r="E25" s="50">
        <v>0</v>
      </c>
      <c r="F25" s="50">
        <v>36</v>
      </c>
      <c r="G25" s="50">
        <v>0</v>
      </c>
      <c r="H25" s="50">
        <v>1</v>
      </c>
      <c r="I25" s="50">
        <v>21</v>
      </c>
      <c r="J25" s="50">
        <v>2</v>
      </c>
      <c r="K25" s="50">
        <v>2</v>
      </c>
      <c r="L25" s="50">
        <v>3</v>
      </c>
      <c r="M25" s="50">
        <v>26</v>
      </c>
      <c r="N25" s="50">
        <v>0</v>
      </c>
      <c r="O25" s="15">
        <f t="shared" si="0"/>
        <v>125</v>
      </c>
      <c r="P25" s="15">
        <f t="shared" si="1"/>
        <v>151</v>
      </c>
      <c r="R25" s="36" t="s">
        <v>149</v>
      </c>
      <c r="S25" s="34">
        <f>SUM(C70:C73)</f>
        <v>31</v>
      </c>
      <c r="T25" s="34">
        <f t="shared" ref="T25:AF25" si="17">SUM(D70:D73)</f>
        <v>24</v>
      </c>
      <c r="U25" s="34">
        <f t="shared" si="17"/>
        <v>5</v>
      </c>
      <c r="V25" s="34">
        <f t="shared" si="17"/>
        <v>36</v>
      </c>
      <c r="W25" s="34">
        <f t="shared" si="17"/>
        <v>0</v>
      </c>
      <c r="X25" s="34">
        <f t="shared" si="17"/>
        <v>11</v>
      </c>
      <c r="Y25" s="34">
        <f t="shared" si="17"/>
        <v>23</v>
      </c>
      <c r="Z25" s="34">
        <f t="shared" si="17"/>
        <v>27</v>
      </c>
      <c r="AA25" s="34">
        <f t="shared" si="17"/>
        <v>35</v>
      </c>
      <c r="AB25" s="34">
        <f t="shared" si="17"/>
        <v>11</v>
      </c>
      <c r="AC25" s="34">
        <f t="shared" si="17"/>
        <v>14</v>
      </c>
      <c r="AD25" s="34">
        <f t="shared" si="17"/>
        <v>0</v>
      </c>
      <c r="AE25" s="31">
        <f t="shared" si="17"/>
        <v>203</v>
      </c>
      <c r="AF25" s="31">
        <f t="shared" si="17"/>
        <v>217</v>
      </c>
    </row>
    <row r="26" spans="2:32" ht="23.1" customHeight="1" x14ac:dyDescent="0.25">
      <c r="B26" s="45" t="s">
        <v>53</v>
      </c>
      <c r="C26" s="50">
        <v>17</v>
      </c>
      <c r="D26" s="50">
        <v>24</v>
      </c>
      <c r="E26" s="50">
        <v>1</v>
      </c>
      <c r="F26" s="50">
        <v>26</v>
      </c>
      <c r="G26" s="50">
        <v>2</v>
      </c>
      <c r="H26" s="50">
        <v>1</v>
      </c>
      <c r="I26" s="50">
        <v>12</v>
      </c>
      <c r="J26" s="50">
        <v>0</v>
      </c>
      <c r="K26" s="50">
        <v>4</v>
      </c>
      <c r="L26" s="50">
        <v>1</v>
      </c>
      <c r="M26" s="50">
        <v>39</v>
      </c>
      <c r="N26" s="50">
        <v>0</v>
      </c>
      <c r="O26" s="15">
        <f t="shared" si="0"/>
        <v>88</v>
      </c>
      <c r="P26" s="15">
        <f t="shared" si="1"/>
        <v>127</v>
      </c>
      <c r="R26" s="36" t="s">
        <v>150</v>
      </c>
      <c r="S26" s="34">
        <f>SUM(C74:C77)</f>
        <v>33</v>
      </c>
      <c r="T26" s="34">
        <f t="shared" ref="T26:AF26" si="18">SUM(D74:D77)</f>
        <v>22</v>
      </c>
      <c r="U26" s="34">
        <f t="shared" si="18"/>
        <v>7</v>
      </c>
      <c r="V26" s="34">
        <f t="shared" si="18"/>
        <v>21</v>
      </c>
      <c r="W26" s="34">
        <f t="shared" si="18"/>
        <v>0</v>
      </c>
      <c r="X26" s="34">
        <f t="shared" si="18"/>
        <v>9</v>
      </c>
      <c r="Y26" s="34">
        <f t="shared" si="18"/>
        <v>26</v>
      </c>
      <c r="Z26" s="34">
        <f t="shared" si="18"/>
        <v>30</v>
      </c>
      <c r="AA26" s="34">
        <f t="shared" si="18"/>
        <v>20</v>
      </c>
      <c r="AB26" s="34">
        <f t="shared" si="18"/>
        <v>8</v>
      </c>
      <c r="AC26" s="34">
        <f t="shared" si="18"/>
        <v>7</v>
      </c>
      <c r="AD26" s="34">
        <f t="shared" si="18"/>
        <v>0</v>
      </c>
      <c r="AE26" s="31">
        <f t="shared" si="18"/>
        <v>176</v>
      </c>
      <c r="AF26" s="31">
        <f t="shared" si="18"/>
        <v>183</v>
      </c>
    </row>
    <row r="27" spans="2:32" ht="23.1" customHeight="1" x14ac:dyDescent="0.25">
      <c r="B27" s="45" t="s">
        <v>54</v>
      </c>
      <c r="C27" s="50">
        <v>24</v>
      </c>
      <c r="D27" s="50">
        <v>25</v>
      </c>
      <c r="E27" s="50">
        <v>2</v>
      </c>
      <c r="F27" s="50">
        <v>25</v>
      </c>
      <c r="G27" s="50">
        <v>2</v>
      </c>
      <c r="H27" s="50">
        <v>3</v>
      </c>
      <c r="I27" s="50">
        <v>21</v>
      </c>
      <c r="J27" s="50">
        <v>3</v>
      </c>
      <c r="K27" s="50">
        <v>2</v>
      </c>
      <c r="L27" s="50">
        <v>1</v>
      </c>
      <c r="M27" s="50">
        <v>31</v>
      </c>
      <c r="N27" s="50">
        <v>0</v>
      </c>
      <c r="O27" s="15">
        <f t="shared" si="0"/>
        <v>108</v>
      </c>
      <c r="P27" s="15">
        <f t="shared" si="1"/>
        <v>139</v>
      </c>
      <c r="R27" s="36" t="s">
        <v>151</v>
      </c>
      <c r="S27" s="34">
        <f>SUM(C78:C81)</f>
        <v>14</v>
      </c>
      <c r="T27" s="34">
        <f t="shared" ref="T27:AF27" si="19">SUM(D78:D81)</f>
        <v>17</v>
      </c>
      <c r="U27" s="34">
        <f t="shared" si="19"/>
        <v>4</v>
      </c>
      <c r="V27" s="34">
        <f t="shared" si="19"/>
        <v>14</v>
      </c>
      <c r="W27" s="34">
        <f t="shared" si="19"/>
        <v>0</v>
      </c>
      <c r="X27" s="34">
        <f t="shared" si="19"/>
        <v>12</v>
      </c>
      <c r="Y27" s="34">
        <f t="shared" si="19"/>
        <v>22</v>
      </c>
      <c r="Z27" s="34">
        <f t="shared" si="19"/>
        <v>11</v>
      </c>
      <c r="AA27" s="34">
        <f t="shared" si="19"/>
        <v>11</v>
      </c>
      <c r="AB27" s="34">
        <f t="shared" si="19"/>
        <v>11</v>
      </c>
      <c r="AC27" s="34">
        <f t="shared" si="19"/>
        <v>5</v>
      </c>
      <c r="AD27" s="34">
        <f t="shared" si="19"/>
        <v>0</v>
      </c>
      <c r="AE27" s="31">
        <f t="shared" si="19"/>
        <v>116</v>
      </c>
      <c r="AF27" s="31">
        <f t="shared" si="19"/>
        <v>121</v>
      </c>
    </row>
    <row r="28" spans="2:32" ht="23.1" customHeight="1" x14ac:dyDescent="0.25">
      <c r="B28" s="45" t="s">
        <v>55</v>
      </c>
      <c r="C28" s="50">
        <v>29</v>
      </c>
      <c r="D28" s="50">
        <v>6</v>
      </c>
      <c r="E28" s="50">
        <v>7</v>
      </c>
      <c r="F28" s="50">
        <v>32</v>
      </c>
      <c r="G28" s="50">
        <v>1</v>
      </c>
      <c r="H28" s="50">
        <v>1</v>
      </c>
      <c r="I28" s="50">
        <v>24</v>
      </c>
      <c r="J28" s="50">
        <v>3</v>
      </c>
      <c r="K28" s="50">
        <v>0</v>
      </c>
      <c r="L28" s="50">
        <v>3</v>
      </c>
      <c r="M28" s="50">
        <v>30</v>
      </c>
      <c r="N28" s="50">
        <v>0</v>
      </c>
      <c r="O28" s="15">
        <f t="shared" si="0"/>
        <v>106</v>
      </c>
      <c r="P28" s="15">
        <f t="shared" si="1"/>
        <v>136</v>
      </c>
      <c r="R28" s="36" t="s">
        <v>152</v>
      </c>
      <c r="S28" s="34">
        <f>SUM(C82:C85)</f>
        <v>9</v>
      </c>
      <c r="T28" s="34">
        <f t="shared" ref="T28:AF28" si="20">SUM(D82:D85)</f>
        <v>5</v>
      </c>
      <c r="U28" s="34">
        <f t="shared" si="20"/>
        <v>4</v>
      </c>
      <c r="V28" s="34">
        <f t="shared" si="20"/>
        <v>1</v>
      </c>
      <c r="W28" s="34">
        <f t="shared" si="20"/>
        <v>1</v>
      </c>
      <c r="X28" s="34">
        <f t="shared" si="20"/>
        <v>3</v>
      </c>
      <c r="Y28" s="34">
        <f t="shared" si="20"/>
        <v>16</v>
      </c>
      <c r="Z28" s="34">
        <f t="shared" si="20"/>
        <v>8</v>
      </c>
      <c r="AA28" s="34">
        <f t="shared" si="20"/>
        <v>10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60</v>
      </c>
      <c r="AF28" s="31">
        <f t="shared" si="20"/>
        <v>65</v>
      </c>
    </row>
    <row r="29" spans="2:32" ht="23.1" customHeight="1" x14ac:dyDescent="0.25">
      <c r="B29" s="45" t="s">
        <v>56</v>
      </c>
      <c r="C29" s="50">
        <v>28</v>
      </c>
      <c r="D29" s="50">
        <v>6</v>
      </c>
      <c r="E29" s="50">
        <v>1</v>
      </c>
      <c r="F29" s="50">
        <v>20</v>
      </c>
      <c r="G29" s="50">
        <v>2</v>
      </c>
      <c r="H29" s="50">
        <v>3</v>
      </c>
      <c r="I29" s="50">
        <v>16</v>
      </c>
      <c r="J29" s="50">
        <v>3</v>
      </c>
      <c r="K29" s="50">
        <v>0</v>
      </c>
      <c r="L29" s="50">
        <v>5</v>
      </c>
      <c r="M29" s="50">
        <v>21</v>
      </c>
      <c r="N29" s="50">
        <v>0</v>
      </c>
      <c r="O29" s="15">
        <f t="shared" si="0"/>
        <v>84</v>
      </c>
      <c r="P29" s="15">
        <f t="shared" si="1"/>
        <v>105</v>
      </c>
      <c r="R29" s="36" t="s">
        <v>153</v>
      </c>
      <c r="S29" s="34">
        <f>SUM(C86:C89)</f>
        <v>9</v>
      </c>
      <c r="T29" s="34">
        <f t="shared" ref="T29:AF29" si="21">SUM(D86:D89)</f>
        <v>2</v>
      </c>
      <c r="U29" s="34">
        <f t="shared" si="21"/>
        <v>2</v>
      </c>
      <c r="V29" s="34">
        <f t="shared" si="21"/>
        <v>1</v>
      </c>
      <c r="W29" s="34">
        <f t="shared" si="21"/>
        <v>1</v>
      </c>
      <c r="X29" s="34">
        <f t="shared" si="21"/>
        <v>4</v>
      </c>
      <c r="Y29" s="34">
        <f t="shared" si="21"/>
        <v>19</v>
      </c>
      <c r="Z29" s="34">
        <f t="shared" si="21"/>
        <v>7</v>
      </c>
      <c r="AA29" s="34">
        <f t="shared" si="21"/>
        <v>11</v>
      </c>
      <c r="AB29" s="34">
        <f t="shared" si="21"/>
        <v>13</v>
      </c>
      <c r="AC29" s="34">
        <f t="shared" si="21"/>
        <v>3</v>
      </c>
      <c r="AD29" s="34">
        <f t="shared" si="21"/>
        <v>0</v>
      </c>
      <c r="AE29" s="31">
        <f t="shared" si="21"/>
        <v>69</v>
      </c>
      <c r="AF29" s="31">
        <f t="shared" si="21"/>
        <v>72</v>
      </c>
    </row>
    <row r="30" spans="2:32" ht="23.1" customHeight="1" x14ac:dyDescent="0.25">
      <c r="B30" s="45" t="s">
        <v>57</v>
      </c>
      <c r="C30" s="50">
        <v>43</v>
      </c>
      <c r="D30" s="50">
        <v>5</v>
      </c>
      <c r="E30" s="50">
        <v>12</v>
      </c>
      <c r="F30" s="50">
        <v>28</v>
      </c>
      <c r="G30" s="50">
        <v>0</v>
      </c>
      <c r="H30" s="50">
        <v>3</v>
      </c>
      <c r="I30" s="50">
        <v>21</v>
      </c>
      <c r="J30" s="50">
        <v>0</v>
      </c>
      <c r="K30" s="50">
        <v>9</v>
      </c>
      <c r="L30" s="50">
        <v>4</v>
      </c>
      <c r="M30" s="50">
        <v>33</v>
      </c>
      <c r="N30" s="50">
        <v>0</v>
      </c>
      <c r="O30" s="15">
        <f t="shared" si="0"/>
        <v>125</v>
      </c>
      <c r="P30" s="15">
        <f t="shared" si="1"/>
        <v>158</v>
      </c>
      <c r="R30" s="36" t="s">
        <v>154</v>
      </c>
      <c r="S30" s="34">
        <f>SUM(C90:C93)</f>
        <v>4</v>
      </c>
      <c r="T30" s="34">
        <f t="shared" ref="T30:AF30" si="22">SUM(D90:D93)</f>
        <v>3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1</v>
      </c>
      <c r="Y30" s="34">
        <f t="shared" si="22"/>
        <v>17</v>
      </c>
      <c r="Z30" s="34">
        <f t="shared" si="22"/>
        <v>5</v>
      </c>
      <c r="AA30" s="34">
        <f t="shared" si="22"/>
        <v>13</v>
      </c>
      <c r="AB30" s="34">
        <f t="shared" si="22"/>
        <v>5</v>
      </c>
      <c r="AC30" s="34">
        <f t="shared" si="22"/>
        <v>2</v>
      </c>
      <c r="AD30" s="34">
        <f t="shared" si="22"/>
        <v>0</v>
      </c>
      <c r="AE30" s="31">
        <f t="shared" si="22"/>
        <v>50</v>
      </c>
      <c r="AF30" s="31">
        <f t="shared" si="22"/>
        <v>52</v>
      </c>
    </row>
    <row r="31" spans="2:32" ht="23.1" customHeight="1" x14ac:dyDescent="0.25">
      <c r="B31" s="46" t="s">
        <v>58</v>
      </c>
      <c r="C31" s="50">
        <v>26</v>
      </c>
      <c r="D31" s="50">
        <v>9</v>
      </c>
      <c r="E31" s="50">
        <v>7</v>
      </c>
      <c r="F31" s="50">
        <v>35</v>
      </c>
      <c r="G31" s="50">
        <v>2</v>
      </c>
      <c r="H31" s="50">
        <v>1</v>
      </c>
      <c r="I31" s="50">
        <v>17</v>
      </c>
      <c r="J31" s="50">
        <v>3</v>
      </c>
      <c r="K31" s="50">
        <v>2</v>
      </c>
      <c r="L31" s="50">
        <v>3</v>
      </c>
      <c r="M31" s="50">
        <v>35</v>
      </c>
      <c r="N31" s="50">
        <v>0</v>
      </c>
      <c r="O31" s="15">
        <f t="shared" si="0"/>
        <v>105</v>
      </c>
      <c r="P31" s="15">
        <f t="shared" si="1"/>
        <v>140</v>
      </c>
      <c r="R31" s="36" t="s">
        <v>155</v>
      </c>
      <c r="S31" s="34">
        <f>SUM(C94:C97)</f>
        <v>7</v>
      </c>
      <c r="T31" s="34">
        <f t="shared" ref="T31:AF31" si="23">SUM(D94:D97)</f>
        <v>4</v>
      </c>
      <c r="U31" s="34">
        <f t="shared" si="23"/>
        <v>3</v>
      </c>
      <c r="V31" s="34">
        <f t="shared" si="23"/>
        <v>5</v>
      </c>
      <c r="W31" s="34">
        <f t="shared" si="23"/>
        <v>3</v>
      </c>
      <c r="X31" s="34">
        <f t="shared" si="23"/>
        <v>0</v>
      </c>
      <c r="Y31" s="34">
        <f t="shared" si="23"/>
        <v>27</v>
      </c>
      <c r="Z31" s="34">
        <f t="shared" si="23"/>
        <v>5</v>
      </c>
      <c r="AA31" s="34">
        <f t="shared" si="23"/>
        <v>6</v>
      </c>
      <c r="AB31" s="34">
        <f t="shared" si="23"/>
        <v>2</v>
      </c>
      <c r="AC31" s="34">
        <f t="shared" si="23"/>
        <v>1</v>
      </c>
      <c r="AD31" s="34">
        <f t="shared" si="23"/>
        <v>0</v>
      </c>
      <c r="AE31" s="31">
        <f t="shared" si="23"/>
        <v>62</v>
      </c>
      <c r="AF31" s="31">
        <f t="shared" si="23"/>
        <v>63</v>
      </c>
    </row>
    <row r="32" spans="2:32" ht="23.1" customHeight="1" x14ac:dyDescent="0.25">
      <c r="B32" s="46" t="s">
        <v>59</v>
      </c>
      <c r="C32" s="50">
        <v>25</v>
      </c>
      <c r="D32" s="50">
        <v>5</v>
      </c>
      <c r="E32" s="50">
        <v>9</v>
      </c>
      <c r="F32" s="50">
        <v>31</v>
      </c>
      <c r="G32" s="50">
        <v>2</v>
      </c>
      <c r="H32" s="50">
        <v>3</v>
      </c>
      <c r="I32" s="50">
        <v>28</v>
      </c>
      <c r="J32" s="50">
        <v>0</v>
      </c>
      <c r="K32" s="50">
        <v>0</v>
      </c>
      <c r="L32" s="50">
        <v>1</v>
      </c>
      <c r="M32" s="50">
        <v>31</v>
      </c>
      <c r="N32" s="50">
        <v>0</v>
      </c>
      <c r="O32" s="15">
        <f t="shared" si="0"/>
        <v>104</v>
      </c>
      <c r="P32" s="15">
        <f t="shared" si="1"/>
        <v>135</v>
      </c>
      <c r="R32" s="33" t="s">
        <v>156</v>
      </c>
      <c r="S32" s="34">
        <f>SUM(C98:C101)</f>
        <v>26</v>
      </c>
      <c r="T32" s="34">
        <f t="shared" ref="T32:AF32" si="24">SUM(D98:D101)</f>
        <v>5</v>
      </c>
      <c r="U32" s="34">
        <f t="shared" si="24"/>
        <v>4</v>
      </c>
      <c r="V32" s="34">
        <f t="shared" si="24"/>
        <v>14</v>
      </c>
      <c r="W32" s="34">
        <f t="shared" si="24"/>
        <v>0</v>
      </c>
      <c r="X32" s="34">
        <f t="shared" si="24"/>
        <v>1</v>
      </c>
      <c r="Y32" s="34">
        <f t="shared" si="24"/>
        <v>42</v>
      </c>
      <c r="Z32" s="34">
        <f t="shared" si="24"/>
        <v>4</v>
      </c>
      <c r="AA32" s="34">
        <f t="shared" si="24"/>
        <v>12</v>
      </c>
      <c r="AB32" s="34">
        <f t="shared" si="24"/>
        <v>7</v>
      </c>
      <c r="AC32" s="34">
        <f t="shared" si="24"/>
        <v>7</v>
      </c>
      <c r="AD32" s="34">
        <f t="shared" si="24"/>
        <v>0</v>
      </c>
      <c r="AE32" s="31">
        <f t="shared" si="24"/>
        <v>115</v>
      </c>
      <c r="AF32" s="31">
        <f t="shared" si="24"/>
        <v>122</v>
      </c>
    </row>
    <row r="33" spans="2:32" ht="23.1" customHeight="1" x14ac:dyDescent="0.25">
      <c r="B33" s="45" t="s">
        <v>60</v>
      </c>
      <c r="C33" s="50">
        <v>27</v>
      </c>
      <c r="D33" s="50">
        <v>7</v>
      </c>
      <c r="E33" s="50">
        <v>9</v>
      </c>
      <c r="F33" s="50">
        <v>28</v>
      </c>
      <c r="G33" s="50">
        <v>1</v>
      </c>
      <c r="H33" s="50">
        <v>1</v>
      </c>
      <c r="I33" s="50">
        <v>23</v>
      </c>
      <c r="J33" s="50">
        <v>0</v>
      </c>
      <c r="K33" s="50">
        <v>3</v>
      </c>
      <c r="L33" s="50">
        <v>0</v>
      </c>
      <c r="M33" s="50">
        <v>28</v>
      </c>
      <c r="N33" s="50">
        <v>0</v>
      </c>
      <c r="O33" s="15">
        <f t="shared" si="0"/>
        <v>99</v>
      </c>
      <c r="P33" s="15">
        <f t="shared" si="1"/>
        <v>127</v>
      </c>
      <c r="R33" s="33" t="s">
        <v>157</v>
      </c>
      <c r="S33" s="34">
        <f>SUM(C102:C105)</f>
        <v>59</v>
      </c>
      <c r="T33" s="34">
        <f t="shared" ref="T33:AF33" si="25">SUM(D102:D105)</f>
        <v>42</v>
      </c>
      <c r="U33" s="34">
        <f t="shared" si="25"/>
        <v>7</v>
      </c>
      <c r="V33" s="34">
        <f t="shared" si="25"/>
        <v>43</v>
      </c>
      <c r="W33" s="34">
        <f t="shared" si="25"/>
        <v>5</v>
      </c>
      <c r="X33" s="34">
        <f t="shared" si="25"/>
        <v>3</v>
      </c>
      <c r="Y33" s="34">
        <f t="shared" si="25"/>
        <v>44</v>
      </c>
      <c r="Z33" s="34">
        <f t="shared" si="25"/>
        <v>13</v>
      </c>
      <c r="AA33" s="34">
        <f t="shared" si="25"/>
        <v>10</v>
      </c>
      <c r="AB33" s="34">
        <f t="shared" si="25"/>
        <v>13</v>
      </c>
      <c r="AC33" s="34">
        <f t="shared" si="25"/>
        <v>20</v>
      </c>
      <c r="AD33" s="34">
        <f t="shared" si="25"/>
        <v>0</v>
      </c>
      <c r="AE33" s="31">
        <f t="shared" si="25"/>
        <v>239</v>
      </c>
      <c r="AF33" s="31">
        <f t="shared" si="25"/>
        <v>259</v>
      </c>
    </row>
    <row r="34" spans="2:32" ht="23.1" customHeight="1" x14ac:dyDescent="0.25">
      <c r="B34" s="46" t="s">
        <v>61</v>
      </c>
      <c r="C34" s="50">
        <v>25</v>
      </c>
      <c r="D34" s="50">
        <v>4</v>
      </c>
      <c r="E34" s="50">
        <v>4</v>
      </c>
      <c r="F34" s="50">
        <v>20</v>
      </c>
      <c r="G34" s="50">
        <v>1</v>
      </c>
      <c r="H34" s="50">
        <v>1</v>
      </c>
      <c r="I34" s="50">
        <v>13</v>
      </c>
      <c r="J34" s="50">
        <v>3</v>
      </c>
      <c r="K34" s="50">
        <v>0</v>
      </c>
      <c r="L34" s="50">
        <v>0</v>
      </c>
      <c r="M34" s="50">
        <v>22</v>
      </c>
      <c r="N34" s="50">
        <v>0</v>
      </c>
      <c r="O34" s="15">
        <f t="shared" si="0"/>
        <v>71</v>
      </c>
      <c r="P34" s="15">
        <f t="shared" si="1"/>
        <v>93</v>
      </c>
      <c r="R34" s="38" t="s">
        <v>90</v>
      </c>
      <c r="S34" s="39">
        <f t="shared" ref="S34:AF34" si="26">MAX(S10:S12)</f>
        <v>124</v>
      </c>
      <c r="T34" s="39">
        <f t="shared" si="26"/>
        <v>100</v>
      </c>
      <c r="U34" s="39">
        <f t="shared" si="26"/>
        <v>10</v>
      </c>
      <c r="V34" s="39">
        <f t="shared" si="26"/>
        <v>118</v>
      </c>
      <c r="W34" s="39">
        <f t="shared" si="26"/>
        <v>10</v>
      </c>
      <c r="X34" s="39">
        <f t="shared" si="26"/>
        <v>6</v>
      </c>
      <c r="Y34" s="39">
        <f t="shared" si="26"/>
        <v>85</v>
      </c>
      <c r="Z34" s="39">
        <f t="shared" si="26"/>
        <v>45</v>
      </c>
      <c r="AA34" s="39">
        <f t="shared" si="26"/>
        <v>12</v>
      </c>
      <c r="AB34" s="39">
        <f t="shared" si="26"/>
        <v>13</v>
      </c>
      <c r="AC34" s="39">
        <f t="shared" si="26"/>
        <v>110</v>
      </c>
      <c r="AD34" s="39">
        <f t="shared" si="26"/>
        <v>0</v>
      </c>
      <c r="AE34" s="40">
        <f t="shared" si="26"/>
        <v>486</v>
      </c>
      <c r="AF34" s="40">
        <f t="shared" si="26"/>
        <v>596</v>
      </c>
    </row>
    <row r="35" spans="2:32" ht="23.1" customHeight="1" x14ac:dyDescent="0.25">
      <c r="B35" s="46" t="s">
        <v>62</v>
      </c>
      <c r="C35" s="50">
        <v>30</v>
      </c>
      <c r="D35" s="50">
        <v>3</v>
      </c>
      <c r="E35" s="50">
        <v>7</v>
      </c>
      <c r="F35" s="50">
        <v>20</v>
      </c>
      <c r="G35" s="50">
        <v>1</v>
      </c>
      <c r="H35" s="50">
        <v>2</v>
      </c>
      <c r="I35" s="50">
        <v>18</v>
      </c>
      <c r="J35" s="50">
        <v>1</v>
      </c>
      <c r="K35" s="50">
        <v>1</v>
      </c>
      <c r="L35" s="50">
        <v>5</v>
      </c>
      <c r="M35" s="50">
        <v>26</v>
      </c>
      <c r="N35" s="50">
        <v>0</v>
      </c>
      <c r="O35" s="15">
        <f t="shared" si="0"/>
        <v>88</v>
      </c>
      <c r="P35" s="15">
        <f t="shared" si="1"/>
        <v>114</v>
      </c>
      <c r="R35" s="38" t="s">
        <v>91</v>
      </c>
      <c r="S35" s="39">
        <f t="shared" ref="S35:AF35" si="27">MAX(S13:S18)</f>
        <v>137</v>
      </c>
      <c r="T35" s="39">
        <f t="shared" si="27"/>
        <v>90</v>
      </c>
      <c r="U35" s="39">
        <f t="shared" si="27"/>
        <v>37</v>
      </c>
      <c r="V35" s="39">
        <f t="shared" si="27"/>
        <v>154</v>
      </c>
      <c r="W35" s="39">
        <f t="shared" si="27"/>
        <v>7</v>
      </c>
      <c r="X35" s="39">
        <f t="shared" si="27"/>
        <v>8</v>
      </c>
      <c r="Y35" s="39">
        <f t="shared" si="27"/>
        <v>94</v>
      </c>
      <c r="Z35" s="39">
        <f t="shared" si="27"/>
        <v>18</v>
      </c>
      <c r="AA35" s="39">
        <f t="shared" si="27"/>
        <v>34</v>
      </c>
      <c r="AB35" s="39">
        <f t="shared" si="27"/>
        <v>21</v>
      </c>
      <c r="AC35" s="39">
        <f t="shared" si="27"/>
        <v>136</v>
      </c>
      <c r="AD35" s="39">
        <f t="shared" si="27"/>
        <v>0</v>
      </c>
      <c r="AE35" s="40">
        <f t="shared" si="27"/>
        <v>555</v>
      </c>
      <c r="AF35" s="40">
        <f t="shared" si="27"/>
        <v>691</v>
      </c>
    </row>
    <row r="36" spans="2:32" ht="23.1" customHeight="1" x14ac:dyDescent="0.25">
      <c r="B36" s="46" t="s">
        <v>63</v>
      </c>
      <c r="C36" s="50">
        <v>28</v>
      </c>
      <c r="D36" s="50">
        <v>3</v>
      </c>
      <c r="E36" s="50">
        <v>4</v>
      </c>
      <c r="F36" s="50">
        <v>29</v>
      </c>
      <c r="G36" s="50">
        <v>0</v>
      </c>
      <c r="H36" s="50">
        <v>2</v>
      </c>
      <c r="I36" s="50">
        <v>16</v>
      </c>
      <c r="J36" s="50">
        <v>1</v>
      </c>
      <c r="K36" s="50">
        <v>2</v>
      </c>
      <c r="L36" s="50">
        <v>4</v>
      </c>
      <c r="M36" s="50">
        <v>23</v>
      </c>
      <c r="N36" s="50">
        <v>0</v>
      </c>
      <c r="O36" s="15">
        <f t="shared" si="0"/>
        <v>89</v>
      </c>
      <c r="P36" s="15">
        <f t="shared" si="1"/>
        <v>112</v>
      </c>
      <c r="R36" s="38" t="s">
        <v>92</v>
      </c>
      <c r="S36" s="39">
        <f t="shared" ref="S36:AF36" si="28">MAX(S19:S21)</f>
        <v>110</v>
      </c>
      <c r="T36" s="39">
        <f t="shared" si="28"/>
        <v>24</v>
      </c>
      <c r="U36" s="39">
        <f t="shared" si="28"/>
        <v>23</v>
      </c>
      <c r="V36" s="39">
        <f t="shared" si="28"/>
        <v>116</v>
      </c>
      <c r="W36" s="39">
        <f t="shared" si="28"/>
        <v>6</v>
      </c>
      <c r="X36" s="39">
        <f t="shared" si="28"/>
        <v>8</v>
      </c>
      <c r="Y36" s="39">
        <f t="shared" si="28"/>
        <v>84</v>
      </c>
      <c r="Z36" s="39">
        <f t="shared" si="28"/>
        <v>36</v>
      </c>
      <c r="AA36" s="39">
        <f t="shared" si="28"/>
        <v>20</v>
      </c>
      <c r="AB36" s="39">
        <f t="shared" si="28"/>
        <v>14</v>
      </c>
      <c r="AC36" s="39">
        <f t="shared" si="28"/>
        <v>113</v>
      </c>
      <c r="AD36" s="39">
        <f t="shared" si="28"/>
        <v>0</v>
      </c>
      <c r="AE36" s="40">
        <f t="shared" si="28"/>
        <v>379</v>
      </c>
      <c r="AF36" s="40">
        <f t="shared" si="28"/>
        <v>492</v>
      </c>
    </row>
    <row r="37" spans="2:32" ht="23.1" customHeight="1" x14ac:dyDescent="0.25">
      <c r="B37" s="45" t="s">
        <v>64</v>
      </c>
      <c r="C37" s="50">
        <v>44</v>
      </c>
      <c r="D37" s="50">
        <v>10</v>
      </c>
      <c r="E37" s="50">
        <v>6</v>
      </c>
      <c r="F37" s="50">
        <v>34</v>
      </c>
      <c r="G37" s="50">
        <v>3</v>
      </c>
      <c r="H37" s="50">
        <v>2</v>
      </c>
      <c r="I37" s="50">
        <v>29</v>
      </c>
      <c r="J37" s="50">
        <v>3</v>
      </c>
      <c r="K37" s="50">
        <v>7</v>
      </c>
      <c r="L37" s="50">
        <v>8</v>
      </c>
      <c r="M37" s="50">
        <v>34</v>
      </c>
      <c r="N37" s="50">
        <v>0</v>
      </c>
      <c r="O37" s="15">
        <f t="shared" si="0"/>
        <v>146</v>
      </c>
      <c r="P37" s="15">
        <f t="shared" si="1"/>
        <v>180</v>
      </c>
      <c r="R37" s="37" t="s">
        <v>85</v>
      </c>
      <c r="S37" s="35">
        <f t="shared" ref="S37:AF37" si="29">SUM(S10:S12)</f>
        <v>291</v>
      </c>
      <c r="T37" s="16">
        <f t="shared" si="29"/>
        <v>203</v>
      </c>
      <c r="U37" s="16">
        <f t="shared" si="29"/>
        <v>21</v>
      </c>
      <c r="V37" s="16">
        <f t="shared" si="29"/>
        <v>279</v>
      </c>
      <c r="W37" s="16">
        <f t="shared" si="29"/>
        <v>16</v>
      </c>
      <c r="X37" s="16">
        <f t="shared" si="29"/>
        <v>9</v>
      </c>
      <c r="Y37" s="16">
        <f t="shared" si="29"/>
        <v>177</v>
      </c>
      <c r="Z37" s="16">
        <f t="shared" si="29"/>
        <v>52</v>
      </c>
      <c r="AA37" s="16">
        <f t="shared" si="29"/>
        <v>19</v>
      </c>
      <c r="AB37" s="16">
        <f t="shared" si="29"/>
        <v>23</v>
      </c>
      <c r="AC37" s="16">
        <f t="shared" si="29"/>
        <v>263</v>
      </c>
      <c r="AD37" s="16">
        <f t="shared" si="29"/>
        <v>0</v>
      </c>
      <c r="AE37" s="32">
        <f t="shared" si="29"/>
        <v>1090</v>
      </c>
      <c r="AF37" s="32">
        <f t="shared" si="29"/>
        <v>1353</v>
      </c>
    </row>
    <row r="38" spans="2:32" ht="23.1" customHeight="1" x14ac:dyDescent="0.25">
      <c r="B38" s="46" t="s">
        <v>65</v>
      </c>
      <c r="C38" s="50">
        <v>20</v>
      </c>
      <c r="D38" s="50">
        <v>5</v>
      </c>
      <c r="E38" s="50">
        <v>9</v>
      </c>
      <c r="F38" s="50">
        <v>32</v>
      </c>
      <c r="G38" s="50">
        <v>3</v>
      </c>
      <c r="H38" s="50">
        <v>1</v>
      </c>
      <c r="I38" s="50">
        <v>25</v>
      </c>
      <c r="J38" s="50">
        <v>3</v>
      </c>
      <c r="K38" s="50">
        <v>7</v>
      </c>
      <c r="L38" s="50">
        <v>5</v>
      </c>
      <c r="M38" s="50">
        <v>27</v>
      </c>
      <c r="N38" s="50">
        <v>0</v>
      </c>
      <c r="O38" s="15">
        <f t="shared" si="0"/>
        <v>110</v>
      </c>
      <c r="P38" s="15">
        <f t="shared" si="1"/>
        <v>137</v>
      </c>
      <c r="R38" s="28" t="s">
        <v>86</v>
      </c>
      <c r="S38" s="16">
        <f t="shared" ref="S38:AF38" si="30">SUM(S13:S18)</f>
        <v>723</v>
      </c>
      <c r="T38" s="16">
        <f t="shared" si="30"/>
        <v>247</v>
      </c>
      <c r="U38" s="16">
        <f t="shared" si="30"/>
        <v>116</v>
      </c>
      <c r="V38" s="16">
        <f t="shared" si="30"/>
        <v>687</v>
      </c>
      <c r="W38" s="16">
        <f t="shared" si="30"/>
        <v>29</v>
      </c>
      <c r="X38" s="16">
        <f t="shared" si="30"/>
        <v>38</v>
      </c>
      <c r="Y38" s="16">
        <f t="shared" si="30"/>
        <v>492</v>
      </c>
      <c r="Z38" s="16">
        <f t="shared" si="30"/>
        <v>50</v>
      </c>
      <c r="AA38" s="16">
        <f t="shared" si="30"/>
        <v>77</v>
      </c>
      <c r="AB38" s="16">
        <f t="shared" si="30"/>
        <v>79</v>
      </c>
      <c r="AC38" s="16">
        <f t="shared" si="30"/>
        <v>653</v>
      </c>
      <c r="AD38" s="16">
        <f t="shared" si="30"/>
        <v>0</v>
      </c>
      <c r="AE38" s="32">
        <f t="shared" si="30"/>
        <v>2538</v>
      </c>
      <c r="AF38" s="32">
        <f t="shared" si="30"/>
        <v>3191</v>
      </c>
    </row>
    <row r="39" spans="2:32" ht="23.1" customHeight="1" x14ac:dyDescent="0.25">
      <c r="B39" s="46" t="s">
        <v>66</v>
      </c>
      <c r="C39" s="50">
        <v>32</v>
      </c>
      <c r="D39" s="50">
        <v>8</v>
      </c>
      <c r="E39" s="50">
        <v>6</v>
      </c>
      <c r="F39" s="50">
        <v>37</v>
      </c>
      <c r="G39" s="50">
        <v>1</v>
      </c>
      <c r="H39" s="50">
        <v>1</v>
      </c>
      <c r="I39" s="50">
        <v>20</v>
      </c>
      <c r="J39" s="50">
        <v>2</v>
      </c>
      <c r="K39" s="50">
        <v>2</v>
      </c>
      <c r="L39" s="50">
        <v>0</v>
      </c>
      <c r="M39" s="50">
        <v>16</v>
      </c>
      <c r="N39" s="50">
        <v>0</v>
      </c>
      <c r="O39" s="15">
        <f t="shared" si="0"/>
        <v>109</v>
      </c>
      <c r="P39" s="15">
        <f t="shared" si="1"/>
        <v>125</v>
      </c>
      <c r="R39" s="29" t="s">
        <v>87</v>
      </c>
      <c r="S39" s="16">
        <f t="shared" ref="S39:AF39" si="31">SUM(S19:S21)</f>
        <v>267</v>
      </c>
      <c r="T39" s="16">
        <f t="shared" si="31"/>
        <v>61</v>
      </c>
      <c r="U39" s="16">
        <f t="shared" si="31"/>
        <v>55</v>
      </c>
      <c r="V39" s="16">
        <f t="shared" si="31"/>
        <v>316</v>
      </c>
      <c r="W39" s="16">
        <f t="shared" si="31"/>
        <v>14</v>
      </c>
      <c r="X39" s="16">
        <f t="shared" si="31"/>
        <v>19</v>
      </c>
      <c r="Y39" s="16">
        <f t="shared" si="31"/>
        <v>198</v>
      </c>
      <c r="Z39" s="16">
        <f t="shared" si="31"/>
        <v>63</v>
      </c>
      <c r="AA39" s="16">
        <f t="shared" si="31"/>
        <v>32</v>
      </c>
      <c r="AB39" s="16">
        <f t="shared" si="31"/>
        <v>37</v>
      </c>
      <c r="AC39" s="16">
        <f t="shared" si="31"/>
        <v>300</v>
      </c>
      <c r="AD39" s="16">
        <f t="shared" si="31"/>
        <v>0</v>
      </c>
      <c r="AE39" s="32">
        <f t="shared" si="31"/>
        <v>1062</v>
      </c>
      <c r="AF39" s="32">
        <f t="shared" si="31"/>
        <v>1362</v>
      </c>
    </row>
    <row r="40" spans="2:32" ht="23.1" customHeight="1" x14ac:dyDescent="0.25">
      <c r="B40" s="46" t="s">
        <v>67</v>
      </c>
      <c r="C40" s="50">
        <v>35</v>
      </c>
      <c r="D40" s="50">
        <v>5</v>
      </c>
      <c r="E40" s="50">
        <v>6</v>
      </c>
      <c r="F40" s="50">
        <v>19</v>
      </c>
      <c r="G40" s="50">
        <v>0</v>
      </c>
      <c r="H40" s="50">
        <v>2</v>
      </c>
      <c r="I40" s="50">
        <v>13</v>
      </c>
      <c r="J40" s="50">
        <v>3</v>
      </c>
      <c r="K40" s="50">
        <v>1</v>
      </c>
      <c r="L40" s="50">
        <v>1</v>
      </c>
      <c r="M40" s="50">
        <v>30</v>
      </c>
      <c r="N40" s="50">
        <v>0</v>
      </c>
      <c r="O40" s="15">
        <f t="shared" si="0"/>
        <v>85</v>
      </c>
      <c r="P40" s="15">
        <f t="shared" si="1"/>
        <v>115</v>
      </c>
      <c r="R40" s="5" t="s">
        <v>17</v>
      </c>
      <c r="S40" s="16">
        <f t="shared" ref="S40:AF40" si="32">SUM(S10:S21)</f>
        <v>1281</v>
      </c>
      <c r="T40" s="16">
        <f t="shared" si="32"/>
        <v>511</v>
      </c>
      <c r="U40" s="16">
        <f t="shared" si="32"/>
        <v>192</v>
      </c>
      <c r="V40" s="16">
        <f t="shared" si="32"/>
        <v>1282</v>
      </c>
      <c r="W40" s="16">
        <f t="shared" si="32"/>
        <v>59</v>
      </c>
      <c r="X40" s="16">
        <f t="shared" si="32"/>
        <v>66</v>
      </c>
      <c r="Y40" s="16">
        <f t="shared" si="32"/>
        <v>867</v>
      </c>
      <c r="Z40" s="16">
        <f t="shared" si="32"/>
        <v>165</v>
      </c>
      <c r="AA40" s="16">
        <f t="shared" si="32"/>
        <v>128</v>
      </c>
      <c r="AB40" s="16">
        <f t="shared" si="32"/>
        <v>139</v>
      </c>
      <c r="AC40" s="16">
        <f t="shared" si="32"/>
        <v>1216</v>
      </c>
      <c r="AD40" s="16">
        <f t="shared" si="32"/>
        <v>0</v>
      </c>
      <c r="AE40" s="32">
        <f t="shared" si="32"/>
        <v>4690</v>
      </c>
      <c r="AF40" s="32">
        <f t="shared" si="32"/>
        <v>5906</v>
      </c>
    </row>
    <row r="41" spans="2:32" ht="23.1" customHeight="1" x14ac:dyDescent="0.25">
      <c r="B41" s="45" t="s">
        <v>68</v>
      </c>
      <c r="C41" s="50">
        <v>33</v>
      </c>
      <c r="D41" s="50">
        <v>6</v>
      </c>
      <c r="E41" s="50">
        <v>2</v>
      </c>
      <c r="F41" s="50">
        <v>25</v>
      </c>
      <c r="G41" s="50">
        <v>0</v>
      </c>
      <c r="H41" s="50">
        <v>2</v>
      </c>
      <c r="I41" s="50">
        <v>28</v>
      </c>
      <c r="J41" s="50">
        <v>0</v>
      </c>
      <c r="K41" s="50">
        <v>1</v>
      </c>
      <c r="L41" s="50">
        <v>2</v>
      </c>
      <c r="M41" s="50">
        <v>19</v>
      </c>
      <c r="N41" s="50">
        <v>0</v>
      </c>
      <c r="O41" s="15">
        <f t="shared" si="0"/>
        <v>99</v>
      </c>
      <c r="P41" s="15">
        <f t="shared" si="1"/>
        <v>118</v>
      </c>
      <c r="R41" s="5" t="s">
        <v>159</v>
      </c>
      <c r="S41" s="16">
        <f>SUM(S10:S33)</f>
        <v>1583</v>
      </c>
      <c r="T41" s="16">
        <f t="shared" ref="T41:AF41" si="33">SUM(T10:T33)</f>
        <v>714</v>
      </c>
      <c r="U41" s="16">
        <f t="shared" si="33"/>
        <v>257</v>
      </c>
      <c r="V41" s="16">
        <f t="shared" si="33"/>
        <v>1612</v>
      </c>
      <c r="W41" s="16">
        <f t="shared" si="33"/>
        <v>77</v>
      </c>
      <c r="X41" s="16">
        <f t="shared" si="33"/>
        <v>122</v>
      </c>
      <c r="Y41" s="16">
        <f t="shared" si="33"/>
        <v>1202</v>
      </c>
      <c r="Z41" s="16">
        <f t="shared" si="33"/>
        <v>317</v>
      </c>
      <c r="AA41" s="16">
        <f t="shared" si="33"/>
        <v>358</v>
      </c>
      <c r="AB41" s="16">
        <f t="shared" si="33"/>
        <v>246</v>
      </c>
      <c r="AC41" s="16">
        <f t="shared" si="33"/>
        <v>1376</v>
      </c>
      <c r="AD41" s="16">
        <f t="shared" si="33"/>
        <v>0</v>
      </c>
      <c r="AE41" s="32">
        <f t="shared" si="33"/>
        <v>6488</v>
      </c>
      <c r="AF41" s="32">
        <f t="shared" si="33"/>
        <v>7864</v>
      </c>
    </row>
    <row r="42" spans="2:32" ht="23.1" customHeight="1" x14ac:dyDescent="0.25">
      <c r="B42" s="46" t="s">
        <v>69</v>
      </c>
      <c r="C42" s="50">
        <v>37</v>
      </c>
      <c r="D42" s="50">
        <v>6</v>
      </c>
      <c r="E42" s="50">
        <v>4</v>
      </c>
      <c r="F42" s="50">
        <v>21</v>
      </c>
      <c r="G42" s="50">
        <v>2</v>
      </c>
      <c r="H42" s="50">
        <v>1</v>
      </c>
      <c r="I42" s="50">
        <v>21</v>
      </c>
      <c r="J42" s="50">
        <v>2</v>
      </c>
      <c r="K42" s="50">
        <v>1</v>
      </c>
      <c r="L42" s="50">
        <v>1</v>
      </c>
      <c r="M42" s="50">
        <v>19</v>
      </c>
      <c r="N42" s="50">
        <v>0</v>
      </c>
      <c r="O42" s="15">
        <f t="shared" si="0"/>
        <v>96</v>
      </c>
      <c r="P42" s="15">
        <f t="shared" si="1"/>
        <v>115</v>
      </c>
      <c r="R42" s="5" t="s">
        <v>160</v>
      </c>
      <c r="S42" s="48">
        <f>S41/S40</f>
        <v>1.2357533177205309</v>
      </c>
      <c r="T42" s="48">
        <f t="shared" ref="T42:AF42" si="34">T41/T40</f>
        <v>1.3972602739726028</v>
      </c>
      <c r="U42" s="48">
        <f t="shared" si="34"/>
        <v>1.3385416666666667</v>
      </c>
      <c r="V42" s="48">
        <f t="shared" si="34"/>
        <v>1.2574102964118565</v>
      </c>
      <c r="W42" s="48">
        <f t="shared" si="34"/>
        <v>1.3050847457627119</v>
      </c>
      <c r="X42" s="48">
        <f t="shared" si="34"/>
        <v>1.8484848484848484</v>
      </c>
      <c r="Y42" s="48">
        <f t="shared" si="34"/>
        <v>1.3863898500576701</v>
      </c>
      <c r="Z42" s="48">
        <f t="shared" si="34"/>
        <v>1.9212121212121211</v>
      </c>
      <c r="AA42" s="48">
        <f t="shared" si="34"/>
        <v>2.796875</v>
      </c>
      <c r="AB42" s="48">
        <f t="shared" si="34"/>
        <v>1.7697841726618706</v>
      </c>
      <c r="AC42" s="48">
        <f t="shared" si="34"/>
        <v>1.131578947368421</v>
      </c>
      <c r="AD42" s="48" t="e">
        <f t="shared" si="34"/>
        <v>#DIV/0!</v>
      </c>
      <c r="AE42" s="48">
        <f t="shared" si="34"/>
        <v>1.383368869936034</v>
      </c>
      <c r="AF42" s="48">
        <f t="shared" si="34"/>
        <v>1.3315272604131392</v>
      </c>
    </row>
    <row r="43" spans="2:32" ht="23.1" customHeight="1" x14ac:dyDescent="0.25">
      <c r="B43" s="45" t="s">
        <v>70</v>
      </c>
      <c r="C43" s="50">
        <v>37</v>
      </c>
      <c r="D43" s="50">
        <v>7</v>
      </c>
      <c r="E43" s="50">
        <v>7</v>
      </c>
      <c r="F43" s="50">
        <v>30</v>
      </c>
      <c r="G43" s="50">
        <v>0</v>
      </c>
      <c r="H43" s="50">
        <v>3</v>
      </c>
      <c r="I43" s="50">
        <v>29</v>
      </c>
      <c r="J43" s="50">
        <v>0</v>
      </c>
      <c r="K43" s="50">
        <v>1</v>
      </c>
      <c r="L43" s="50">
        <v>10</v>
      </c>
      <c r="M43" s="50">
        <v>21</v>
      </c>
      <c r="N43" s="50">
        <v>0</v>
      </c>
      <c r="O43" s="15">
        <f t="shared" si="0"/>
        <v>124</v>
      </c>
      <c r="P43" s="15">
        <f t="shared" si="1"/>
        <v>145</v>
      </c>
    </row>
    <row r="44" spans="2:32" ht="23.1" customHeight="1" x14ac:dyDescent="0.25">
      <c r="B44" s="47" t="s">
        <v>71</v>
      </c>
      <c r="C44" s="50">
        <v>23</v>
      </c>
      <c r="D44" s="50">
        <v>6</v>
      </c>
      <c r="E44" s="50">
        <v>3</v>
      </c>
      <c r="F44" s="50">
        <v>28</v>
      </c>
      <c r="G44" s="50">
        <v>0</v>
      </c>
      <c r="H44" s="50">
        <v>1</v>
      </c>
      <c r="I44" s="50">
        <v>11</v>
      </c>
      <c r="J44" s="50">
        <v>2</v>
      </c>
      <c r="K44" s="50">
        <v>0</v>
      </c>
      <c r="L44" s="50">
        <v>5</v>
      </c>
      <c r="M44" s="50">
        <v>13</v>
      </c>
      <c r="N44" s="50">
        <v>0</v>
      </c>
      <c r="O44" s="15">
        <f t="shared" si="0"/>
        <v>79</v>
      </c>
      <c r="P44" s="15">
        <f t="shared" si="1"/>
        <v>92</v>
      </c>
    </row>
    <row r="45" spans="2:32" ht="23.1" customHeight="1" x14ac:dyDescent="0.25">
      <c r="B45" s="45" t="s">
        <v>72</v>
      </c>
      <c r="C45" s="50">
        <v>23</v>
      </c>
      <c r="D45" s="50">
        <v>7</v>
      </c>
      <c r="E45" s="50">
        <v>6</v>
      </c>
      <c r="F45" s="50">
        <v>13</v>
      </c>
      <c r="G45" s="50">
        <v>1</v>
      </c>
      <c r="H45" s="50">
        <v>0</v>
      </c>
      <c r="I45" s="50">
        <v>13</v>
      </c>
      <c r="J45" s="50">
        <v>0</v>
      </c>
      <c r="K45" s="50">
        <v>0</v>
      </c>
      <c r="L45" s="50">
        <v>5</v>
      </c>
      <c r="M45" s="50">
        <v>19</v>
      </c>
      <c r="N45" s="50">
        <v>0</v>
      </c>
      <c r="O45" s="15">
        <f t="shared" si="0"/>
        <v>68</v>
      </c>
      <c r="P45" s="15">
        <f t="shared" si="1"/>
        <v>87</v>
      </c>
    </row>
    <row r="46" spans="2:32" ht="23.1" customHeight="1" x14ac:dyDescent="0.25">
      <c r="B46" s="46" t="s">
        <v>73</v>
      </c>
      <c r="C46" s="50">
        <v>27</v>
      </c>
      <c r="D46" s="50">
        <v>8</v>
      </c>
      <c r="E46" s="50">
        <v>7</v>
      </c>
      <c r="F46" s="50">
        <v>31</v>
      </c>
      <c r="G46" s="50">
        <v>1</v>
      </c>
      <c r="H46" s="50">
        <v>3</v>
      </c>
      <c r="I46" s="50">
        <v>22</v>
      </c>
      <c r="J46" s="50">
        <v>2</v>
      </c>
      <c r="K46" s="50">
        <v>0</v>
      </c>
      <c r="L46" s="50">
        <v>3</v>
      </c>
      <c r="M46" s="50">
        <v>29</v>
      </c>
      <c r="N46" s="50">
        <v>0</v>
      </c>
      <c r="O46" s="15">
        <f t="shared" si="0"/>
        <v>104</v>
      </c>
      <c r="P46" s="15">
        <f t="shared" si="1"/>
        <v>133</v>
      </c>
      <c r="R46" s="8"/>
      <c r="T46"/>
    </row>
    <row r="47" spans="2:32" ht="23.1" customHeight="1" x14ac:dyDescent="0.25">
      <c r="B47" s="46" t="s">
        <v>74</v>
      </c>
      <c r="C47" s="50">
        <v>33</v>
      </c>
      <c r="D47" s="50">
        <v>4</v>
      </c>
      <c r="E47" s="50">
        <v>4</v>
      </c>
      <c r="F47" s="50">
        <v>29</v>
      </c>
      <c r="G47" s="50">
        <v>1</v>
      </c>
      <c r="H47" s="50">
        <v>0</v>
      </c>
      <c r="I47" s="50">
        <v>21</v>
      </c>
      <c r="J47" s="50">
        <v>4</v>
      </c>
      <c r="K47" s="50">
        <v>1</v>
      </c>
      <c r="L47" s="50">
        <v>5</v>
      </c>
      <c r="M47" s="50">
        <v>20</v>
      </c>
      <c r="N47" s="50">
        <v>0</v>
      </c>
      <c r="O47" s="15">
        <f t="shared" si="0"/>
        <v>102</v>
      </c>
      <c r="P47" s="15">
        <f t="shared" si="1"/>
        <v>122</v>
      </c>
      <c r="R47" s="8"/>
      <c r="T47"/>
    </row>
    <row r="48" spans="2:32" ht="23.1" customHeight="1" x14ac:dyDescent="0.25">
      <c r="B48" s="46" t="s">
        <v>75</v>
      </c>
      <c r="C48" s="50">
        <v>22</v>
      </c>
      <c r="D48" s="50">
        <v>6</v>
      </c>
      <c r="E48" s="50">
        <v>3</v>
      </c>
      <c r="F48" s="50">
        <v>25</v>
      </c>
      <c r="G48" s="50">
        <v>1</v>
      </c>
      <c r="H48" s="50">
        <v>2</v>
      </c>
      <c r="I48" s="50">
        <v>25</v>
      </c>
      <c r="J48" s="50">
        <v>2</v>
      </c>
      <c r="K48" s="50">
        <v>0</v>
      </c>
      <c r="L48" s="50">
        <v>1</v>
      </c>
      <c r="M48" s="50">
        <v>41</v>
      </c>
      <c r="N48" s="50">
        <v>0</v>
      </c>
      <c r="O48" s="15">
        <f t="shared" si="0"/>
        <v>87</v>
      </c>
      <c r="P48" s="15">
        <f t="shared" si="1"/>
        <v>128</v>
      </c>
      <c r="R48" s="8"/>
      <c r="T48"/>
    </row>
    <row r="49" spans="2:20" ht="23.1" customHeight="1" x14ac:dyDescent="0.25">
      <c r="B49" s="45" t="s">
        <v>76</v>
      </c>
      <c r="C49" s="50">
        <v>28</v>
      </c>
      <c r="D49" s="50">
        <v>4</v>
      </c>
      <c r="E49" s="50">
        <v>3</v>
      </c>
      <c r="F49" s="50">
        <v>19</v>
      </c>
      <c r="G49" s="50">
        <v>2</v>
      </c>
      <c r="H49" s="50">
        <v>3</v>
      </c>
      <c r="I49" s="50">
        <v>16</v>
      </c>
      <c r="J49" s="50">
        <v>3</v>
      </c>
      <c r="K49" s="50">
        <v>3</v>
      </c>
      <c r="L49" s="50">
        <v>5</v>
      </c>
      <c r="M49" s="50">
        <v>23</v>
      </c>
      <c r="N49" s="50">
        <v>0</v>
      </c>
      <c r="O49" s="15">
        <f t="shared" si="0"/>
        <v>86</v>
      </c>
      <c r="P49" s="15">
        <f t="shared" si="1"/>
        <v>109</v>
      </c>
      <c r="R49" s="8"/>
      <c r="T49"/>
    </row>
    <row r="50" spans="2:20" ht="23.1" customHeight="1" x14ac:dyDescent="0.25">
      <c r="B50" s="46" t="s">
        <v>77</v>
      </c>
      <c r="C50" s="50">
        <v>21</v>
      </c>
      <c r="D50" s="50">
        <v>7</v>
      </c>
      <c r="E50" s="50">
        <v>8</v>
      </c>
      <c r="F50" s="50">
        <v>24</v>
      </c>
      <c r="G50" s="50">
        <v>1</v>
      </c>
      <c r="H50" s="50">
        <v>0</v>
      </c>
      <c r="I50" s="50">
        <v>19</v>
      </c>
      <c r="J50" s="50">
        <v>2</v>
      </c>
      <c r="K50" s="50">
        <v>3</v>
      </c>
      <c r="L50" s="50">
        <v>5</v>
      </c>
      <c r="M50" s="50">
        <v>20</v>
      </c>
      <c r="N50" s="50">
        <v>0</v>
      </c>
      <c r="O50" s="15">
        <f t="shared" si="0"/>
        <v>90</v>
      </c>
      <c r="P50" s="15">
        <f t="shared" si="1"/>
        <v>110</v>
      </c>
      <c r="R50" s="8"/>
      <c r="T50"/>
    </row>
    <row r="51" spans="2:20" ht="23.1" customHeight="1" x14ac:dyDescent="0.25">
      <c r="B51" s="46" t="s">
        <v>78</v>
      </c>
      <c r="C51" s="50">
        <v>30</v>
      </c>
      <c r="D51" s="50">
        <v>5</v>
      </c>
      <c r="E51" s="50">
        <v>2</v>
      </c>
      <c r="F51" s="50">
        <v>29</v>
      </c>
      <c r="G51" s="50">
        <v>1</v>
      </c>
      <c r="H51" s="50">
        <v>2</v>
      </c>
      <c r="I51" s="50">
        <v>15</v>
      </c>
      <c r="J51" s="50">
        <v>4</v>
      </c>
      <c r="K51" s="50">
        <v>0</v>
      </c>
      <c r="L51" s="50">
        <v>5</v>
      </c>
      <c r="M51" s="50">
        <v>30</v>
      </c>
      <c r="N51" s="50">
        <v>0</v>
      </c>
      <c r="O51" s="15">
        <f t="shared" si="0"/>
        <v>93</v>
      </c>
      <c r="P51" s="15">
        <f t="shared" si="1"/>
        <v>123</v>
      </c>
      <c r="R51" s="8"/>
      <c r="T51"/>
    </row>
    <row r="52" spans="2:20" ht="23.1" customHeight="1" x14ac:dyDescent="0.25">
      <c r="B52" s="46" t="s">
        <v>79</v>
      </c>
      <c r="C52" s="50">
        <v>18</v>
      </c>
      <c r="D52" s="50">
        <v>7</v>
      </c>
      <c r="E52" s="50">
        <v>8</v>
      </c>
      <c r="F52" s="50">
        <v>32</v>
      </c>
      <c r="G52" s="50">
        <v>3</v>
      </c>
      <c r="H52" s="50">
        <v>3</v>
      </c>
      <c r="I52" s="50">
        <v>15</v>
      </c>
      <c r="J52" s="50">
        <v>3</v>
      </c>
      <c r="K52" s="50">
        <v>4</v>
      </c>
      <c r="L52" s="50">
        <v>2</v>
      </c>
      <c r="M52" s="50">
        <v>18</v>
      </c>
      <c r="N52" s="50">
        <v>0</v>
      </c>
      <c r="O52" s="15">
        <f t="shared" si="0"/>
        <v>95</v>
      </c>
      <c r="P52" s="15">
        <f t="shared" si="1"/>
        <v>113</v>
      </c>
      <c r="R52" s="8"/>
      <c r="T52"/>
    </row>
    <row r="53" spans="2:20" ht="23.1" customHeight="1" x14ac:dyDescent="0.25">
      <c r="B53" s="45" t="s">
        <v>80</v>
      </c>
      <c r="C53" s="50">
        <v>19</v>
      </c>
      <c r="D53" s="50">
        <v>5</v>
      </c>
      <c r="E53" s="50">
        <v>5</v>
      </c>
      <c r="F53" s="50">
        <v>31</v>
      </c>
      <c r="G53" s="50">
        <v>1</v>
      </c>
      <c r="H53" s="50">
        <v>2</v>
      </c>
      <c r="I53" s="50">
        <v>7</v>
      </c>
      <c r="J53" s="50">
        <v>7</v>
      </c>
      <c r="K53" s="50">
        <v>1</v>
      </c>
      <c r="L53" s="50">
        <v>1</v>
      </c>
      <c r="M53" s="50">
        <v>19</v>
      </c>
      <c r="N53" s="50">
        <v>0</v>
      </c>
      <c r="O53" s="15">
        <f t="shared" si="0"/>
        <v>79</v>
      </c>
      <c r="P53" s="15">
        <f t="shared" si="1"/>
        <v>98</v>
      </c>
      <c r="R53" s="8"/>
      <c r="T53"/>
    </row>
    <row r="54" spans="2:20" ht="23.1" customHeight="1" x14ac:dyDescent="0.25">
      <c r="B54" s="45" t="s">
        <v>81</v>
      </c>
      <c r="C54" s="50">
        <v>15</v>
      </c>
      <c r="D54" s="50">
        <v>7</v>
      </c>
      <c r="E54" s="50">
        <v>3</v>
      </c>
      <c r="F54" s="50">
        <v>31</v>
      </c>
      <c r="G54" s="50">
        <v>1</v>
      </c>
      <c r="H54" s="50">
        <v>1</v>
      </c>
      <c r="I54" s="50">
        <v>20</v>
      </c>
      <c r="J54" s="50">
        <v>10</v>
      </c>
      <c r="K54" s="50">
        <v>6</v>
      </c>
      <c r="L54" s="50">
        <v>1</v>
      </c>
      <c r="M54" s="50">
        <v>21</v>
      </c>
      <c r="N54" s="50">
        <v>0</v>
      </c>
      <c r="O54" s="15">
        <f t="shared" si="0"/>
        <v>95</v>
      </c>
      <c r="P54" s="15">
        <f t="shared" si="1"/>
        <v>116</v>
      </c>
      <c r="R54" s="8"/>
      <c r="T54"/>
    </row>
    <row r="55" spans="2:20" ht="23.1" customHeight="1" x14ac:dyDescent="0.25">
      <c r="B55" s="45" t="s">
        <v>82</v>
      </c>
      <c r="C55" s="50">
        <v>15</v>
      </c>
      <c r="D55" s="50">
        <v>3</v>
      </c>
      <c r="E55" s="50">
        <v>5</v>
      </c>
      <c r="F55" s="50">
        <v>20</v>
      </c>
      <c r="G55" s="50">
        <v>2</v>
      </c>
      <c r="H55" s="50">
        <v>0</v>
      </c>
      <c r="I55" s="50">
        <v>10</v>
      </c>
      <c r="J55" s="50">
        <v>6</v>
      </c>
      <c r="K55" s="50">
        <v>2</v>
      </c>
      <c r="L55" s="50">
        <v>3</v>
      </c>
      <c r="M55" s="50">
        <v>23</v>
      </c>
      <c r="N55" s="50">
        <v>0</v>
      </c>
      <c r="O55" s="15">
        <f t="shared" si="0"/>
        <v>66</v>
      </c>
      <c r="P55" s="15">
        <f t="shared" si="1"/>
        <v>89</v>
      </c>
      <c r="R55" s="8"/>
      <c r="T55"/>
    </row>
    <row r="56" spans="2:20" ht="23.1" customHeight="1" x14ac:dyDescent="0.25">
      <c r="B56" s="45" t="s">
        <v>83</v>
      </c>
      <c r="C56" s="50">
        <v>16</v>
      </c>
      <c r="D56" s="50">
        <v>2</v>
      </c>
      <c r="E56" s="50">
        <v>4</v>
      </c>
      <c r="F56" s="50">
        <v>23</v>
      </c>
      <c r="G56" s="50">
        <v>0</v>
      </c>
      <c r="H56" s="50">
        <v>0</v>
      </c>
      <c r="I56" s="50">
        <v>14</v>
      </c>
      <c r="J56" s="50">
        <v>16</v>
      </c>
      <c r="K56" s="50">
        <v>5</v>
      </c>
      <c r="L56" s="50">
        <v>2</v>
      </c>
      <c r="M56" s="50">
        <v>35</v>
      </c>
      <c r="N56" s="50">
        <v>0</v>
      </c>
      <c r="O56" s="15">
        <f t="shared" si="0"/>
        <v>82</v>
      </c>
      <c r="P56" s="15">
        <f t="shared" si="1"/>
        <v>117</v>
      </c>
      <c r="R56" s="8"/>
      <c r="T56"/>
    </row>
    <row r="57" spans="2:20" ht="23.1" customHeight="1" x14ac:dyDescent="0.25">
      <c r="B57" s="45" t="s">
        <v>84</v>
      </c>
      <c r="C57" s="50">
        <v>23</v>
      </c>
      <c r="D57" s="50">
        <v>3</v>
      </c>
      <c r="E57" s="50">
        <v>3</v>
      </c>
      <c r="F57" s="50">
        <v>22</v>
      </c>
      <c r="G57" s="50">
        <v>0</v>
      </c>
      <c r="H57" s="50">
        <v>3</v>
      </c>
      <c r="I57" s="50">
        <v>14</v>
      </c>
      <c r="J57" s="50">
        <v>4</v>
      </c>
      <c r="K57" s="50">
        <v>7</v>
      </c>
      <c r="L57" s="50">
        <v>4</v>
      </c>
      <c r="M57" s="50">
        <v>21</v>
      </c>
      <c r="N57" s="50">
        <v>0</v>
      </c>
      <c r="O57" s="15">
        <f t="shared" si="0"/>
        <v>83</v>
      </c>
      <c r="P57" s="15">
        <f t="shared" si="1"/>
        <v>104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3</v>
      </c>
      <c r="E58" s="50">
        <v>5</v>
      </c>
      <c r="F58" s="50">
        <v>11</v>
      </c>
      <c r="G58" s="50">
        <v>0</v>
      </c>
      <c r="H58" s="50">
        <v>0</v>
      </c>
      <c r="I58" s="50">
        <v>2</v>
      </c>
      <c r="J58" s="50">
        <v>2</v>
      </c>
      <c r="K58" s="50">
        <v>5</v>
      </c>
      <c r="L58" s="50">
        <v>0</v>
      </c>
      <c r="M58" s="50">
        <v>6</v>
      </c>
      <c r="N58" s="50">
        <v>0</v>
      </c>
      <c r="O58" s="15">
        <f t="shared" si="0"/>
        <v>31</v>
      </c>
      <c r="P58" s="15">
        <f t="shared" si="1"/>
        <v>37</v>
      </c>
      <c r="R58" s="8"/>
      <c r="T58"/>
    </row>
    <row r="59" spans="2:20" ht="23.1" customHeight="1" x14ac:dyDescent="0.25">
      <c r="B59" s="45" t="s">
        <v>100</v>
      </c>
      <c r="C59" s="50">
        <v>5</v>
      </c>
      <c r="D59" s="50">
        <v>9</v>
      </c>
      <c r="E59" s="50">
        <v>0</v>
      </c>
      <c r="F59" s="50">
        <v>13</v>
      </c>
      <c r="G59" s="50">
        <v>1</v>
      </c>
      <c r="H59" s="50">
        <v>2</v>
      </c>
      <c r="I59" s="50">
        <v>9</v>
      </c>
      <c r="J59" s="50">
        <v>4</v>
      </c>
      <c r="K59" s="50">
        <v>5</v>
      </c>
      <c r="L59" s="50">
        <v>5</v>
      </c>
      <c r="M59" s="50">
        <v>9</v>
      </c>
      <c r="N59" s="50">
        <v>0</v>
      </c>
      <c r="O59" s="15">
        <f t="shared" si="0"/>
        <v>53</v>
      </c>
      <c r="P59" s="15">
        <f t="shared" si="1"/>
        <v>62</v>
      </c>
      <c r="R59" s="8"/>
      <c r="T59"/>
    </row>
    <row r="60" spans="2:20" ht="23.1" customHeight="1" x14ac:dyDescent="0.25">
      <c r="B60" s="45" t="s">
        <v>101</v>
      </c>
      <c r="C60" s="50">
        <v>7</v>
      </c>
      <c r="D60" s="50">
        <v>2</v>
      </c>
      <c r="E60" s="50">
        <v>0</v>
      </c>
      <c r="F60" s="50">
        <v>18</v>
      </c>
      <c r="G60" s="50">
        <v>1</v>
      </c>
      <c r="H60" s="50">
        <v>1</v>
      </c>
      <c r="I60" s="50">
        <v>5</v>
      </c>
      <c r="J60" s="50">
        <v>2</v>
      </c>
      <c r="K60" s="50">
        <v>7</v>
      </c>
      <c r="L60" s="50">
        <v>0</v>
      </c>
      <c r="M60" s="50">
        <v>6</v>
      </c>
      <c r="N60" s="50">
        <v>0</v>
      </c>
      <c r="O60" s="15">
        <f t="shared" si="0"/>
        <v>43</v>
      </c>
      <c r="P60" s="15">
        <f t="shared" si="1"/>
        <v>49</v>
      </c>
      <c r="R60" s="8"/>
      <c r="T60"/>
    </row>
    <row r="61" spans="2:20" ht="23.1" customHeight="1" x14ac:dyDescent="0.25">
      <c r="B61" s="45" t="s">
        <v>102</v>
      </c>
      <c r="C61" s="50">
        <v>11</v>
      </c>
      <c r="D61" s="50">
        <v>6</v>
      </c>
      <c r="E61" s="50">
        <v>3</v>
      </c>
      <c r="F61" s="50">
        <v>20</v>
      </c>
      <c r="G61" s="50">
        <v>1</v>
      </c>
      <c r="H61" s="50">
        <v>0</v>
      </c>
      <c r="I61" s="50">
        <v>7</v>
      </c>
      <c r="J61" s="50">
        <v>8</v>
      </c>
      <c r="K61" s="50">
        <v>11</v>
      </c>
      <c r="L61" s="50">
        <v>12</v>
      </c>
      <c r="M61" s="50">
        <v>11</v>
      </c>
      <c r="N61" s="50">
        <v>0</v>
      </c>
      <c r="O61" s="15">
        <f t="shared" si="0"/>
        <v>79</v>
      </c>
      <c r="P61" s="15">
        <f t="shared" si="1"/>
        <v>90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11</v>
      </c>
      <c r="E62" s="50">
        <v>3</v>
      </c>
      <c r="F62" s="50">
        <v>18</v>
      </c>
      <c r="G62" s="50">
        <v>0</v>
      </c>
      <c r="H62" s="50">
        <v>0</v>
      </c>
      <c r="I62" s="50">
        <v>9</v>
      </c>
      <c r="J62" s="50">
        <v>5</v>
      </c>
      <c r="K62" s="50">
        <v>6</v>
      </c>
      <c r="L62" s="50">
        <v>2</v>
      </c>
      <c r="M62" s="50">
        <v>10</v>
      </c>
      <c r="N62" s="50">
        <v>0</v>
      </c>
      <c r="O62" s="15">
        <f t="shared" si="0"/>
        <v>62</v>
      </c>
      <c r="P62" s="15">
        <f t="shared" si="1"/>
        <v>72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8</v>
      </c>
      <c r="E63" s="50">
        <v>3</v>
      </c>
      <c r="F63" s="50">
        <v>21</v>
      </c>
      <c r="G63" s="50">
        <v>2</v>
      </c>
      <c r="H63" s="50">
        <v>2</v>
      </c>
      <c r="I63" s="50">
        <v>5</v>
      </c>
      <c r="J63" s="50">
        <v>4</v>
      </c>
      <c r="K63" s="50">
        <v>9</v>
      </c>
      <c r="L63" s="50">
        <v>2</v>
      </c>
      <c r="M63" s="50">
        <v>8</v>
      </c>
      <c r="N63" s="50">
        <v>0</v>
      </c>
      <c r="O63" s="15">
        <f t="shared" si="0"/>
        <v>67</v>
      </c>
      <c r="P63" s="15">
        <f t="shared" si="1"/>
        <v>75</v>
      </c>
      <c r="R63" s="8"/>
      <c r="T63"/>
    </row>
    <row r="64" spans="2:20" ht="23.1" customHeight="1" x14ac:dyDescent="0.25">
      <c r="B64" s="45" t="s">
        <v>109</v>
      </c>
      <c r="C64" s="50">
        <v>15</v>
      </c>
      <c r="D64" s="50">
        <v>9</v>
      </c>
      <c r="E64" s="50">
        <v>0</v>
      </c>
      <c r="F64" s="50">
        <v>14</v>
      </c>
      <c r="G64" s="50">
        <v>0</v>
      </c>
      <c r="H64" s="50">
        <v>1</v>
      </c>
      <c r="I64" s="50">
        <v>8</v>
      </c>
      <c r="J64" s="50">
        <v>0</v>
      </c>
      <c r="K64" s="50">
        <v>11</v>
      </c>
      <c r="L64" s="50">
        <v>3</v>
      </c>
      <c r="M64" s="50">
        <v>10</v>
      </c>
      <c r="N64" s="50">
        <v>0</v>
      </c>
      <c r="O64" s="15">
        <f t="shared" si="0"/>
        <v>61</v>
      </c>
      <c r="P64" s="15">
        <f t="shared" si="1"/>
        <v>71</v>
      </c>
      <c r="R64" s="8"/>
      <c r="T64"/>
    </row>
    <row r="65" spans="2:20" ht="23.1" customHeight="1" x14ac:dyDescent="0.25">
      <c r="B65" s="45" t="s">
        <v>158</v>
      </c>
      <c r="C65" s="50">
        <v>5</v>
      </c>
      <c r="D65" s="50">
        <v>9</v>
      </c>
      <c r="E65" s="50">
        <v>3</v>
      </c>
      <c r="F65" s="50">
        <v>19</v>
      </c>
      <c r="G65" s="50">
        <v>2</v>
      </c>
      <c r="H65" s="50">
        <v>1</v>
      </c>
      <c r="I65" s="50">
        <v>21</v>
      </c>
      <c r="J65" s="50">
        <v>4</v>
      </c>
      <c r="K65" s="50">
        <v>5</v>
      </c>
      <c r="L65" s="50">
        <v>2</v>
      </c>
      <c r="M65" s="50">
        <v>9</v>
      </c>
      <c r="N65" s="50">
        <v>0</v>
      </c>
      <c r="O65" s="15">
        <f t="shared" si="0"/>
        <v>71</v>
      </c>
      <c r="P65" s="15">
        <f t="shared" si="1"/>
        <v>80</v>
      </c>
      <c r="R65" s="8"/>
      <c r="T65"/>
    </row>
    <row r="66" spans="2:20" ht="23.1" customHeight="1" x14ac:dyDescent="0.25">
      <c r="B66" s="45" t="s">
        <v>103</v>
      </c>
      <c r="C66" s="50">
        <v>9</v>
      </c>
      <c r="D66" s="50">
        <v>5</v>
      </c>
      <c r="E66" s="50">
        <v>2</v>
      </c>
      <c r="F66" s="50">
        <v>16</v>
      </c>
      <c r="G66" s="50">
        <v>0</v>
      </c>
      <c r="H66" s="50">
        <v>2</v>
      </c>
      <c r="I66" s="50">
        <v>7</v>
      </c>
      <c r="J66" s="50">
        <v>3</v>
      </c>
      <c r="K66" s="50">
        <v>5</v>
      </c>
      <c r="L66" s="50">
        <v>2</v>
      </c>
      <c r="M66" s="50">
        <v>4</v>
      </c>
      <c r="N66" s="50">
        <v>0</v>
      </c>
      <c r="O66" s="15">
        <f t="shared" si="0"/>
        <v>51</v>
      </c>
      <c r="P66" s="15">
        <f t="shared" si="1"/>
        <v>55</v>
      </c>
      <c r="R66" s="8"/>
      <c r="T66"/>
    </row>
    <row r="67" spans="2:20" ht="23.1" customHeight="1" x14ac:dyDescent="0.25">
      <c r="B67" s="45" t="s">
        <v>104</v>
      </c>
      <c r="C67" s="50">
        <v>14</v>
      </c>
      <c r="D67" s="50">
        <v>8</v>
      </c>
      <c r="E67" s="50">
        <v>3</v>
      </c>
      <c r="F67" s="50">
        <v>18</v>
      </c>
      <c r="G67" s="50">
        <v>0</v>
      </c>
      <c r="H67" s="50">
        <v>1</v>
      </c>
      <c r="I67" s="50">
        <v>11</v>
      </c>
      <c r="J67" s="50">
        <v>1</v>
      </c>
      <c r="K67" s="50">
        <v>11</v>
      </c>
      <c r="L67" s="50">
        <v>5</v>
      </c>
      <c r="M67" s="50">
        <v>8</v>
      </c>
      <c r="N67" s="50">
        <v>0</v>
      </c>
      <c r="O67" s="15">
        <f t="shared" si="0"/>
        <v>72</v>
      </c>
      <c r="P67" s="15">
        <f t="shared" si="1"/>
        <v>80</v>
      </c>
      <c r="R67" s="8"/>
      <c r="T67"/>
    </row>
    <row r="68" spans="2:20" ht="23.1" customHeight="1" x14ac:dyDescent="0.25">
      <c r="B68" s="45" t="s">
        <v>105</v>
      </c>
      <c r="C68" s="50">
        <v>7</v>
      </c>
      <c r="D68" s="50">
        <v>4</v>
      </c>
      <c r="E68" s="50">
        <v>5</v>
      </c>
      <c r="F68" s="50">
        <v>14</v>
      </c>
      <c r="G68" s="50">
        <v>0</v>
      </c>
      <c r="H68" s="50">
        <v>1</v>
      </c>
      <c r="I68" s="50">
        <v>11</v>
      </c>
      <c r="J68" s="50">
        <v>5</v>
      </c>
      <c r="K68" s="50">
        <v>12</v>
      </c>
      <c r="L68" s="50">
        <v>1</v>
      </c>
      <c r="M68" s="50">
        <v>6</v>
      </c>
      <c r="N68" s="50">
        <v>0</v>
      </c>
      <c r="O68" s="15">
        <f t="shared" si="0"/>
        <v>60</v>
      </c>
      <c r="P68" s="15">
        <f t="shared" si="1"/>
        <v>66</v>
      </c>
      <c r="R68" s="8"/>
      <c r="T68"/>
    </row>
    <row r="69" spans="2:20" ht="23.1" customHeight="1" x14ac:dyDescent="0.25">
      <c r="B69" s="45" t="s">
        <v>106</v>
      </c>
      <c r="C69" s="50">
        <v>15</v>
      </c>
      <c r="D69" s="50">
        <v>5</v>
      </c>
      <c r="E69" s="50">
        <v>1</v>
      </c>
      <c r="F69" s="50">
        <v>12</v>
      </c>
      <c r="G69" s="50">
        <v>1</v>
      </c>
      <c r="H69" s="50">
        <v>1</v>
      </c>
      <c r="I69" s="50">
        <v>4</v>
      </c>
      <c r="J69" s="50">
        <v>4</v>
      </c>
      <c r="K69" s="50">
        <v>15</v>
      </c>
      <c r="L69" s="50">
        <v>0</v>
      </c>
      <c r="M69" s="50">
        <v>9</v>
      </c>
      <c r="N69" s="50">
        <v>0</v>
      </c>
      <c r="O69" s="15">
        <f t="shared" si="0"/>
        <v>58</v>
      </c>
      <c r="P69" s="15">
        <f t="shared" si="1"/>
        <v>67</v>
      </c>
      <c r="R69" s="8"/>
      <c r="T69"/>
    </row>
    <row r="70" spans="2:20" ht="23.1" customHeight="1" x14ac:dyDescent="0.25">
      <c r="B70" s="45" t="s">
        <v>110</v>
      </c>
      <c r="C70" s="50">
        <v>8</v>
      </c>
      <c r="D70" s="50">
        <v>3</v>
      </c>
      <c r="E70" s="50">
        <v>3</v>
      </c>
      <c r="F70" s="50">
        <v>10</v>
      </c>
      <c r="G70" s="50">
        <v>0</v>
      </c>
      <c r="H70" s="50">
        <v>4</v>
      </c>
      <c r="I70" s="50">
        <v>3</v>
      </c>
      <c r="J70" s="50">
        <v>6</v>
      </c>
      <c r="K70" s="50">
        <v>9</v>
      </c>
      <c r="L70" s="50">
        <v>2</v>
      </c>
      <c r="M70" s="50">
        <v>4</v>
      </c>
      <c r="N70" s="50">
        <v>0</v>
      </c>
      <c r="O70" s="15">
        <f t="shared" si="0"/>
        <v>48</v>
      </c>
      <c r="P70" s="15">
        <f t="shared" si="1"/>
        <v>52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6</v>
      </c>
      <c r="E71" s="50">
        <v>2</v>
      </c>
      <c r="F71" s="50">
        <v>9</v>
      </c>
      <c r="G71" s="50">
        <v>0</v>
      </c>
      <c r="H71" s="50">
        <v>3</v>
      </c>
      <c r="I71" s="50">
        <v>7</v>
      </c>
      <c r="J71" s="50">
        <v>10</v>
      </c>
      <c r="K71" s="50">
        <v>12</v>
      </c>
      <c r="L71" s="50">
        <v>4</v>
      </c>
      <c r="M71" s="50">
        <v>1</v>
      </c>
      <c r="N71" s="50">
        <v>0</v>
      </c>
      <c r="O71" s="15">
        <f t="shared" si="0"/>
        <v>58</v>
      </c>
      <c r="P71" s="15">
        <f t="shared" si="1"/>
        <v>59</v>
      </c>
      <c r="R71" s="8"/>
      <c r="T71"/>
    </row>
    <row r="72" spans="2:20" ht="23.1" customHeight="1" x14ac:dyDescent="0.25">
      <c r="B72" s="45" t="s">
        <v>112</v>
      </c>
      <c r="C72" s="50">
        <v>9</v>
      </c>
      <c r="D72" s="50">
        <v>7</v>
      </c>
      <c r="E72" s="50">
        <v>0</v>
      </c>
      <c r="F72" s="50">
        <v>14</v>
      </c>
      <c r="G72" s="50">
        <v>0</v>
      </c>
      <c r="H72" s="50">
        <v>4</v>
      </c>
      <c r="I72" s="50">
        <v>4</v>
      </c>
      <c r="J72" s="50">
        <v>7</v>
      </c>
      <c r="K72" s="50">
        <v>7</v>
      </c>
      <c r="L72" s="50">
        <v>2</v>
      </c>
      <c r="M72" s="50">
        <v>5</v>
      </c>
      <c r="N72" s="50">
        <v>0</v>
      </c>
      <c r="O72" s="15">
        <f t="shared" si="0"/>
        <v>54</v>
      </c>
      <c r="P72" s="15">
        <f t="shared" si="1"/>
        <v>59</v>
      </c>
      <c r="R72" s="8"/>
      <c r="T72"/>
    </row>
    <row r="73" spans="2:20" ht="23.1" customHeight="1" x14ac:dyDescent="0.25">
      <c r="B73" s="45" t="s">
        <v>113</v>
      </c>
      <c r="C73" s="50">
        <v>9</v>
      </c>
      <c r="D73" s="50">
        <v>8</v>
      </c>
      <c r="E73" s="50">
        <v>0</v>
      </c>
      <c r="F73" s="50">
        <v>3</v>
      </c>
      <c r="G73" s="50">
        <v>0</v>
      </c>
      <c r="H73" s="50">
        <v>0</v>
      </c>
      <c r="I73" s="50">
        <v>9</v>
      </c>
      <c r="J73" s="50">
        <v>4</v>
      </c>
      <c r="K73" s="50">
        <v>7</v>
      </c>
      <c r="L73" s="50">
        <v>3</v>
      </c>
      <c r="M73" s="50">
        <v>4</v>
      </c>
      <c r="N73" s="50">
        <v>0</v>
      </c>
      <c r="O73" s="15">
        <f t="shared" si="0"/>
        <v>43</v>
      </c>
      <c r="P73" s="15">
        <f t="shared" si="1"/>
        <v>47</v>
      </c>
      <c r="R73" s="8"/>
      <c r="T73"/>
    </row>
    <row r="74" spans="2:20" ht="23.1" customHeight="1" x14ac:dyDescent="0.25">
      <c r="B74" s="45" t="s">
        <v>114</v>
      </c>
      <c r="C74" s="50">
        <v>14</v>
      </c>
      <c r="D74" s="50">
        <v>7</v>
      </c>
      <c r="E74" s="50">
        <v>4</v>
      </c>
      <c r="F74" s="50">
        <v>10</v>
      </c>
      <c r="G74" s="50">
        <v>0</v>
      </c>
      <c r="H74" s="50">
        <v>5</v>
      </c>
      <c r="I74" s="50">
        <v>8</v>
      </c>
      <c r="J74" s="50">
        <v>10</v>
      </c>
      <c r="K74" s="50">
        <v>10</v>
      </c>
      <c r="L74" s="50">
        <v>3</v>
      </c>
      <c r="M74" s="50">
        <v>1</v>
      </c>
      <c r="N74" s="50">
        <v>0</v>
      </c>
      <c r="O74" s="15">
        <f t="shared" ref="O74:O105" si="35">SUM(C74:L74,N74)</f>
        <v>71</v>
      </c>
      <c r="P74" s="15">
        <f t="shared" ref="P74:P105" si="36">SUM(C74:N74)</f>
        <v>72</v>
      </c>
      <c r="R74" s="8"/>
      <c r="T74"/>
    </row>
    <row r="75" spans="2:20" ht="23.1" customHeight="1" x14ac:dyDescent="0.25">
      <c r="B75" s="45" t="s">
        <v>115</v>
      </c>
      <c r="C75" s="50">
        <v>9</v>
      </c>
      <c r="D75" s="50">
        <v>10</v>
      </c>
      <c r="E75" s="50">
        <v>1</v>
      </c>
      <c r="F75" s="50">
        <v>7</v>
      </c>
      <c r="G75" s="50">
        <v>0</v>
      </c>
      <c r="H75" s="50">
        <v>0</v>
      </c>
      <c r="I75" s="50">
        <v>7</v>
      </c>
      <c r="J75" s="50">
        <v>8</v>
      </c>
      <c r="K75" s="50">
        <v>4</v>
      </c>
      <c r="L75" s="50">
        <v>1</v>
      </c>
      <c r="M75" s="50">
        <v>1</v>
      </c>
      <c r="N75" s="50">
        <v>0</v>
      </c>
      <c r="O75" s="15">
        <f t="shared" si="35"/>
        <v>47</v>
      </c>
      <c r="P75" s="15">
        <f t="shared" si="36"/>
        <v>48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4</v>
      </c>
      <c r="E76" s="50">
        <v>1</v>
      </c>
      <c r="F76" s="50">
        <v>1</v>
      </c>
      <c r="G76" s="50">
        <v>0</v>
      </c>
      <c r="H76" s="50">
        <v>2</v>
      </c>
      <c r="I76" s="50">
        <v>7</v>
      </c>
      <c r="J76" s="50">
        <v>5</v>
      </c>
      <c r="K76" s="50">
        <v>3</v>
      </c>
      <c r="L76" s="50">
        <v>1</v>
      </c>
      <c r="M76" s="50">
        <v>3</v>
      </c>
      <c r="N76" s="50">
        <v>0</v>
      </c>
      <c r="O76" s="15">
        <f t="shared" si="35"/>
        <v>27</v>
      </c>
      <c r="P76" s="15">
        <f t="shared" si="36"/>
        <v>30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1</v>
      </c>
      <c r="E77" s="50">
        <v>1</v>
      </c>
      <c r="F77" s="50">
        <v>3</v>
      </c>
      <c r="G77" s="50">
        <v>0</v>
      </c>
      <c r="H77" s="50">
        <v>2</v>
      </c>
      <c r="I77" s="50">
        <v>4</v>
      </c>
      <c r="J77" s="50">
        <v>7</v>
      </c>
      <c r="K77" s="50">
        <v>3</v>
      </c>
      <c r="L77" s="50">
        <v>3</v>
      </c>
      <c r="M77" s="50">
        <v>2</v>
      </c>
      <c r="N77" s="50">
        <v>0</v>
      </c>
      <c r="O77" s="15">
        <f t="shared" si="35"/>
        <v>31</v>
      </c>
      <c r="P77" s="15">
        <f t="shared" si="36"/>
        <v>33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5</v>
      </c>
      <c r="E78" s="50">
        <v>0</v>
      </c>
      <c r="F78" s="50">
        <v>3</v>
      </c>
      <c r="G78" s="50">
        <v>0</v>
      </c>
      <c r="H78" s="50">
        <v>2</v>
      </c>
      <c r="I78" s="50">
        <v>4</v>
      </c>
      <c r="J78" s="50">
        <v>3</v>
      </c>
      <c r="K78" s="50">
        <v>3</v>
      </c>
      <c r="L78" s="50">
        <v>1</v>
      </c>
      <c r="M78" s="50">
        <v>2</v>
      </c>
      <c r="N78" s="50">
        <v>0</v>
      </c>
      <c r="O78" s="15">
        <f t="shared" si="35"/>
        <v>23</v>
      </c>
      <c r="P78" s="15">
        <f t="shared" si="36"/>
        <v>25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4</v>
      </c>
      <c r="E79" s="50">
        <v>4</v>
      </c>
      <c r="F79" s="50">
        <v>5</v>
      </c>
      <c r="G79" s="50">
        <v>0</v>
      </c>
      <c r="H79" s="50">
        <v>2</v>
      </c>
      <c r="I79" s="50">
        <v>6</v>
      </c>
      <c r="J79" s="50">
        <v>3</v>
      </c>
      <c r="K79" s="50">
        <v>4</v>
      </c>
      <c r="L79" s="50">
        <v>5</v>
      </c>
      <c r="M79" s="50">
        <v>2</v>
      </c>
      <c r="N79" s="50">
        <v>0</v>
      </c>
      <c r="O79" s="15">
        <f t="shared" si="35"/>
        <v>37</v>
      </c>
      <c r="P79" s="15">
        <f t="shared" si="36"/>
        <v>39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1</v>
      </c>
      <c r="E80" s="50">
        <v>0</v>
      </c>
      <c r="F80" s="50">
        <v>2</v>
      </c>
      <c r="G80" s="50">
        <v>0</v>
      </c>
      <c r="H80" s="50">
        <v>6</v>
      </c>
      <c r="I80" s="50">
        <v>5</v>
      </c>
      <c r="J80" s="50">
        <v>4</v>
      </c>
      <c r="K80" s="50">
        <v>1</v>
      </c>
      <c r="L80" s="50">
        <v>4</v>
      </c>
      <c r="M80" s="50">
        <v>0</v>
      </c>
      <c r="N80" s="50">
        <v>0</v>
      </c>
      <c r="O80" s="15">
        <f t="shared" si="35"/>
        <v>26</v>
      </c>
      <c r="P80" s="15">
        <f t="shared" si="36"/>
        <v>26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7</v>
      </c>
      <c r="E81" s="50">
        <v>0</v>
      </c>
      <c r="F81" s="50">
        <v>4</v>
      </c>
      <c r="G81" s="50">
        <v>0</v>
      </c>
      <c r="H81" s="50">
        <v>2</v>
      </c>
      <c r="I81" s="50">
        <v>7</v>
      </c>
      <c r="J81" s="50">
        <v>1</v>
      </c>
      <c r="K81" s="50">
        <v>3</v>
      </c>
      <c r="L81" s="50">
        <v>1</v>
      </c>
      <c r="M81" s="50">
        <v>1</v>
      </c>
      <c r="N81" s="50">
        <v>0</v>
      </c>
      <c r="O81" s="15">
        <f t="shared" si="35"/>
        <v>30</v>
      </c>
      <c r="P81" s="15">
        <f t="shared" si="36"/>
        <v>31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3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2</v>
      </c>
      <c r="K82" s="50">
        <v>0</v>
      </c>
      <c r="L82" s="50">
        <v>2</v>
      </c>
      <c r="M82" s="50">
        <v>0</v>
      </c>
      <c r="N82" s="50">
        <v>0</v>
      </c>
      <c r="O82" s="15">
        <f t="shared" si="35"/>
        <v>11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0</v>
      </c>
      <c r="F83" s="50">
        <v>1</v>
      </c>
      <c r="G83" s="50">
        <v>1</v>
      </c>
      <c r="H83" s="50">
        <v>0</v>
      </c>
      <c r="I83" s="50">
        <v>4</v>
      </c>
      <c r="J83" s="50">
        <v>3</v>
      </c>
      <c r="K83" s="50">
        <v>1</v>
      </c>
      <c r="L83" s="50">
        <v>1</v>
      </c>
      <c r="M83" s="50">
        <v>0</v>
      </c>
      <c r="N83" s="50">
        <v>0</v>
      </c>
      <c r="O83" s="15">
        <f t="shared" si="35"/>
        <v>13</v>
      </c>
      <c r="P83" s="15">
        <f t="shared" si="36"/>
        <v>13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1</v>
      </c>
      <c r="E84" s="50">
        <v>1</v>
      </c>
      <c r="F84" s="50">
        <v>0</v>
      </c>
      <c r="G84" s="50">
        <v>0</v>
      </c>
      <c r="H84" s="50">
        <v>2</v>
      </c>
      <c r="I84" s="50">
        <v>9</v>
      </c>
      <c r="J84" s="50">
        <v>1</v>
      </c>
      <c r="K84" s="50">
        <v>3</v>
      </c>
      <c r="L84" s="50">
        <v>0</v>
      </c>
      <c r="M84" s="50">
        <v>1</v>
      </c>
      <c r="N84" s="50">
        <v>0</v>
      </c>
      <c r="O84" s="15">
        <f t="shared" si="35"/>
        <v>19</v>
      </c>
      <c r="P84" s="15">
        <f t="shared" si="36"/>
        <v>20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3</v>
      </c>
      <c r="J85" s="50">
        <v>2</v>
      </c>
      <c r="K85" s="50">
        <v>6</v>
      </c>
      <c r="L85" s="50">
        <v>0</v>
      </c>
      <c r="M85" s="50">
        <v>4</v>
      </c>
      <c r="N85" s="50">
        <v>0</v>
      </c>
      <c r="O85" s="15">
        <f t="shared" si="35"/>
        <v>17</v>
      </c>
      <c r="P85" s="15">
        <f t="shared" si="36"/>
        <v>21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4</v>
      </c>
      <c r="J86" s="50">
        <v>1</v>
      </c>
      <c r="K86" s="50">
        <v>3</v>
      </c>
      <c r="L86" s="50">
        <v>2</v>
      </c>
      <c r="M86" s="50">
        <v>1</v>
      </c>
      <c r="N86" s="50">
        <v>0</v>
      </c>
      <c r="O86" s="15">
        <f t="shared" si="35"/>
        <v>15</v>
      </c>
      <c r="P86" s="15">
        <f t="shared" si="36"/>
        <v>16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1</v>
      </c>
      <c r="G87" s="50">
        <v>0</v>
      </c>
      <c r="H87" s="50">
        <v>1</v>
      </c>
      <c r="I87" s="50">
        <v>4</v>
      </c>
      <c r="J87" s="50">
        <v>3</v>
      </c>
      <c r="K87" s="50">
        <v>4</v>
      </c>
      <c r="L87" s="50">
        <v>6</v>
      </c>
      <c r="M87" s="50">
        <v>1</v>
      </c>
      <c r="N87" s="50">
        <v>0</v>
      </c>
      <c r="O87" s="15">
        <f t="shared" si="35"/>
        <v>21</v>
      </c>
      <c r="P87" s="15">
        <f t="shared" si="36"/>
        <v>22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1</v>
      </c>
      <c r="I88" s="50">
        <v>2</v>
      </c>
      <c r="J88" s="50">
        <v>1</v>
      </c>
      <c r="K88" s="50">
        <v>2</v>
      </c>
      <c r="L88" s="50">
        <v>3</v>
      </c>
      <c r="M88" s="50">
        <v>0</v>
      </c>
      <c r="N88" s="50">
        <v>0</v>
      </c>
      <c r="O88" s="15">
        <f t="shared" si="35"/>
        <v>10</v>
      </c>
      <c r="P88" s="15">
        <f t="shared" si="36"/>
        <v>10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2</v>
      </c>
      <c r="E89" s="50">
        <v>0</v>
      </c>
      <c r="F89" s="50">
        <v>0</v>
      </c>
      <c r="G89" s="50">
        <v>1</v>
      </c>
      <c r="H89" s="50">
        <v>2</v>
      </c>
      <c r="I89" s="50">
        <v>9</v>
      </c>
      <c r="J89" s="50">
        <v>2</v>
      </c>
      <c r="K89" s="50">
        <v>2</v>
      </c>
      <c r="L89" s="50">
        <v>2</v>
      </c>
      <c r="M89" s="50">
        <v>1</v>
      </c>
      <c r="N89" s="50">
        <v>0</v>
      </c>
      <c r="O89" s="15">
        <f t="shared" si="35"/>
        <v>23</v>
      </c>
      <c r="P89" s="15">
        <f t="shared" si="36"/>
        <v>24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3</v>
      </c>
      <c r="J90" s="50">
        <v>0</v>
      </c>
      <c r="K90" s="50">
        <v>2</v>
      </c>
      <c r="L90" s="50">
        <v>1</v>
      </c>
      <c r="M90" s="50">
        <v>0</v>
      </c>
      <c r="N90" s="50">
        <v>0</v>
      </c>
      <c r="O90" s="15">
        <f t="shared" si="35"/>
        <v>9</v>
      </c>
      <c r="P90" s="15">
        <f t="shared" si="36"/>
        <v>9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7</v>
      </c>
      <c r="J91" s="50">
        <v>2</v>
      </c>
      <c r="K91" s="50">
        <v>3</v>
      </c>
      <c r="L91" s="50">
        <v>1</v>
      </c>
      <c r="M91" s="50">
        <v>0</v>
      </c>
      <c r="N91" s="50">
        <v>0</v>
      </c>
      <c r="O91" s="15">
        <f t="shared" si="35"/>
        <v>15</v>
      </c>
      <c r="P91" s="15">
        <f t="shared" si="36"/>
        <v>15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2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2</v>
      </c>
      <c r="L92" s="50">
        <v>2</v>
      </c>
      <c r="M92" s="50">
        <v>0</v>
      </c>
      <c r="N92" s="50">
        <v>0</v>
      </c>
      <c r="O92" s="15">
        <f t="shared" si="35"/>
        <v>8</v>
      </c>
      <c r="P92" s="15">
        <f t="shared" si="36"/>
        <v>8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1</v>
      </c>
      <c r="I93" s="50">
        <v>6</v>
      </c>
      <c r="J93" s="50">
        <v>3</v>
      </c>
      <c r="K93" s="50">
        <v>6</v>
      </c>
      <c r="L93" s="50">
        <v>1</v>
      </c>
      <c r="M93" s="50">
        <v>2</v>
      </c>
      <c r="N93" s="50">
        <v>0</v>
      </c>
      <c r="O93" s="15">
        <f t="shared" si="35"/>
        <v>18</v>
      </c>
      <c r="P93" s="15">
        <f t="shared" si="36"/>
        <v>20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9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10</v>
      </c>
      <c r="P94" s="15">
        <f t="shared" si="36"/>
        <v>10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2</v>
      </c>
      <c r="F95" s="50">
        <v>2</v>
      </c>
      <c r="G95" s="50">
        <v>1</v>
      </c>
      <c r="H95" s="50">
        <v>0</v>
      </c>
      <c r="I95" s="50">
        <v>3</v>
      </c>
      <c r="J95" s="50">
        <v>1</v>
      </c>
      <c r="K95" s="50">
        <v>2</v>
      </c>
      <c r="L95" s="50">
        <v>2</v>
      </c>
      <c r="M95" s="50">
        <v>0</v>
      </c>
      <c r="N95" s="50">
        <v>0</v>
      </c>
      <c r="O95" s="15">
        <f t="shared" si="35"/>
        <v>16</v>
      </c>
      <c r="P95" s="15">
        <f t="shared" si="36"/>
        <v>16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0</v>
      </c>
      <c r="F96" s="50">
        <v>1</v>
      </c>
      <c r="G96" s="50">
        <v>1</v>
      </c>
      <c r="H96" s="50">
        <v>0</v>
      </c>
      <c r="I96" s="50">
        <v>7</v>
      </c>
      <c r="J96" s="50">
        <v>1</v>
      </c>
      <c r="K96" s="50">
        <v>4</v>
      </c>
      <c r="L96" s="50">
        <v>0</v>
      </c>
      <c r="M96" s="50">
        <v>1</v>
      </c>
      <c r="N96" s="50">
        <v>0</v>
      </c>
      <c r="O96" s="15">
        <f t="shared" si="35"/>
        <v>18</v>
      </c>
      <c r="P96" s="15">
        <f t="shared" si="36"/>
        <v>19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2</v>
      </c>
      <c r="E97" s="50">
        <v>1</v>
      </c>
      <c r="F97" s="50">
        <v>2</v>
      </c>
      <c r="G97" s="50">
        <v>1</v>
      </c>
      <c r="H97" s="50">
        <v>0</v>
      </c>
      <c r="I97" s="50">
        <v>8</v>
      </c>
      <c r="J97" s="50">
        <v>3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18</v>
      </c>
      <c r="P97" s="15">
        <f t="shared" si="36"/>
        <v>18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2</v>
      </c>
      <c r="F98" s="50">
        <v>5</v>
      </c>
      <c r="G98" s="50">
        <v>0</v>
      </c>
      <c r="H98" s="50">
        <v>0</v>
      </c>
      <c r="I98" s="50">
        <v>13</v>
      </c>
      <c r="J98" s="50">
        <v>1</v>
      </c>
      <c r="K98" s="50">
        <v>4</v>
      </c>
      <c r="L98" s="50">
        <v>0</v>
      </c>
      <c r="M98" s="50">
        <v>0</v>
      </c>
      <c r="N98" s="50">
        <v>0</v>
      </c>
      <c r="O98" s="15">
        <f t="shared" si="35"/>
        <v>29</v>
      </c>
      <c r="P98" s="15">
        <f t="shared" si="36"/>
        <v>29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2</v>
      </c>
      <c r="E99" s="50">
        <v>1</v>
      </c>
      <c r="F99" s="50">
        <v>0</v>
      </c>
      <c r="G99" s="50">
        <v>0</v>
      </c>
      <c r="H99" s="50">
        <v>0</v>
      </c>
      <c r="I99" s="50">
        <v>9</v>
      </c>
      <c r="J99" s="50">
        <v>2</v>
      </c>
      <c r="K99" s="50">
        <v>2</v>
      </c>
      <c r="L99" s="50">
        <v>1</v>
      </c>
      <c r="M99" s="50">
        <v>2</v>
      </c>
      <c r="N99" s="50">
        <v>0</v>
      </c>
      <c r="O99" s="15">
        <f t="shared" si="35"/>
        <v>20</v>
      </c>
      <c r="P99" s="15">
        <f t="shared" si="36"/>
        <v>22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2</v>
      </c>
      <c r="E100" s="50">
        <v>0</v>
      </c>
      <c r="F100" s="50">
        <v>5</v>
      </c>
      <c r="G100" s="50">
        <v>0</v>
      </c>
      <c r="H100" s="50">
        <v>1</v>
      </c>
      <c r="I100" s="50">
        <v>11</v>
      </c>
      <c r="J100" s="50">
        <v>0</v>
      </c>
      <c r="K100" s="50">
        <v>4</v>
      </c>
      <c r="L100" s="50">
        <v>4</v>
      </c>
      <c r="M100" s="50">
        <v>2</v>
      </c>
      <c r="N100" s="50">
        <v>0</v>
      </c>
      <c r="O100" s="15">
        <f t="shared" si="35"/>
        <v>34</v>
      </c>
      <c r="P100" s="15">
        <f t="shared" si="36"/>
        <v>36</v>
      </c>
      <c r="R100" s="8"/>
      <c r="T100"/>
    </row>
    <row r="101" spans="2:20" ht="23.1" customHeight="1" x14ac:dyDescent="0.25">
      <c r="B101" s="45" t="s">
        <v>141</v>
      </c>
      <c r="C101" s="50">
        <v>13</v>
      </c>
      <c r="D101" s="50">
        <v>0</v>
      </c>
      <c r="E101" s="50">
        <v>1</v>
      </c>
      <c r="F101" s="50">
        <v>4</v>
      </c>
      <c r="G101" s="50">
        <v>0</v>
      </c>
      <c r="H101" s="50">
        <v>0</v>
      </c>
      <c r="I101" s="50">
        <v>9</v>
      </c>
      <c r="J101" s="50">
        <v>1</v>
      </c>
      <c r="K101" s="50">
        <v>2</v>
      </c>
      <c r="L101" s="50">
        <v>2</v>
      </c>
      <c r="M101" s="50">
        <v>3</v>
      </c>
      <c r="N101" s="50">
        <v>0</v>
      </c>
      <c r="O101" s="15">
        <f t="shared" si="35"/>
        <v>32</v>
      </c>
      <c r="P101" s="15">
        <f t="shared" si="36"/>
        <v>35</v>
      </c>
      <c r="R101" s="8"/>
      <c r="T101"/>
    </row>
    <row r="102" spans="2:20" ht="23.1" customHeight="1" x14ac:dyDescent="0.25">
      <c r="B102" s="46" t="s">
        <v>142</v>
      </c>
      <c r="C102" s="50">
        <v>18</v>
      </c>
      <c r="D102" s="50">
        <v>6</v>
      </c>
      <c r="E102" s="50">
        <v>0</v>
      </c>
      <c r="F102" s="50">
        <v>5</v>
      </c>
      <c r="G102" s="50">
        <v>1</v>
      </c>
      <c r="H102" s="50">
        <v>0</v>
      </c>
      <c r="I102" s="50">
        <v>13</v>
      </c>
      <c r="J102" s="50">
        <v>1</v>
      </c>
      <c r="K102" s="50">
        <v>3</v>
      </c>
      <c r="L102" s="50">
        <v>3</v>
      </c>
      <c r="M102" s="50">
        <v>3</v>
      </c>
      <c r="N102" s="50">
        <v>0</v>
      </c>
      <c r="O102" s="15">
        <f t="shared" si="35"/>
        <v>50</v>
      </c>
      <c r="P102" s="15">
        <f t="shared" si="36"/>
        <v>53</v>
      </c>
      <c r="R102" s="8"/>
      <c r="T102"/>
    </row>
    <row r="103" spans="2:20" ht="23.1" customHeight="1" x14ac:dyDescent="0.25">
      <c r="B103" s="45" t="s">
        <v>143</v>
      </c>
      <c r="C103" s="50">
        <v>8</v>
      </c>
      <c r="D103" s="50">
        <v>9</v>
      </c>
      <c r="E103" s="50">
        <v>1</v>
      </c>
      <c r="F103" s="50">
        <v>10</v>
      </c>
      <c r="G103" s="50">
        <v>0</v>
      </c>
      <c r="H103" s="50">
        <v>0</v>
      </c>
      <c r="I103" s="50">
        <v>8</v>
      </c>
      <c r="J103" s="50">
        <v>5</v>
      </c>
      <c r="K103" s="50">
        <v>1</v>
      </c>
      <c r="L103" s="50">
        <v>1</v>
      </c>
      <c r="M103" s="50">
        <v>5</v>
      </c>
      <c r="N103" s="50">
        <v>0</v>
      </c>
      <c r="O103" s="15">
        <f t="shared" si="35"/>
        <v>43</v>
      </c>
      <c r="P103" s="15">
        <f t="shared" si="36"/>
        <v>48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9</v>
      </c>
      <c r="E104" s="50">
        <v>4</v>
      </c>
      <c r="F104" s="50">
        <v>11</v>
      </c>
      <c r="G104" s="50">
        <v>1</v>
      </c>
      <c r="H104" s="50">
        <v>3</v>
      </c>
      <c r="I104" s="50">
        <v>6</v>
      </c>
      <c r="J104" s="50">
        <v>3</v>
      </c>
      <c r="K104" s="50">
        <v>1</v>
      </c>
      <c r="L104" s="50">
        <v>3</v>
      </c>
      <c r="M104" s="50">
        <v>5</v>
      </c>
      <c r="N104" s="50">
        <v>0</v>
      </c>
      <c r="O104" s="15">
        <f t="shared" si="35"/>
        <v>51</v>
      </c>
      <c r="P104" s="15">
        <f t="shared" si="36"/>
        <v>56</v>
      </c>
      <c r="R104" s="8"/>
      <c r="T104"/>
    </row>
    <row r="105" spans="2:20" ht="23.1" customHeight="1" x14ac:dyDescent="0.25">
      <c r="B105" s="45" t="s">
        <v>145</v>
      </c>
      <c r="C105" s="50">
        <v>23</v>
      </c>
      <c r="D105" s="50">
        <v>18</v>
      </c>
      <c r="E105" s="50">
        <v>2</v>
      </c>
      <c r="F105" s="50">
        <v>17</v>
      </c>
      <c r="G105" s="50">
        <v>3</v>
      </c>
      <c r="H105" s="50">
        <v>0</v>
      </c>
      <c r="I105" s="50">
        <v>17</v>
      </c>
      <c r="J105" s="50">
        <v>4</v>
      </c>
      <c r="K105" s="50">
        <v>5</v>
      </c>
      <c r="L105" s="50">
        <v>6</v>
      </c>
      <c r="M105" s="50">
        <v>7</v>
      </c>
      <c r="N105" s="50">
        <v>0</v>
      </c>
      <c r="O105" s="15">
        <f t="shared" si="35"/>
        <v>95</v>
      </c>
      <c r="P105" s="15">
        <f t="shared" si="36"/>
        <v>102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1583</v>
      </c>
      <c r="D106" s="16">
        <f t="shared" ref="D106:P106" si="37">SUM(D10:D105)</f>
        <v>714</v>
      </c>
      <c r="E106" s="16">
        <f t="shared" si="37"/>
        <v>257</v>
      </c>
      <c r="F106" s="16">
        <f t="shared" si="37"/>
        <v>1612</v>
      </c>
      <c r="G106" s="16">
        <f t="shared" si="37"/>
        <v>77</v>
      </c>
      <c r="H106" s="16">
        <f t="shared" si="37"/>
        <v>122</v>
      </c>
      <c r="I106" s="16">
        <f t="shared" si="37"/>
        <v>1202</v>
      </c>
      <c r="J106" s="16">
        <f t="shared" si="37"/>
        <v>317</v>
      </c>
      <c r="K106" s="16">
        <f t="shared" si="37"/>
        <v>358</v>
      </c>
      <c r="L106" s="16">
        <f t="shared" si="37"/>
        <v>246</v>
      </c>
      <c r="M106" s="16">
        <f t="shared" si="37"/>
        <v>1376</v>
      </c>
      <c r="N106" s="16">
        <f t="shared" si="37"/>
        <v>0</v>
      </c>
      <c r="O106" s="16">
        <f t="shared" si="37"/>
        <v>6488</v>
      </c>
      <c r="P106" s="16">
        <f t="shared" si="37"/>
        <v>7864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0.2012970498474059</v>
      </c>
      <c r="D107" s="43">
        <f t="shared" si="38"/>
        <v>9.0793489318413023E-2</v>
      </c>
      <c r="E107" s="43">
        <f t="shared" si="38"/>
        <v>3.2680569684638859E-2</v>
      </c>
      <c r="F107" s="43">
        <f t="shared" si="38"/>
        <v>0.20498474059003052</v>
      </c>
      <c r="G107" s="43">
        <f t="shared" si="38"/>
        <v>9.7914547304170912E-3</v>
      </c>
      <c r="H107" s="43">
        <f t="shared" si="38"/>
        <v>1.5513733468972533E-2</v>
      </c>
      <c r="I107" s="43">
        <f t="shared" si="38"/>
        <v>0.15284842319430314</v>
      </c>
      <c r="J107" s="43">
        <f t="shared" si="38"/>
        <v>4.0310274669379448E-2</v>
      </c>
      <c r="K107" s="43">
        <f t="shared" si="38"/>
        <v>4.5523906408952187E-2</v>
      </c>
      <c r="L107" s="43">
        <f t="shared" si="38"/>
        <v>3.1281790437436417E-2</v>
      </c>
      <c r="M107" s="43">
        <f t="shared" si="38"/>
        <v>0.17497456765005087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0.24398890258939582</v>
      </c>
      <c r="D108" s="44">
        <f t="shared" ref="D108:N108" si="39">D106/$O$106</f>
        <v>0.11004932182490752</v>
      </c>
      <c r="E108" s="44">
        <f t="shared" si="39"/>
        <v>3.961159062885327E-2</v>
      </c>
      <c r="F108" s="44">
        <f t="shared" si="39"/>
        <v>0.24845869297163994</v>
      </c>
      <c r="G108" s="44">
        <f t="shared" si="39"/>
        <v>1.1868064118372379E-2</v>
      </c>
      <c r="H108" s="44">
        <f t="shared" si="39"/>
        <v>1.88039457459926E-2</v>
      </c>
      <c r="I108" s="44">
        <f t="shared" si="39"/>
        <v>0.18526510480887792</v>
      </c>
      <c r="J108" s="44">
        <f t="shared" si="39"/>
        <v>4.8859432799013565E-2</v>
      </c>
      <c r="K108" s="44">
        <f t="shared" si="39"/>
        <v>5.5178791615289768E-2</v>
      </c>
      <c r="L108" s="44">
        <f t="shared" si="39"/>
        <v>3.7916152897657214E-2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K16" sqref="K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'30.10 Maya-Masaka'!G5:H5</f>
        <v>Maya</v>
      </c>
      <c r="H5" s="67"/>
      <c r="I5" s="14"/>
      <c r="J5" s="2" t="s">
        <v>5</v>
      </c>
      <c r="K5" s="66" t="str">
        <f>'30.10 Maya-Masaka'!K5:L5</f>
        <v>Kato joseph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'30.10 Maya-Masaka'!K6:L6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2</v>
      </c>
      <c r="E10" s="50">
        <v>2</v>
      </c>
      <c r="F10" s="50">
        <v>19</v>
      </c>
      <c r="G10" s="50">
        <v>2</v>
      </c>
      <c r="H10" s="50">
        <v>1</v>
      </c>
      <c r="I10" s="50">
        <v>5</v>
      </c>
      <c r="J10" s="50">
        <v>1</v>
      </c>
      <c r="K10" s="50">
        <v>2</v>
      </c>
      <c r="L10" s="50">
        <v>1</v>
      </c>
      <c r="M10" s="50">
        <v>17</v>
      </c>
      <c r="N10" s="50">
        <v>0</v>
      </c>
      <c r="O10" s="15">
        <f t="shared" ref="O10:O57" si="0">SUM(C10:L10,N10)</f>
        <v>44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48</v>
      </c>
      <c r="T10" s="17">
        <f t="shared" si="2"/>
        <v>10</v>
      </c>
      <c r="U10" s="17">
        <f t="shared" si="2"/>
        <v>14</v>
      </c>
      <c r="V10" s="17">
        <f t="shared" si="2"/>
        <v>85</v>
      </c>
      <c r="W10" s="17">
        <f t="shared" si="2"/>
        <v>3</v>
      </c>
      <c r="X10" s="17">
        <f t="shared" si="2"/>
        <v>3</v>
      </c>
      <c r="Y10" s="17">
        <f t="shared" si="2"/>
        <v>34</v>
      </c>
      <c r="Z10" s="17">
        <f t="shared" si="2"/>
        <v>5</v>
      </c>
      <c r="AA10" s="17">
        <f t="shared" si="2"/>
        <v>2</v>
      </c>
      <c r="AB10" s="17">
        <f t="shared" si="2"/>
        <v>6</v>
      </c>
      <c r="AC10" s="17">
        <f t="shared" si="2"/>
        <v>107</v>
      </c>
      <c r="AD10" s="17">
        <f t="shared" si="2"/>
        <v>0</v>
      </c>
      <c r="AE10" s="31">
        <f t="shared" si="2"/>
        <v>210</v>
      </c>
      <c r="AF10" s="31">
        <f t="shared" si="2"/>
        <v>317</v>
      </c>
    </row>
    <row r="11" spans="2:32" s="6" customFormat="1" ht="23.1" customHeight="1" x14ac:dyDescent="0.25">
      <c r="B11" s="23" t="s">
        <v>38</v>
      </c>
      <c r="C11" s="50">
        <v>8</v>
      </c>
      <c r="D11" s="50">
        <v>3</v>
      </c>
      <c r="E11" s="50">
        <v>4</v>
      </c>
      <c r="F11" s="50">
        <v>20</v>
      </c>
      <c r="G11" s="50">
        <v>0</v>
      </c>
      <c r="H11" s="50">
        <v>1</v>
      </c>
      <c r="I11" s="50">
        <v>7</v>
      </c>
      <c r="J11" s="50">
        <v>0</v>
      </c>
      <c r="K11" s="50">
        <v>0</v>
      </c>
      <c r="L11" s="50">
        <v>2</v>
      </c>
      <c r="M11" s="50">
        <v>22</v>
      </c>
      <c r="N11" s="50">
        <v>0</v>
      </c>
      <c r="O11" s="15">
        <f t="shared" si="0"/>
        <v>45</v>
      </c>
      <c r="P11" s="15">
        <f t="shared" si="1"/>
        <v>67</v>
      </c>
      <c r="R11" s="1" t="s">
        <v>7</v>
      </c>
      <c r="S11" s="17">
        <f t="shared" ref="S11:AF11" si="3">SUM(C14:C17)</f>
        <v>56</v>
      </c>
      <c r="T11" s="17">
        <f t="shared" si="3"/>
        <v>15</v>
      </c>
      <c r="U11" s="17">
        <f t="shared" si="3"/>
        <v>7</v>
      </c>
      <c r="V11" s="17">
        <f t="shared" si="3"/>
        <v>103</v>
      </c>
      <c r="W11" s="17">
        <f t="shared" si="3"/>
        <v>1</v>
      </c>
      <c r="X11" s="17">
        <f t="shared" si="3"/>
        <v>5</v>
      </c>
      <c r="Y11" s="17">
        <f t="shared" si="3"/>
        <v>46</v>
      </c>
      <c r="Z11" s="17">
        <f t="shared" si="3"/>
        <v>3</v>
      </c>
      <c r="AA11" s="17">
        <f t="shared" si="3"/>
        <v>1</v>
      </c>
      <c r="AB11" s="17">
        <f t="shared" si="3"/>
        <v>12</v>
      </c>
      <c r="AC11" s="17">
        <f t="shared" si="3"/>
        <v>113</v>
      </c>
      <c r="AD11" s="17">
        <f t="shared" si="3"/>
        <v>0</v>
      </c>
      <c r="AE11" s="31">
        <f t="shared" si="3"/>
        <v>249</v>
      </c>
      <c r="AF11" s="31">
        <f t="shared" si="3"/>
        <v>362</v>
      </c>
    </row>
    <row r="12" spans="2:32" ht="23.1" customHeight="1" x14ac:dyDescent="0.25">
      <c r="B12" s="23" t="s">
        <v>39</v>
      </c>
      <c r="C12" s="50">
        <v>15</v>
      </c>
      <c r="D12" s="50">
        <v>0</v>
      </c>
      <c r="E12" s="50">
        <v>6</v>
      </c>
      <c r="F12" s="50">
        <v>23</v>
      </c>
      <c r="G12" s="50">
        <v>1</v>
      </c>
      <c r="H12" s="50">
        <v>1</v>
      </c>
      <c r="I12" s="50">
        <v>6</v>
      </c>
      <c r="J12" s="50">
        <v>2</v>
      </c>
      <c r="K12" s="50">
        <v>0</v>
      </c>
      <c r="L12" s="50">
        <v>0</v>
      </c>
      <c r="M12" s="50">
        <v>35</v>
      </c>
      <c r="N12" s="50">
        <v>0</v>
      </c>
      <c r="O12" s="15">
        <f t="shared" si="0"/>
        <v>54</v>
      </c>
      <c r="P12" s="15">
        <f t="shared" si="1"/>
        <v>89</v>
      </c>
      <c r="R12" s="1" t="s">
        <v>8</v>
      </c>
      <c r="S12" s="17">
        <f t="shared" ref="S12:AF12" si="4">SUM(C18:C21)</f>
        <v>81</v>
      </c>
      <c r="T12" s="17">
        <f t="shared" si="4"/>
        <v>11</v>
      </c>
      <c r="U12" s="17">
        <f t="shared" si="4"/>
        <v>9</v>
      </c>
      <c r="V12" s="17">
        <f t="shared" si="4"/>
        <v>102</v>
      </c>
      <c r="W12" s="17">
        <f t="shared" si="4"/>
        <v>1</v>
      </c>
      <c r="X12" s="17">
        <f t="shared" si="4"/>
        <v>3</v>
      </c>
      <c r="Y12" s="17">
        <f t="shared" si="4"/>
        <v>45</v>
      </c>
      <c r="Z12" s="17">
        <f t="shared" si="4"/>
        <v>4</v>
      </c>
      <c r="AA12" s="17">
        <f t="shared" si="4"/>
        <v>2</v>
      </c>
      <c r="AB12" s="17">
        <f t="shared" si="4"/>
        <v>9</v>
      </c>
      <c r="AC12" s="17">
        <f t="shared" si="4"/>
        <v>100</v>
      </c>
      <c r="AD12" s="17">
        <f t="shared" si="4"/>
        <v>0</v>
      </c>
      <c r="AE12" s="31">
        <f t="shared" si="4"/>
        <v>267</v>
      </c>
      <c r="AF12" s="31">
        <f t="shared" si="4"/>
        <v>367</v>
      </c>
    </row>
    <row r="13" spans="2:32" ht="23.1" customHeight="1" x14ac:dyDescent="0.25">
      <c r="B13" s="23" t="s">
        <v>40</v>
      </c>
      <c r="C13" s="50">
        <v>16</v>
      </c>
      <c r="D13" s="50">
        <v>5</v>
      </c>
      <c r="E13" s="50">
        <v>2</v>
      </c>
      <c r="F13" s="50">
        <v>23</v>
      </c>
      <c r="G13" s="50">
        <v>0</v>
      </c>
      <c r="H13" s="50">
        <v>0</v>
      </c>
      <c r="I13" s="50">
        <v>16</v>
      </c>
      <c r="J13" s="50">
        <v>2</v>
      </c>
      <c r="K13" s="50">
        <v>0</v>
      </c>
      <c r="L13" s="50">
        <v>3</v>
      </c>
      <c r="M13" s="50">
        <v>33</v>
      </c>
      <c r="N13" s="50">
        <v>0</v>
      </c>
      <c r="O13" s="15">
        <f t="shared" si="0"/>
        <v>67</v>
      </c>
      <c r="P13" s="15">
        <f t="shared" si="1"/>
        <v>100</v>
      </c>
      <c r="R13" s="1" t="s">
        <v>9</v>
      </c>
      <c r="S13" s="17">
        <f t="shared" ref="S13:AF13" si="5">SUM(C22:C25)</f>
        <v>63</v>
      </c>
      <c r="T13" s="17">
        <f t="shared" si="5"/>
        <v>11</v>
      </c>
      <c r="U13" s="17">
        <f t="shared" si="5"/>
        <v>10</v>
      </c>
      <c r="V13" s="17">
        <f t="shared" si="5"/>
        <v>100</v>
      </c>
      <c r="W13" s="17">
        <f t="shared" si="5"/>
        <v>3</v>
      </c>
      <c r="X13" s="17">
        <f t="shared" si="5"/>
        <v>1</v>
      </c>
      <c r="Y13" s="17">
        <f t="shared" si="5"/>
        <v>37</v>
      </c>
      <c r="Z13" s="17">
        <f t="shared" si="5"/>
        <v>2</v>
      </c>
      <c r="AA13" s="17">
        <f t="shared" si="5"/>
        <v>4</v>
      </c>
      <c r="AB13" s="17">
        <f t="shared" si="5"/>
        <v>13</v>
      </c>
      <c r="AC13" s="17">
        <f t="shared" si="5"/>
        <v>78</v>
      </c>
      <c r="AD13" s="17">
        <f t="shared" si="5"/>
        <v>0</v>
      </c>
      <c r="AE13" s="31">
        <f t="shared" si="5"/>
        <v>244</v>
      </c>
      <c r="AF13" s="31">
        <f t="shared" si="5"/>
        <v>322</v>
      </c>
    </row>
    <row r="14" spans="2:32" ht="23.1" customHeight="1" x14ac:dyDescent="0.25">
      <c r="B14" s="23" t="s">
        <v>41</v>
      </c>
      <c r="C14" s="50">
        <v>16</v>
      </c>
      <c r="D14" s="50">
        <v>4</v>
      </c>
      <c r="E14" s="50">
        <v>1</v>
      </c>
      <c r="F14" s="50">
        <v>27</v>
      </c>
      <c r="G14" s="50">
        <v>0</v>
      </c>
      <c r="H14" s="50">
        <v>0</v>
      </c>
      <c r="I14" s="50">
        <v>14</v>
      </c>
      <c r="J14" s="50">
        <v>0</v>
      </c>
      <c r="K14" s="50">
        <v>0</v>
      </c>
      <c r="L14" s="50">
        <v>3</v>
      </c>
      <c r="M14" s="50">
        <v>42</v>
      </c>
      <c r="N14" s="50">
        <v>0</v>
      </c>
      <c r="O14" s="15">
        <f t="shared" si="0"/>
        <v>65</v>
      </c>
      <c r="P14" s="15">
        <f t="shared" si="1"/>
        <v>107</v>
      </c>
      <c r="R14" s="1" t="s">
        <v>10</v>
      </c>
      <c r="S14" s="17">
        <f t="shared" ref="S14:AF14" si="6">SUM(C26:C29)</f>
        <v>79</v>
      </c>
      <c r="T14" s="17">
        <f t="shared" si="6"/>
        <v>9</v>
      </c>
      <c r="U14" s="17">
        <f t="shared" si="6"/>
        <v>30</v>
      </c>
      <c r="V14" s="17">
        <f t="shared" si="6"/>
        <v>77</v>
      </c>
      <c r="W14" s="17">
        <f t="shared" si="6"/>
        <v>3</v>
      </c>
      <c r="X14" s="17">
        <f t="shared" si="6"/>
        <v>5</v>
      </c>
      <c r="Y14" s="17">
        <f t="shared" si="6"/>
        <v>26</v>
      </c>
      <c r="Z14" s="17">
        <f t="shared" si="6"/>
        <v>0</v>
      </c>
      <c r="AA14" s="17">
        <f t="shared" si="6"/>
        <v>0</v>
      </c>
      <c r="AB14" s="17">
        <f t="shared" si="6"/>
        <v>14</v>
      </c>
      <c r="AC14" s="17">
        <f t="shared" si="6"/>
        <v>67</v>
      </c>
      <c r="AD14" s="17">
        <f t="shared" si="6"/>
        <v>0</v>
      </c>
      <c r="AE14" s="31">
        <f t="shared" si="6"/>
        <v>243</v>
      </c>
      <c r="AF14" s="31">
        <f t="shared" si="6"/>
        <v>310</v>
      </c>
    </row>
    <row r="15" spans="2:32" ht="23.1" customHeight="1" x14ac:dyDescent="0.25">
      <c r="B15" s="23" t="s">
        <v>42</v>
      </c>
      <c r="C15" s="50">
        <v>19</v>
      </c>
      <c r="D15" s="50">
        <v>4</v>
      </c>
      <c r="E15" s="50">
        <v>2</v>
      </c>
      <c r="F15" s="50">
        <v>23</v>
      </c>
      <c r="G15" s="50">
        <v>0</v>
      </c>
      <c r="H15" s="50">
        <v>2</v>
      </c>
      <c r="I15" s="50">
        <v>5</v>
      </c>
      <c r="J15" s="50">
        <v>3</v>
      </c>
      <c r="K15" s="50">
        <v>0</v>
      </c>
      <c r="L15" s="50">
        <v>1</v>
      </c>
      <c r="M15" s="50">
        <v>23</v>
      </c>
      <c r="N15" s="50">
        <v>0</v>
      </c>
      <c r="O15" s="15">
        <f t="shared" si="0"/>
        <v>59</v>
      </c>
      <c r="P15" s="15">
        <f t="shared" si="1"/>
        <v>82</v>
      </c>
      <c r="R15" s="1" t="s">
        <v>11</v>
      </c>
      <c r="S15" s="17">
        <f t="shared" ref="S15:AF15" si="7">SUM(C30:C33)</f>
        <v>78</v>
      </c>
      <c r="T15" s="17">
        <f t="shared" si="7"/>
        <v>23</v>
      </c>
      <c r="U15" s="17">
        <f t="shared" si="7"/>
        <v>18</v>
      </c>
      <c r="V15" s="17">
        <f t="shared" si="7"/>
        <v>91</v>
      </c>
      <c r="W15" s="17">
        <f t="shared" si="7"/>
        <v>3</v>
      </c>
      <c r="X15" s="17">
        <f t="shared" si="7"/>
        <v>6</v>
      </c>
      <c r="Y15" s="17">
        <f t="shared" si="7"/>
        <v>64</v>
      </c>
      <c r="Z15" s="17">
        <f t="shared" si="7"/>
        <v>0</v>
      </c>
      <c r="AA15" s="17">
        <f t="shared" si="7"/>
        <v>5</v>
      </c>
      <c r="AB15" s="17">
        <f t="shared" si="7"/>
        <v>13</v>
      </c>
      <c r="AC15" s="17">
        <f t="shared" si="7"/>
        <v>86</v>
      </c>
      <c r="AD15" s="17">
        <f t="shared" si="7"/>
        <v>0</v>
      </c>
      <c r="AE15" s="31">
        <f t="shared" si="7"/>
        <v>301</v>
      </c>
      <c r="AF15" s="31">
        <f t="shared" si="7"/>
        <v>387</v>
      </c>
    </row>
    <row r="16" spans="2:32" ht="23.1" customHeight="1" x14ac:dyDescent="0.25">
      <c r="B16" s="23" t="s">
        <v>43</v>
      </c>
      <c r="C16" s="50">
        <v>13</v>
      </c>
      <c r="D16" s="50">
        <v>5</v>
      </c>
      <c r="E16" s="50">
        <v>2</v>
      </c>
      <c r="F16" s="50">
        <v>28</v>
      </c>
      <c r="G16" s="50">
        <v>1</v>
      </c>
      <c r="H16" s="50">
        <v>1</v>
      </c>
      <c r="I16" s="50">
        <v>18</v>
      </c>
      <c r="J16" s="50">
        <v>0</v>
      </c>
      <c r="K16" s="50">
        <v>0</v>
      </c>
      <c r="L16" s="50">
        <v>6</v>
      </c>
      <c r="M16" s="50">
        <v>31</v>
      </c>
      <c r="N16" s="50">
        <v>0</v>
      </c>
      <c r="O16" s="15">
        <f t="shared" si="0"/>
        <v>74</v>
      </c>
      <c r="P16" s="15">
        <f t="shared" si="1"/>
        <v>105</v>
      </c>
      <c r="R16" s="1" t="s">
        <v>12</v>
      </c>
      <c r="S16" s="17">
        <f t="shared" ref="S16:AF16" si="8">SUM(C34:C37)</f>
        <v>93</v>
      </c>
      <c r="T16" s="17">
        <f t="shared" si="8"/>
        <v>14</v>
      </c>
      <c r="U16" s="17">
        <f t="shared" si="8"/>
        <v>24</v>
      </c>
      <c r="V16" s="17">
        <f t="shared" si="8"/>
        <v>73</v>
      </c>
      <c r="W16" s="17">
        <f t="shared" si="8"/>
        <v>1</v>
      </c>
      <c r="X16" s="17">
        <f t="shared" si="8"/>
        <v>4</v>
      </c>
      <c r="Y16" s="17">
        <f t="shared" si="8"/>
        <v>59</v>
      </c>
      <c r="Z16" s="17">
        <f t="shared" si="8"/>
        <v>4</v>
      </c>
      <c r="AA16" s="17">
        <f t="shared" si="8"/>
        <v>3</v>
      </c>
      <c r="AB16" s="17">
        <f t="shared" si="8"/>
        <v>8</v>
      </c>
      <c r="AC16" s="17">
        <f t="shared" si="8"/>
        <v>73</v>
      </c>
      <c r="AD16" s="17">
        <f t="shared" si="8"/>
        <v>0</v>
      </c>
      <c r="AE16" s="31">
        <f t="shared" si="8"/>
        <v>283</v>
      </c>
      <c r="AF16" s="31">
        <f t="shared" si="8"/>
        <v>356</v>
      </c>
    </row>
    <row r="17" spans="2:32" ht="23.1" customHeight="1" x14ac:dyDescent="0.25">
      <c r="B17" s="23" t="s">
        <v>44</v>
      </c>
      <c r="C17" s="50">
        <v>8</v>
      </c>
      <c r="D17" s="50">
        <v>2</v>
      </c>
      <c r="E17" s="50">
        <v>2</v>
      </c>
      <c r="F17" s="50">
        <v>25</v>
      </c>
      <c r="G17" s="50">
        <v>0</v>
      </c>
      <c r="H17" s="50">
        <v>2</v>
      </c>
      <c r="I17" s="50">
        <v>9</v>
      </c>
      <c r="J17" s="50">
        <v>0</v>
      </c>
      <c r="K17" s="50">
        <v>1</v>
      </c>
      <c r="L17" s="50">
        <v>2</v>
      </c>
      <c r="M17" s="50">
        <v>17</v>
      </c>
      <c r="N17" s="50">
        <v>0</v>
      </c>
      <c r="O17" s="15">
        <f t="shared" si="0"/>
        <v>51</v>
      </c>
      <c r="P17" s="15">
        <f t="shared" si="1"/>
        <v>68</v>
      </c>
      <c r="R17" s="1" t="s">
        <v>13</v>
      </c>
      <c r="S17" s="17">
        <f t="shared" ref="S17:AF17" si="9">SUM(C38:C41)</f>
        <v>133</v>
      </c>
      <c r="T17" s="17">
        <f t="shared" si="9"/>
        <v>19</v>
      </c>
      <c r="U17" s="17">
        <f t="shared" si="9"/>
        <v>38</v>
      </c>
      <c r="V17" s="17">
        <f t="shared" si="9"/>
        <v>75</v>
      </c>
      <c r="W17" s="17">
        <f t="shared" si="9"/>
        <v>5</v>
      </c>
      <c r="X17" s="17">
        <f t="shared" si="9"/>
        <v>7</v>
      </c>
      <c r="Y17" s="17">
        <f t="shared" si="9"/>
        <v>53</v>
      </c>
      <c r="Z17" s="17">
        <f t="shared" si="9"/>
        <v>3</v>
      </c>
      <c r="AA17" s="17">
        <f t="shared" si="9"/>
        <v>2</v>
      </c>
      <c r="AB17" s="17">
        <f t="shared" si="9"/>
        <v>12</v>
      </c>
      <c r="AC17" s="17">
        <f t="shared" si="9"/>
        <v>66</v>
      </c>
      <c r="AD17" s="17">
        <f t="shared" si="9"/>
        <v>0</v>
      </c>
      <c r="AE17" s="31">
        <f t="shared" si="9"/>
        <v>347</v>
      </c>
      <c r="AF17" s="31">
        <f t="shared" si="9"/>
        <v>413</v>
      </c>
    </row>
    <row r="18" spans="2:32" ht="23.1" customHeight="1" x14ac:dyDescent="0.25">
      <c r="B18" s="23" t="s">
        <v>45</v>
      </c>
      <c r="C18" s="50">
        <v>23</v>
      </c>
      <c r="D18" s="50">
        <v>2</v>
      </c>
      <c r="E18" s="50">
        <v>3</v>
      </c>
      <c r="F18" s="50">
        <v>34</v>
      </c>
      <c r="G18" s="50">
        <v>0</v>
      </c>
      <c r="H18" s="50">
        <v>2</v>
      </c>
      <c r="I18" s="50">
        <v>11</v>
      </c>
      <c r="J18" s="50">
        <v>2</v>
      </c>
      <c r="K18" s="50">
        <v>1</v>
      </c>
      <c r="L18" s="50">
        <v>3</v>
      </c>
      <c r="M18" s="50">
        <v>31</v>
      </c>
      <c r="N18" s="50">
        <v>0</v>
      </c>
      <c r="O18" s="15">
        <f t="shared" si="0"/>
        <v>81</v>
      </c>
      <c r="P18" s="15">
        <f t="shared" si="1"/>
        <v>112</v>
      </c>
      <c r="R18" s="1" t="s">
        <v>14</v>
      </c>
      <c r="S18" s="17">
        <f t="shared" ref="S18:AF18" si="10">SUM(C42:C45)</f>
        <v>120</v>
      </c>
      <c r="T18" s="17">
        <f t="shared" si="10"/>
        <v>26</v>
      </c>
      <c r="U18" s="17">
        <f t="shared" si="10"/>
        <v>37</v>
      </c>
      <c r="V18" s="17">
        <f t="shared" si="10"/>
        <v>87</v>
      </c>
      <c r="W18" s="17">
        <f t="shared" si="10"/>
        <v>3</v>
      </c>
      <c r="X18" s="17">
        <f t="shared" si="10"/>
        <v>11</v>
      </c>
      <c r="Y18" s="17">
        <f t="shared" si="10"/>
        <v>69</v>
      </c>
      <c r="Z18" s="17">
        <f t="shared" si="10"/>
        <v>14</v>
      </c>
      <c r="AA18" s="17">
        <f t="shared" si="10"/>
        <v>4</v>
      </c>
      <c r="AB18" s="17">
        <f t="shared" si="10"/>
        <v>6</v>
      </c>
      <c r="AC18" s="17">
        <f t="shared" si="10"/>
        <v>76</v>
      </c>
      <c r="AD18" s="17">
        <f t="shared" si="10"/>
        <v>0</v>
      </c>
      <c r="AE18" s="31">
        <f t="shared" si="10"/>
        <v>377</v>
      </c>
      <c r="AF18" s="31">
        <f t="shared" si="10"/>
        <v>453</v>
      </c>
    </row>
    <row r="19" spans="2:32" ht="23.1" customHeight="1" x14ac:dyDescent="0.25">
      <c r="B19" s="23" t="s">
        <v>46</v>
      </c>
      <c r="C19" s="50">
        <v>19</v>
      </c>
      <c r="D19" s="50">
        <v>2</v>
      </c>
      <c r="E19" s="50">
        <v>3</v>
      </c>
      <c r="F19" s="50">
        <v>27</v>
      </c>
      <c r="G19" s="50">
        <v>0</v>
      </c>
      <c r="H19" s="50">
        <v>0</v>
      </c>
      <c r="I19" s="50">
        <v>9</v>
      </c>
      <c r="J19" s="50">
        <v>2</v>
      </c>
      <c r="K19" s="50">
        <v>0</v>
      </c>
      <c r="L19" s="50">
        <v>0</v>
      </c>
      <c r="M19" s="50">
        <v>23</v>
      </c>
      <c r="N19" s="50">
        <v>0</v>
      </c>
      <c r="O19" s="15">
        <f t="shared" si="0"/>
        <v>62</v>
      </c>
      <c r="P19" s="15">
        <f t="shared" si="1"/>
        <v>85</v>
      </c>
      <c r="R19" s="1" t="s">
        <v>15</v>
      </c>
      <c r="S19" s="17">
        <f t="shared" ref="S19:AF19" si="11">SUM(C46:C49)</f>
        <v>195</v>
      </c>
      <c r="T19" s="17">
        <f t="shared" si="11"/>
        <v>30</v>
      </c>
      <c r="U19" s="17">
        <f t="shared" si="11"/>
        <v>33</v>
      </c>
      <c r="V19" s="17">
        <f t="shared" si="11"/>
        <v>90</v>
      </c>
      <c r="W19" s="17">
        <f t="shared" si="11"/>
        <v>7</v>
      </c>
      <c r="X19" s="17">
        <f t="shared" si="11"/>
        <v>4</v>
      </c>
      <c r="Y19" s="17">
        <f t="shared" si="11"/>
        <v>76</v>
      </c>
      <c r="Z19" s="17">
        <f t="shared" si="11"/>
        <v>8</v>
      </c>
      <c r="AA19" s="17">
        <f t="shared" si="11"/>
        <v>1</v>
      </c>
      <c r="AB19" s="17">
        <f t="shared" si="11"/>
        <v>10</v>
      </c>
      <c r="AC19" s="17">
        <f t="shared" si="11"/>
        <v>113</v>
      </c>
      <c r="AD19" s="17">
        <f t="shared" si="11"/>
        <v>0</v>
      </c>
      <c r="AE19" s="31">
        <f t="shared" si="11"/>
        <v>454</v>
      </c>
      <c r="AF19" s="31">
        <f t="shared" si="11"/>
        <v>567</v>
      </c>
    </row>
    <row r="20" spans="2:32" ht="23.1" customHeight="1" x14ac:dyDescent="0.25">
      <c r="B20" s="23" t="s">
        <v>47</v>
      </c>
      <c r="C20" s="50">
        <v>17</v>
      </c>
      <c r="D20" s="50">
        <v>1</v>
      </c>
      <c r="E20" s="50">
        <v>3</v>
      </c>
      <c r="F20" s="50">
        <v>26</v>
      </c>
      <c r="G20" s="50">
        <v>0</v>
      </c>
      <c r="H20" s="50">
        <v>0</v>
      </c>
      <c r="I20" s="50">
        <v>10</v>
      </c>
      <c r="J20" s="50">
        <v>0</v>
      </c>
      <c r="K20" s="50">
        <v>1</v>
      </c>
      <c r="L20" s="50">
        <v>1</v>
      </c>
      <c r="M20" s="50">
        <v>16</v>
      </c>
      <c r="N20" s="50">
        <v>0</v>
      </c>
      <c r="O20" s="15">
        <f t="shared" si="0"/>
        <v>59</v>
      </c>
      <c r="P20" s="15">
        <f t="shared" si="1"/>
        <v>75</v>
      </c>
      <c r="R20" s="1" t="s">
        <v>16</v>
      </c>
      <c r="S20" s="17">
        <f t="shared" ref="S20:AF20" si="12">SUM(C50:C53)</f>
        <v>205</v>
      </c>
      <c r="T20" s="17">
        <f t="shared" si="12"/>
        <v>41</v>
      </c>
      <c r="U20" s="17">
        <f t="shared" si="12"/>
        <v>47</v>
      </c>
      <c r="V20" s="17">
        <f t="shared" si="12"/>
        <v>114</v>
      </c>
      <c r="W20" s="17">
        <f t="shared" si="12"/>
        <v>11</v>
      </c>
      <c r="X20" s="17">
        <f t="shared" si="12"/>
        <v>9</v>
      </c>
      <c r="Y20" s="17">
        <f t="shared" si="12"/>
        <v>55</v>
      </c>
      <c r="Z20" s="17">
        <f t="shared" si="12"/>
        <v>11</v>
      </c>
      <c r="AA20" s="17">
        <f t="shared" si="12"/>
        <v>4</v>
      </c>
      <c r="AB20" s="17">
        <f t="shared" si="12"/>
        <v>13</v>
      </c>
      <c r="AC20" s="17">
        <f t="shared" si="12"/>
        <v>120</v>
      </c>
      <c r="AD20" s="17">
        <f t="shared" si="12"/>
        <v>0</v>
      </c>
      <c r="AE20" s="31">
        <f t="shared" si="12"/>
        <v>510</v>
      </c>
      <c r="AF20" s="31">
        <f t="shared" si="12"/>
        <v>630</v>
      </c>
    </row>
    <row r="21" spans="2:32" ht="23.1" customHeight="1" x14ac:dyDescent="0.25">
      <c r="B21" s="23" t="s">
        <v>48</v>
      </c>
      <c r="C21" s="50">
        <v>22</v>
      </c>
      <c r="D21" s="50">
        <v>6</v>
      </c>
      <c r="E21" s="50">
        <v>0</v>
      </c>
      <c r="F21" s="50">
        <v>15</v>
      </c>
      <c r="G21" s="50">
        <v>1</v>
      </c>
      <c r="H21" s="50">
        <v>1</v>
      </c>
      <c r="I21" s="50">
        <v>15</v>
      </c>
      <c r="J21" s="50">
        <v>0</v>
      </c>
      <c r="K21" s="50">
        <v>0</v>
      </c>
      <c r="L21" s="50">
        <v>5</v>
      </c>
      <c r="M21" s="50">
        <v>30</v>
      </c>
      <c r="N21" s="50">
        <v>0</v>
      </c>
      <c r="O21" s="15">
        <f t="shared" si="0"/>
        <v>65</v>
      </c>
      <c r="P21" s="15">
        <f t="shared" si="1"/>
        <v>95</v>
      </c>
      <c r="R21" s="36" t="s">
        <v>20</v>
      </c>
      <c r="S21" s="34">
        <f t="shared" ref="S21:AF21" si="13">SUM(C54:C57)</f>
        <v>223</v>
      </c>
      <c r="T21" s="17">
        <f t="shared" si="13"/>
        <v>46</v>
      </c>
      <c r="U21" s="17">
        <f t="shared" si="13"/>
        <v>29</v>
      </c>
      <c r="V21" s="17">
        <f t="shared" si="13"/>
        <v>125</v>
      </c>
      <c r="W21" s="17">
        <f t="shared" si="13"/>
        <v>13</v>
      </c>
      <c r="X21" s="17">
        <f t="shared" si="13"/>
        <v>5</v>
      </c>
      <c r="Y21" s="17">
        <f t="shared" si="13"/>
        <v>75</v>
      </c>
      <c r="Z21" s="17">
        <f t="shared" si="13"/>
        <v>13</v>
      </c>
      <c r="AA21" s="17">
        <f t="shared" si="13"/>
        <v>5</v>
      </c>
      <c r="AB21" s="17">
        <f t="shared" si="13"/>
        <v>13</v>
      </c>
      <c r="AC21" s="17">
        <f t="shared" si="13"/>
        <v>147</v>
      </c>
      <c r="AD21" s="17">
        <f t="shared" si="13"/>
        <v>0</v>
      </c>
      <c r="AE21" s="31">
        <f t="shared" si="13"/>
        <v>547</v>
      </c>
      <c r="AF21" s="31">
        <f t="shared" si="13"/>
        <v>694</v>
      </c>
    </row>
    <row r="22" spans="2:32" ht="23.1" customHeight="1" x14ac:dyDescent="0.25">
      <c r="B22" s="23" t="s">
        <v>49</v>
      </c>
      <c r="C22" s="50">
        <v>10</v>
      </c>
      <c r="D22" s="50">
        <v>1</v>
      </c>
      <c r="E22" s="50">
        <v>3</v>
      </c>
      <c r="F22" s="50">
        <v>18</v>
      </c>
      <c r="G22" s="50">
        <v>1</v>
      </c>
      <c r="H22" s="50">
        <v>0</v>
      </c>
      <c r="I22" s="50">
        <v>14</v>
      </c>
      <c r="J22" s="50">
        <v>1</v>
      </c>
      <c r="K22" s="50">
        <v>1</v>
      </c>
      <c r="L22" s="50">
        <v>1</v>
      </c>
      <c r="M22" s="50">
        <v>25</v>
      </c>
      <c r="N22" s="50">
        <v>0</v>
      </c>
      <c r="O22" s="15">
        <f t="shared" si="0"/>
        <v>50</v>
      </c>
      <c r="P22" s="15">
        <f t="shared" si="1"/>
        <v>75</v>
      </c>
      <c r="R22" s="38" t="s">
        <v>90</v>
      </c>
      <c r="S22" s="39">
        <f>MAX(S10:S12)</f>
        <v>81</v>
      </c>
      <c r="T22" s="39">
        <f t="shared" ref="T22:AF22" si="14">MAX(T10:T12)</f>
        <v>15</v>
      </c>
      <c r="U22" s="39">
        <f t="shared" si="14"/>
        <v>14</v>
      </c>
      <c r="V22" s="39">
        <f t="shared" si="14"/>
        <v>103</v>
      </c>
      <c r="W22" s="39">
        <f t="shared" si="14"/>
        <v>3</v>
      </c>
      <c r="X22" s="39">
        <f t="shared" si="14"/>
        <v>5</v>
      </c>
      <c r="Y22" s="39">
        <f t="shared" si="14"/>
        <v>46</v>
      </c>
      <c r="Z22" s="39">
        <f t="shared" si="14"/>
        <v>5</v>
      </c>
      <c r="AA22" s="39">
        <f t="shared" si="14"/>
        <v>2</v>
      </c>
      <c r="AB22" s="39">
        <f t="shared" si="14"/>
        <v>12</v>
      </c>
      <c r="AC22" s="39">
        <f t="shared" si="14"/>
        <v>113</v>
      </c>
      <c r="AD22" s="39">
        <f t="shared" si="14"/>
        <v>0</v>
      </c>
      <c r="AE22" s="40">
        <f t="shared" si="14"/>
        <v>267</v>
      </c>
      <c r="AF22" s="40">
        <f t="shared" si="14"/>
        <v>367</v>
      </c>
    </row>
    <row r="23" spans="2:32" ht="23.1" customHeight="1" x14ac:dyDescent="0.25">
      <c r="B23" s="23" t="s">
        <v>50</v>
      </c>
      <c r="C23" s="50">
        <v>14</v>
      </c>
      <c r="D23" s="50">
        <v>2</v>
      </c>
      <c r="E23" s="50">
        <v>1</v>
      </c>
      <c r="F23" s="50">
        <v>30</v>
      </c>
      <c r="G23" s="50">
        <v>1</v>
      </c>
      <c r="H23" s="50">
        <v>1</v>
      </c>
      <c r="I23" s="50">
        <v>8</v>
      </c>
      <c r="J23" s="50">
        <v>1</v>
      </c>
      <c r="K23" s="50">
        <v>2</v>
      </c>
      <c r="L23" s="50">
        <v>2</v>
      </c>
      <c r="M23" s="50">
        <v>18</v>
      </c>
      <c r="N23" s="50">
        <v>0</v>
      </c>
      <c r="O23" s="15">
        <f t="shared" si="0"/>
        <v>62</v>
      </c>
      <c r="P23" s="15">
        <f t="shared" si="1"/>
        <v>80</v>
      </c>
      <c r="R23" s="38" t="s">
        <v>91</v>
      </c>
      <c r="S23" s="39">
        <f>MAX(S13:S18)</f>
        <v>133</v>
      </c>
      <c r="T23" s="39">
        <f t="shared" ref="T23:AF23" si="15">MAX(T13:T18)</f>
        <v>26</v>
      </c>
      <c r="U23" s="39">
        <f t="shared" si="15"/>
        <v>38</v>
      </c>
      <c r="V23" s="39">
        <f t="shared" si="15"/>
        <v>100</v>
      </c>
      <c r="W23" s="39">
        <f t="shared" si="15"/>
        <v>5</v>
      </c>
      <c r="X23" s="39">
        <f t="shared" si="15"/>
        <v>11</v>
      </c>
      <c r="Y23" s="39">
        <f t="shared" si="15"/>
        <v>69</v>
      </c>
      <c r="Z23" s="39">
        <f t="shared" si="15"/>
        <v>14</v>
      </c>
      <c r="AA23" s="39">
        <f t="shared" si="15"/>
        <v>5</v>
      </c>
      <c r="AB23" s="39">
        <f t="shared" si="15"/>
        <v>14</v>
      </c>
      <c r="AC23" s="39">
        <f t="shared" si="15"/>
        <v>86</v>
      </c>
      <c r="AD23" s="39">
        <f t="shared" si="15"/>
        <v>0</v>
      </c>
      <c r="AE23" s="40">
        <f t="shared" si="15"/>
        <v>377</v>
      </c>
      <c r="AF23" s="40">
        <f t="shared" si="15"/>
        <v>453</v>
      </c>
    </row>
    <row r="24" spans="2:32" ht="23.1" customHeight="1" x14ac:dyDescent="0.25">
      <c r="B24" s="23" t="s">
        <v>51</v>
      </c>
      <c r="C24" s="50">
        <v>17</v>
      </c>
      <c r="D24" s="50">
        <v>4</v>
      </c>
      <c r="E24" s="50">
        <v>2</v>
      </c>
      <c r="F24" s="50">
        <v>26</v>
      </c>
      <c r="G24" s="50">
        <v>1</v>
      </c>
      <c r="H24" s="50">
        <v>0</v>
      </c>
      <c r="I24" s="50">
        <v>7</v>
      </c>
      <c r="J24" s="50">
        <v>0</v>
      </c>
      <c r="K24" s="50">
        <v>1</v>
      </c>
      <c r="L24" s="50">
        <v>4</v>
      </c>
      <c r="M24" s="50">
        <v>21</v>
      </c>
      <c r="N24" s="50">
        <v>0</v>
      </c>
      <c r="O24" s="15">
        <f t="shared" si="0"/>
        <v>62</v>
      </c>
      <c r="P24" s="15">
        <f t="shared" si="1"/>
        <v>83</v>
      </c>
      <c r="R24" s="38" t="s">
        <v>92</v>
      </c>
      <c r="S24" s="39">
        <f>MAX(S19:S21)</f>
        <v>223</v>
      </c>
      <c r="T24" s="39">
        <f t="shared" ref="T24:AF24" si="16">MAX(T19:T21)</f>
        <v>46</v>
      </c>
      <c r="U24" s="39">
        <f t="shared" si="16"/>
        <v>47</v>
      </c>
      <c r="V24" s="39">
        <f t="shared" si="16"/>
        <v>125</v>
      </c>
      <c r="W24" s="39">
        <f t="shared" si="16"/>
        <v>13</v>
      </c>
      <c r="X24" s="39">
        <f t="shared" si="16"/>
        <v>9</v>
      </c>
      <c r="Y24" s="39">
        <f t="shared" si="16"/>
        <v>76</v>
      </c>
      <c r="Z24" s="39">
        <f t="shared" si="16"/>
        <v>13</v>
      </c>
      <c r="AA24" s="39">
        <f t="shared" si="16"/>
        <v>5</v>
      </c>
      <c r="AB24" s="39">
        <f t="shared" si="16"/>
        <v>13</v>
      </c>
      <c r="AC24" s="39">
        <f t="shared" si="16"/>
        <v>147</v>
      </c>
      <c r="AD24" s="39">
        <f t="shared" si="16"/>
        <v>0</v>
      </c>
      <c r="AE24" s="40">
        <f t="shared" si="16"/>
        <v>547</v>
      </c>
      <c r="AF24" s="40">
        <f t="shared" si="16"/>
        <v>694</v>
      </c>
    </row>
    <row r="25" spans="2:32" ht="23.1" customHeight="1" x14ac:dyDescent="0.25">
      <c r="B25" s="23" t="s">
        <v>52</v>
      </c>
      <c r="C25" s="50">
        <v>22</v>
      </c>
      <c r="D25" s="50">
        <v>4</v>
      </c>
      <c r="E25" s="50">
        <v>4</v>
      </c>
      <c r="F25" s="50">
        <v>26</v>
      </c>
      <c r="G25" s="50">
        <v>0</v>
      </c>
      <c r="H25" s="50">
        <v>0</v>
      </c>
      <c r="I25" s="50">
        <v>8</v>
      </c>
      <c r="J25" s="50">
        <v>0</v>
      </c>
      <c r="K25" s="50">
        <v>0</v>
      </c>
      <c r="L25" s="50">
        <v>6</v>
      </c>
      <c r="M25" s="50">
        <v>14</v>
      </c>
      <c r="N25" s="50">
        <v>0</v>
      </c>
      <c r="O25" s="15">
        <f t="shared" si="0"/>
        <v>70</v>
      </c>
      <c r="P25" s="15">
        <f t="shared" si="1"/>
        <v>84</v>
      </c>
      <c r="R25" s="37" t="s">
        <v>85</v>
      </c>
      <c r="S25" s="35">
        <f t="shared" ref="S25:AF25" si="17">SUM(S10:S12)</f>
        <v>185</v>
      </c>
      <c r="T25" s="16">
        <f t="shared" si="17"/>
        <v>36</v>
      </c>
      <c r="U25" s="16">
        <f t="shared" si="17"/>
        <v>30</v>
      </c>
      <c r="V25" s="16">
        <f t="shared" si="17"/>
        <v>290</v>
      </c>
      <c r="W25" s="16">
        <f t="shared" si="17"/>
        <v>5</v>
      </c>
      <c r="X25" s="16">
        <f t="shared" si="17"/>
        <v>11</v>
      </c>
      <c r="Y25" s="16">
        <f t="shared" si="17"/>
        <v>125</v>
      </c>
      <c r="Z25" s="16">
        <f t="shared" si="17"/>
        <v>12</v>
      </c>
      <c r="AA25" s="16">
        <f t="shared" si="17"/>
        <v>5</v>
      </c>
      <c r="AB25" s="16">
        <f t="shared" si="17"/>
        <v>27</v>
      </c>
      <c r="AC25" s="16">
        <f t="shared" si="17"/>
        <v>320</v>
      </c>
      <c r="AD25" s="16">
        <f t="shared" si="17"/>
        <v>0</v>
      </c>
      <c r="AE25" s="32">
        <f t="shared" si="17"/>
        <v>726</v>
      </c>
      <c r="AF25" s="32">
        <f t="shared" si="17"/>
        <v>1046</v>
      </c>
    </row>
    <row r="26" spans="2:32" ht="23.1" customHeight="1" x14ac:dyDescent="0.25">
      <c r="B26" s="23" t="s">
        <v>53</v>
      </c>
      <c r="C26" s="50">
        <v>21</v>
      </c>
      <c r="D26" s="50">
        <v>1</v>
      </c>
      <c r="E26" s="50">
        <v>8</v>
      </c>
      <c r="F26" s="50">
        <v>23</v>
      </c>
      <c r="G26" s="50">
        <v>0</v>
      </c>
      <c r="H26" s="50">
        <v>1</v>
      </c>
      <c r="I26" s="50">
        <v>7</v>
      </c>
      <c r="J26" s="50">
        <v>0</v>
      </c>
      <c r="K26" s="50">
        <v>0</v>
      </c>
      <c r="L26" s="50">
        <v>7</v>
      </c>
      <c r="M26" s="50">
        <v>19</v>
      </c>
      <c r="N26" s="50">
        <v>0</v>
      </c>
      <c r="O26" s="15">
        <f t="shared" si="0"/>
        <v>68</v>
      </c>
      <c r="P26" s="15">
        <f t="shared" si="1"/>
        <v>87</v>
      </c>
      <c r="R26" s="28" t="s">
        <v>86</v>
      </c>
      <c r="S26" s="16">
        <f t="shared" ref="S26:AF26" si="18">SUM(S13:S18)</f>
        <v>566</v>
      </c>
      <c r="T26" s="16">
        <f t="shared" si="18"/>
        <v>102</v>
      </c>
      <c r="U26" s="16">
        <f t="shared" si="18"/>
        <v>157</v>
      </c>
      <c r="V26" s="16">
        <f t="shared" si="18"/>
        <v>503</v>
      </c>
      <c r="W26" s="16">
        <f t="shared" si="18"/>
        <v>18</v>
      </c>
      <c r="X26" s="16">
        <f t="shared" si="18"/>
        <v>34</v>
      </c>
      <c r="Y26" s="16">
        <f t="shared" si="18"/>
        <v>308</v>
      </c>
      <c r="Z26" s="16">
        <f t="shared" si="18"/>
        <v>23</v>
      </c>
      <c r="AA26" s="16">
        <f t="shared" si="18"/>
        <v>18</v>
      </c>
      <c r="AB26" s="16">
        <f t="shared" si="18"/>
        <v>66</v>
      </c>
      <c r="AC26" s="16">
        <f t="shared" si="18"/>
        <v>446</v>
      </c>
      <c r="AD26" s="16">
        <f t="shared" si="18"/>
        <v>0</v>
      </c>
      <c r="AE26" s="32">
        <f t="shared" si="18"/>
        <v>1795</v>
      </c>
      <c r="AF26" s="32">
        <f t="shared" si="18"/>
        <v>2241</v>
      </c>
    </row>
    <row r="27" spans="2:32" ht="23.1" customHeight="1" x14ac:dyDescent="0.25">
      <c r="B27" s="23" t="s">
        <v>54</v>
      </c>
      <c r="C27" s="50">
        <v>20</v>
      </c>
      <c r="D27" s="50">
        <v>2</v>
      </c>
      <c r="E27" s="50">
        <v>7</v>
      </c>
      <c r="F27" s="50">
        <v>20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2</v>
      </c>
      <c r="M27" s="50">
        <v>9</v>
      </c>
      <c r="N27" s="50">
        <v>0</v>
      </c>
      <c r="O27" s="15">
        <f t="shared" si="0"/>
        <v>55</v>
      </c>
      <c r="P27" s="15">
        <f t="shared" si="1"/>
        <v>64</v>
      </c>
      <c r="R27" s="29" t="s">
        <v>87</v>
      </c>
      <c r="S27" s="16">
        <f t="shared" ref="S27:AF27" si="19">SUM(S19:S21)</f>
        <v>623</v>
      </c>
      <c r="T27" s="16">
        <f t="shared" si="19"/>
        <v>117</v>
      </c>
      <c r="U27" s="16">
        <f t="shared" si="19"/>
        <v>109</v>
      </c>
      <c r="V27" s="16">
        <f t="shared" si="19"/>
        <v>329</v>
      </c>
      <c r="W27" s="16">
        <f t="shared" si="19"/>
        <v>31</v>
      </c>
      <c r="X27" s="16">
        <f t="shared" si="19"/>
        <v>18</v>
      </c>
      <c r="Y27" s="16">
        <f t="shared" si="19"/>
        <v>206</v>
      </c>
      <c r="Z27" s="16">
        <f t="shared" si="19"/>
        <v>32</v>
      </c>
      <c r="AA27" s="16">
        <f t="shared" si="19"/>
        <v>10</v>
      </c>
      <c r="AB27" s="16">
        <f t="shared" si="19"/>
        <v>36</v>
      </c>
      <c r="AC27" s="16">
        <f t="shared" si="19"/>
        <v>380</v>
      </c>
      <c r="AD27" s="16">
        <f t="shared" si="19"/>
        <v>0</v>
      </c>
      <c r="AE27" s="32">
        <f t="shared" si="19"/>
        <v>1511</v>
      </c>
      <c r="AF27" s="32">
        <f t="shared" si="19"/>
        <v>1891</v>
      </c>
    </row>
    <row r="28" spans="2:32" ht="23.1" customHeight="1" x14ac:dyDescent="0.25">
      <c r="B28" s="23" t="s">
        <v>55</v>
      </c>
      <c r="C28" s="50">
        <v>18</v>
      </c>
      <c r="D28" s="50">
        <v>2</v>
      </c>
      <c r="E28" s="50">
        <v>6</v>
      </c>
      <c r="F28" s="50">
        <v>17</v>
      </c>
      <c r="G28" s="50">
        <v>1</v>
      </c>
      <c r="H28" s="50">
        <v>3</v>
      </c>
      <c r="I28" s="50">
        <v>8</v>
      </c>
      <c r="J28" s="50">
        <v>0</v>
      </c>
      <c r="K28" s="50">
        <v>0</v>
      </c>
      <c r="L28" s="50">
        <v>2</v>
      </c>
      <c r="M28" s="50">
        <v>16</v>
      </c>
      <c r="N28" s="50">
        <v>0</v>
      </c>
      <c r="O28" s="15">
        <f t="shared" si="0"/>
        <v>57</v>
      </c>
      <c r="P28" s="15">
        <f t="shared" si="1"/>
        <v>73</v>
      </c>
      <c r="R28" s="5" t="s">
        <v>17</v>
      </c>
      <c r="S28" s="16">
        <f t="shared" ref="S28:AF28" si="20">SUM(S10:S21)</f>
        <v>1374</v>
      </c>
      <c r="T28" s="16">
        <f t="shared" si="20"/>
        <v>255</v>
      </c>
      <c r="U28" s="16">
        <f t="shared" si="20"/>
        <v>296</v>
      </c>
      <c r="V28" s="16">
        <f t="shared" si="20"/>
        <v>1122</v>
      </c>
      <c r="W28" s="16">
        <f t="shared" si="20"/>
        <v>54</v>
      </c>
      <c r="X28" s="16">
        <f t="shared" si="20"/>
        <v>63</v>
      </c>
      <c r="Y28" s="16">
        <f t="shared" si="20"/>
        <v>639</v>
      </c>
      <c r="Z28" s="16">
        <f t="shared" si="20"/>
        <v>67</v>
      </c>
      <c r="AA28" s="16">
        <f t="shared" si="20"/>
        <v>33</v>
      </c>
      <c r="AB28" s="16">
        <f t="shared" si="20"/>
        <v>129</v>
      </c>
      <c r="AC28" s="16">
        <f t="shared" si="20"/>
        <v>1146</v>
      </c>
      <c r="AD28" s="16">
        <f t="shared" si="20"/>
        <v>0</v>
      </c>
      <c r="AE28" s="32">
        <f t="shared" si="20"/>
        <v>4032</v>
      </c>
      <c r="AF28" s="32">
        <f t="shared" si="20"/>
        <v>5178</v>
      </c>
    </row>
    <row r="29" spans="2:32" ht="23.1" customHeight="1" x14ac:dyDescent="0.25">
      <c r="B29" s="23" t="s">
        <v>56</v>
      </c>
      <c r="C29" s="50">
        <v>20</v>
      </c>
      <c r="D29" s="50">
        <v>4</v>
      </c>
      <c r="E29" s="50">
        <v>9</v>
      </c>
      <c r="F29" s="50">
        <v>17</v>
      </c>
      <c r="G29" s="50">
        <v>2</v>
      </c>
      <c r="H29" s="50">
        <v>1</v>
      </c>
      <c r="I29" s="50">
        <v>7</v>
      </c>
      <c r="J29" s="50">
        <v>0</v>
      </c>
      <c r="K29" s="50">
        <v>0</v>
      </c>
      <c r="L29" s="50">
        <v>3</v>
      </c>
      <c r="M29" s="50">
        <v>23</v>
      </c>
      <c r="N29" s="50">
        <v>0</v>
      </c>
      <c r="O29" s="15">
        <f t="shared" si="0"/>
        <v>63</v>
      </c>
      <c r="P29" s="15">
        <f t="shared" si="1"/>
        <v>86</v>
      </c>
      <c r="R29"/>
      <c r="S29" s="20"/>
      <c r="T29" s="19"/>
    </row>
    <row r="30" spans="2:32" ht="23.1" customHeight="1" x14ac:dyDescent="0.25">
      <c r="B30" s="23" t="s">
        <v>57</v>
      </c>
      <c r="C30" s="50">
        <v>18</v>
      </c>
      <c r="D30" s="50">
        <v>7</v>
      </c>
      <c r="E30" s="50">
        <v>4</v>
      </c>
      <c r="F30" s="50">
        <v>25</v>
      </c>
      <c r="G30" s="50">
        <v>0</v>
      </c>
      <c r="H30" s="50">
        <v>2</v>
      </c>
      <c r="I30" s="50">
        <v>18</v>
      </c>
      <c r="J30" s="50">
        <v>0</v>
      </c>
      <c r="K30" s="50">
        <v>2</v>
      </c>
      <c r="L30" s="50">
        <v>2</v>
      </c>
      <c r="M30" s="50">
        <v>23</v>
      </c>
      <c r="N30" s="50">
        <v>0</v>
      </c>
      <c r="O30" s="15">
        <f t="shared" si="0"/>
        <v>78</v>
      </c>
      <c r="P30" s="15">
        <f t="shared" si="1"/>
        <v>101</v>
      </c>
    </row>
    <row r="31" spans="2:32" ht="23.1" customHeight="1" x14ac:dyDescent="0.25">
      <c r="B31" s="24" t="s">
        <v>58</v>
      </c>
      <c r="C31" s="50">
        <v>20</v>
      </c>
      <c r="D31" s="50">
        <v>4</v>
      </c>
      <c r="E31" s="50">
        <v>4</v>
      </c>
      <c r="F31" s="50">
        <v>17</v>
      </c>
      <c r="G31" s="50">
        <v>2</v>
      </c>
      <c r="H31" s="50">
        <v>1</v>
      </c>
      <c r="I31" s="50">
        <v>14</v>
      </c>
      <c r="J31" s="50">
        <v>0</v>
      </c>
      <c r="K31" s="50">
        <v>1</v>
      </c>
      <c r="L31" s="50">
        <v>4</v>
      </c>
      <c r="M31" s="50">
        <v>21</v>
      </c>
      <c r="N31" s="50">
        <v>0</v>
      </c>
      <c r="O31" s="15">
        <f t="shared" si="0"/>
        <v>67</v>
      </c>
      <c r="P31" s="15">
        <f t="shared" si="1"/>
        <v>88</v>
      </c>
    </row>
    <row r="32" spans="2:32" ht="23.1" customHeight="1" x14ac:dyDescent="0.25">
      <c r="B32" s="24" t="s">
        <v>59</v>
      </c>
      <c r="C32" s="50">
        <v>27</v>
      </c>
      <c r="D32" s="50">
        <v>9</v>
      </c>
      <c r="E32" s="50">
        <v>7</v>
      </c>
      <c r="F32" s="50">
        <v>21</v>
      </c>
      <c r="G32" s="50">
        <v>0</v>
      </c>
      <c r="H32" s="50">
        <v>2</v>
      </c>
      <c r="I32" s="50">
        <v>20</v>
      </c>
      <c r="J32" s="50">
        <v>0</v>
      </c>
      <c r="K32" s="50">
        <v>1</v>
      </c>
      <c r="L32" s="50">
        <v>6</v>
      </c>
      <c r="M32" s="50">
        <v>15</v>
      </c>
      <c r="N32" s="50">
        <v>0</v>
      </c>
      <c r="O32" s="15">
        <f t="shared" si="0"/>
        <v>93</v>
      </c>
      <c r="P32" s="15">
        <f t="shared" si="1"/>
        <v>108</v>
      </c>
    </row>
    <row r="33" spans="2:20" ht="23.1" customHeight="1" x14ac:dyDescent="0.25">
      <c r="B33" s="23" t="s">
        <v>60</v>
      </c>
      <c r="C33" s="50">
        <v>13</v>
      </c>
      <c r="D33" s="50">
        <v>3</v>
      </c>
      <c r="E33" s="50">
        <v>3</v>
      </c>
      <c r="F33" s="50">
        <v>28</v>
      </c>
      <c r="G33" s="50">
        <v>1</v>
      </c>
      <c r="H33" s="50">
        <v>1</v>
      </c>
      <c r="I33" s="50">
        <v>12</v>
      </c>
      <c r="J33" s="50">
        <v>0</v>
      </c>
      <c r="K33" s="50">
        <v>1</v>
      </c>
      <c r="L33" s="50">
        <v>1</v>
      </c>
      <c r="M33" s="50">
        <v>27</v>
      </c>
      <c r="N33" s="50">
        <v>0</v>
      </c>
      <c r="O33" s="15">
        <f t="shared" si="0"/>
        <v>63</v>
      </c>
      <c r="P33" s="15">
        <f t="shared" si="1"/>
        <v>90</v>
      </c>
    </row>
    <row r="34" spans="2:20" ht="23.1" customHeight="1" x14ac:dyDescent="0.25">
      <c r="B34" s="24" t="s">
        <v>61</v>
      </c>
      <c r="C34" s="50">
        <v>30</v>
      </c>
      <c r="D34" s="50">
        <v>3</v>
      </c>
      <c r="E34" s="50">
        <v>6</v>
      </c>
      <c r="F34" s="50">
        <v>16</v>
      </c>
      <c r="G34" s="50">
        <v>1</v>
      </c>
      <c r="H34" s="50">
        <v>3</v>
      </c>
      <c r="I34" s="50">
        <v>13</v>
      </c>
      <c r="J34" s="50">
        <v>1</v>
      </c>
      <c r="K34" s="50">
        <v>1</v>
      </c>
      <c r="L34" s="50">
        <v>2</v>
      </c>
      <c r="M34" s="50">
        <v>30</v>
      </c>
      <c r="N34" s="50">
        <v>0</v>
      </c>
      <c r="O34" s="15">
        <f t="shared" si="0"/>
        <v>76</v>
      </c>
      <c r="P34" s="15">
        <f t="shared" si="1"/>
        <v>106</v>
      </c>
    </row>
    <row r="35" spans="2:20" ht="23.1" customHeight="1" x14ac:dyDescent="0.25">
      <c r="B35" s="24" t="s">
        <v>62</v>
      </c>
      <c r="C35" s="50">
        <v>21</v>
      </c>
      <c r="D35" s="50">
        <v>2</v>
      </c>
      <c r="E35" s="50">
        <v>3</v>
      </c>
      <c r="F35" s="50">
        <v>19</v>
      </c>
      <c r="G35" s="50">
        <v>0</v>
      </c>
      <c r="H35" s="50">
        <v>1</v>
      </c>
      <c r="I35" s="50">
        <v>9</v>
      </c>
      <c r="J35" s="50">
        <v>0</v>
      </c>
      <c r="K35" s="50">
        <v>1</v>
      </c>
      <c r="L35" s="50">
        <v>1</v>
      </c>
      <c r="M35" s="50">
        <v>8</v>
      </c>
      <c r="N35" s="50">
        <v>0</v>
      </c>
      <c r="O35" s="15">
        <f t="shared" si="0"/>
        <v>57</v>
      </c>
      <c r="P35" s="15">
        <f t="shared" si="1"/>
        <v>65</v>
      </c>
    </row>
    <row r="36" spans="2:20" ht="23.1" customHeight="1" x14ac:dyDescent="0.25">
      <c r="B36" s="24" t="s">
        <v>63</v>
      </c>
      <c r="C36" s="50">
        <v>20</v>
      </c>
      <c r="D36" s="50">
        <v>4</v>
      </c>
      <c r="E36" s="50">
        <v>6</v>
      </c>
      <c r="F36" s="50">
        <v>20</v>
      </c>
      <c r="G36" s="50">
        <v>0</v>
      </c>
      <c r="H36" s="50">
        <v>0</v>
      </c>
      <c r="I36" s="50">
        <v>24</v>
      </c>
      <c r="J36" s="50">
        <v>3</v>
      </c>
      <c r="K36" s="50">
        <v>0</v>
      </c>
      <c r="L36" s="50">
        <v>4</v>
      </c>
      <c r="M36" s="50">
        <v>14</v>
      </c>
      <c r="N36" s="50">
        <v>0</v>
      </c>
      <c r="O36" s="15">
        <f t="shared" si="0"/>
        <v>81</v>
      </c>
      <c r="P36" s="15">
        <f t="shared" si="1"/>
        <v>95</v>
      </c>
    </row>
    <row r="37" spans="2:20" ht="23.1" customHeight="1" x14ac:dyDescent="0.25">
      <c r="B37" s="23" t="s">
        <v>64</v>
      </c>
      <c r="C37" s="50">
        <v>22</v>
      </c>
      <c r="D37" s="50">
        <v>5</v>
      </c>
      <c r="E37" s="50">
        <v>9</v>
      </c>
      <c r="F37" s="50">
        <v>18</v>
      </c>
      <c r="G37" s="50">
        <v>0</v>
      </c>
      <c r="H37" s="50">
        <v>0</v>
      </c>
      <c r="I37" s="50">
        <v>13</v>
      </c>
      <c r="J37" s="50">
        <v>0</v>
      </c>
      <c r="K37" s="50">
        <v>1</v>
      </c>
      <c r="L37" s="50">
        <v>1</v>
      </c>
      <c r="M37" s="50">
        <v>21</v>
      </c>
      <c r="N37" s="50">
        <v>0</v>
      </c>
      <c r="O37" s="15">
        <f t="shared" si="0"/>
        <v>69</v>
      </c>
      <c r="P37" s="15">
        <f t="shared" si="1"/>
        <v>90</v>
      </c>
    </row>
    <row r="38" spans="2:20" ht="23.1" customHeight="1" x14ac:dyDescent="0.25">
      <c r="B38" s="24" t="s">
        <v>65</v>
      </c>
      <c r="C38" s="50">
        <v>38</v>
      </c>
      <c r="D38" s="50">
        <v>6</v>
      </c>
      <c r="E38" s="50">
        <v>10</v>
      </c>
      <c r="F38" s="50">
        <v>20</v>
      </c>
      <c r="G38" s="50">
        <v>2</v>
      </c>
      <c r="H38" s="50">
        <v>2</v>
      </c>
      <c r="I38" s="50">
        <v>12</v>
      </c>
      <c r="J38" s="50">
        <v>0</v>
      </c>
      <c r="K38" s="50">
        <v>0</v>
      </c>
      <c r="L38" s="50">
        <v>1</v>
      </c>
      <c r="M38" s="50">
        <v>17</v>
      </c>
      <c r="N38" s="50">
        <v>0</v>
      </c>
      <c r="O38" s="15">
        <f t="shared" si="0"/>
        <v>91</v>
      </c>
      <c r="P38" s="15">
        <f t="shared" si="1"/>
        <v>108</v>
      </c>
    </row>
    <row r="39" spans="2:20" ht="23.1" customHeight="1" x14ac:dyDescent="0.25">
      <c r="B39" s="24" t="s">
        <v>66</v>
      </c>
      <c r="C39" s="50">
        <v>30</v>
      </c>
      <c r="D39" s="50">
        <v>3</v>
      </c>
      <c r="E39" s="50">
        <v>5</v>
      </c>
      <c r="F39" s="50">
        <v>12</v>
      </c>
      <c r="G39" s="50">
        <v>1</v>
      </c>
      <c r="H39" s="50">
        <v>2</v>
      </c>
      <c r="I39" s="50">
        <v>14</v>
      </c>
      <c r="J39" s="50">
        <v>2</v>
      </c>
      <c r="K39" s="50">
        <v>1</v>
      </c>
      <c r="L39" s="50">
        <v>9</v>
      </c>
      <c r="M39" s="50">
        <v>8</v>
      </c>
      <c r="N39" s="50">
        <v>0</v>
      </c>
      <c r="O39" s="15">
        <f t="shared" si="0"/>
        <v>79</v>
      </c>
      <c r="P39" s="15">
        <f t="shared" si="1"/>
        <v>87</v>
      </c>
    </row>
    <row r="40" spans="2:20" ht="23.1" customHeight="1" x14ac:dyDescent="0.25">
      <c r="B40" s="24" t="s">
        <v>67</v>
      </c>
      <c r="C40" s="50">
        <v>25</v>
      </c>
      <c r="D40" s="50">
        <v>5</v>
      </c>
      <c r="E40" s="50">
        <v>15</v>
      </c>
      <c r="F40" s="50">
        <v>21</v>
      </c>
      <c r="G40" s="50">
        <v>2</v>
      </c>
      <c r="H40" s="50">
        <v>1</v>
      </c>
      <c r="I40" s="50">
        <v>8</v>
      </c>
      <c r="J40" s="50">
        <v>0</v>
      </c>
      <c r="K40" s="50">
        <v>1</v>
      </c>
      <c r="L40" s="50">
        <v>1</v>
      </c>
      <c r="M40" s="50">
        <v>19</v>
      </c>
      <c r="N40" s="50">
        <v>0</v>
      </c>
      <c r="O40" s="15">
        <f t="shared" si="0"/>
        <v>79</v>
      </c>
      <c r="P40" s="15">
        <f t="shared" si="1"/>
        <v>98</v>
      </c>
    </row>
    <row r="41" spans="2:20" ht="23.1" customHeight="1" x14ac:dyDescent="0.25">
      <c r="B41" s="23" t="s">
        <v>68</v>
      </c>
      <c r="C41" s="50">
        <v>40</v>
      </c>
      <c r="D41" s="50">
        <v>5</v>
      </c>
      <c r="E41" s="50">
        <v>8</v>
      </c>
      <c r="F41" s="50">
        <v>22</v>
      </c>
      <c r="G41" s="50">
        <v>0</v>
      </c>
      <c r="H41" s="50">
        <v>2</v>
      </c>
      <c r="I41" s="50">
        <v>19</v>
      </c>
      <c r="J41" s="50">
        <v>1</v>
      </c>
      <c r="K41" s="50">
        <v>0</v>
      </c>
      <c r="L41" s="50">
        <v>1</v>
      </c>
      <c r="M41" s="50">
        <v>22</v>
      </c>
      <c r="N41" s="50">
        <v>0</v>
      </c>
      <c r="O41" s="15">
        <f t="shared" si="0"/>
        <v>98</v>
      </c>
      <c r="P41" s="15">
        <f t="shared" si="1"/>
        <v>120</v>
      </c>
    </row>
    <row r="42" spans="2:20" ht="23.1" customHeight="1" x14ac:dyDescent="0.25">
      <c r="B42" s="24" t="s">
        <v>69</v>
      </c>
      <c r="C42" s="50">
        <v>27</v>
      </c>
      <c r="D42" s="50">
        <v>10</v>
      </c>
      <c r="E42" s="50">
        <v>15</v>
      </c>
      <c r="F42" s="50">
        <v>28</v>
      </c>
      <c r="G42" s="50">
        <v>2</v>
      </c>
      <c r="H42" s="50">
        <v>0</v>
      </c>
      <c r="I42" s="50">
        <v>25</v>
      </c>
      <c r="J42" s="50">
        <v>6</v>
      </c>
      <c r="K42" s="50">
        <v>3</v>
      </c>
      <c r="L42" s="50">
        <v>0</v>
      </c>
      <c r="M42" s="50">
        <v>19</v>
      </c>
      <c r="N42" s="50">
        <v>0</v>
      </c>
      <c r="O42" s="15">
        <f t="shared" si="0"/>
        <v>116</v>
      </c>
      <c r="P42" s="15">
        <f t="shared" si="1"/>
        <v>135</v>
      </c>
    </row>
    <row r="43" spans="2:20" ht="23.1" customHeight="1" x14ac:dyDescent="0.25">
      <c r="B43" s="23" t="s">
        <v>70</v>
      </c>
      <c r="C43" s="50">
        <v>35</v>
      </c>
      <c r="D43" s="50">
        <v>3</v>
      </c>
      <c r="E43" s="50">
        <v>5</v>
      </c>
      <c r="F43" s="50">
        <v>12</v>
      </c>
      <c r="G43" s="50">
        <v>1</v>
      </c>
      <c r="H43" s="50">
        <v>5</v>
      </c>
      <c r="I43" s="50">
        <v>15</v>
      </c>
      <c r="J43" s="50">
        <v>3</v>
      </c>
      <c r="K43" s="50">
        <v>0</v>
      </c>
      <c r="L43" s="50">
        <v>5</v>
      </c>
      <c r="M43" s="50">
        <v>19</v>
      </c>
      <c r="N43" s="50">
        <v>0</v>
      </c>
      <c r="O43" s="15">
        <f t="shared" si="0"/>
        <v>84</v>
      </c>
      <c r="P43" s="15">
        <f t="shared" si="1"/>
        <v>103</v>
      </c>
    </row>
    <row r="44" spans="2:20" ht="23.1" customHeight="1" x14ac:dyDescent="0.25">
      <c r="B44" s="25" t="s">
        <v>71</v>
      </c>
      <c r="C44" s="50">
        <v>29</v>
      </c>
      <c r="D44" s="50">
        <v>6</v>
      </c>
      <c r="E44" s="50">
        <v>10</v>
      </c>
      <c r="F44" s="50">
        <v>25</v>
      </c>
      <c r="G44" s="50">
        <v>0</v>
      </c>
      <c r="H44" s="50">
        <v>1</v>
      </c>
      <c r="I44" s="50">
        <v>13</v>
      </c>
      <c r="J44" s="50">
        <v>2</v>
      </c>
      <c r="K44" s="50">
        <v>0</v>
      </c>
      <c r="L44" s="50">
        <v>1</v>
      </c>
      <c r="M44" s="50">
        <v>18</v>
      </c>
      <c r="N44" s="50">
        <v>0</v>
      </c>
      <c r="O44" s="15">
        <f t="shared" si="0"/>
        <v>87</v>
      </c>
      <c r="P44" s="15">
        <f t="shared" si="1"/>
        <v>105</v>
      </c>
    </row>
    <row r="45" spans="2:20" ht="23.1" customHeight="1" x14ac:dyDescent="0.25">
      <c r="B45" s="23" t="s">
        <v>72</v>
      </c>
      <c r="C45" s="50">
        <v>29</v>
      </c>
      <c r="D45" s="50">
        <v>7</v>
      </c>
      <c r="E45" s="50">
        <v>7</v>
      </c>
      <c r="F45" s="50">
        <v>22</v>
      </c>
      <c r="G45" s="50">
        <v>0</v>
      </c>
      <c r="H45" s="50">
        <v>5</v>
      </c>
      <c r="I45" s="50">
        <v>16</v>
      </c>
      <c r="J45" s="50">
        <v>3</v>
      </c>
      <c r="K45" s="50">
        <v>1</v>
      </c>
      <c r="L45" s="50">
        <v>0</v>
      </c>
      <c r="M45" s="50">
        <v>20</v>
      </c>
      <c r="N45" s="50">
        <v>0</v>
      </c>
      <c r="O45" s="15">
        <f t="shared" si="0"/>
        <v>90</v>
      </c>
      <c r="P45" s="15">
        <f t="shared" si="1"/>
        <v>110</v>
      </c>
    </row>
    <row r="46" spans="2:20" ht="23.1" customHeight="1" x14ac:dyDescent="0.25">
      <c r="B46" s="24" t="s">
        <v>73</v>
      </c>
      <c r="C46" s="50">
        <v>34</v>
      </c>
      <c r="D46" s="50">
        <v>8</v>
      </c>
      <c r="E46" s="50">
        <v>11</v>
      </c>
      <c r="F46" s="50">
        <v>11</v>
      </c>
      <c r="G46" s="50">
        <v>1</v>
      </c>
      <c r="H46" s="50">
        <v>0</v>
      </c>
      <c r="I46" s="50">
        <v>18</v>
      </c>
      <c r="J46" s="50">
        <v>2</v>
      </c>
      <c r="K46" s="50">
        <v>0</v>
      </c>
      <c r="L46" s="50">
        <v>4</v>
      </c>
      <c r="M46" s="50">
        <v>25</v>
      </c>
      <c r="N46" s="50">
        <v>0</v>
      </c>
      <c r="O46" s="15">
        <f t="shared" si="0"/>
        <v>89</v>
      </c>
      <c r="P46" s="15">
        <f t="shared" si="1"/>
        <v>114</v>
      </c>
      <c r="R46" s="8"/>
      <c r="T46"/>
    </row>
    <row r="47" spans="2:20" ht="23.1" customHeight="1" x14ac:dyDescent="0.25">
      <c r="B47" s="24" t="s">
        <v>74</v>
      </c>
      <c r="C47" s="50">
        <v>44</v>
      </c>
      <c r="D47" s="50">
        <v>7</v>
      </c>
      <c r="E47" s="50">
        <v>7</v>
      </c>
      <c r="F47" s="50">
        <v>26</v>
      </c>
      <c r="G47" s="50">
        <v>0</v>
      </c>
      <c r="H47" s="50">
        <v>2</v>
      </c>
      <c r="I47" s="50">
        <v>23</v>
      </c>
      <c r="J47" s="50">
        <v>2</v>
      </c>
      <c r="K47" s="50">
        <v>0</v>
      </c>
      <c r="L47" s="50">
        <v>2</v>
      </c>
      <c r="M47" s="50">
        <v>29</v>
      </c>
      <c r="N47" s="50">
        <v>0</v>
      </c>
      <c r="O47" s="15">
        <f t="shared" si="0"/>
        <v>113</v>
      </c>
      <c r="P47" s="15">
        <f t="shared" si="1"/>
        <v>142</v>
      </c>
      <c r="R47" s="8"/>
      <c r="T47"/>
    </row>
    <row r="48" spans="2:20" ht="23.1" customHeight="1" x14ac:dyDescent="0.25">
      <c r="B48" s="24" t="s">
        <v>75</v>
      </c>
      <c r="C48" s="50">
        <v>43</v>
      </c>
      <c r="D48" s="50">
        <v>9</v>
      </c>
      <c r="E48" s="50">
        <v>5</v>
      </c>
      <c r="F48" s="50">
        <v>22</v>
      </c>
      <c r="G48" s="50">
        <v>2</v>
      </c>
      <c r="H48" s="50">
        <v>1</v>
      </c>
      <c r="I48" s="50">
        <v>15</v>
      </c>
      <c r="J48" s="50">
        <v>2</v>
      </c>
      <c r="K48" s="50">
        <v>0</v>
      </c>
      <c r="L48" s="50">
        <v>1</v>
      </c>
      <c r="M48" s="50">
        <v>33</v>
      </c>
      <c r="N48" s="50">
        <v>0</v>
      </c>
      <c r="O48" s="15">
        <f t="shared" si="0"/>
        <v>100</v>
      </c>
      <c r="P48" s="15">
        <f t="shared" si="1"/>
        <v>133</v>
      </c>
      <c r="R48" s="8"/>
      <c r="T48"/>
    </row>
    <row r="49" spans="2:20" ht="23.1" customHeight="1" x14ac:dyDescent="0.25">
      <c r="B49" s="23" t="s">
        <v>76</v>
      </c>
      <c r="C49" s="50">
        <v>74</v>
      </c>
      <c r="D49" s="50">
        <v>6</v>
      </c>
      <c r="E49" s="50">
        <v>10</v>
      </c>
      <c r="F49" s="50">
        <v>31</v>
      </c>
      <c r="G49" s="50">
        <v>4</v>
      </c>
      <c r="H49" s="50">
        <v>1</v>
      </c>
      <c r="I49" s="50">
        <v>20</v>
      </c>
      <c r="J49" s="50">
        <v>2</v>
      </c>
      <c r="K49" s="50">
        <v>1</v>
      </c>
      <c r="L49" s="50">
        <v>3</v>
      </c>
      <c r="M49" s="50">
        <v>26</v>
      </c>
      <c r="N49" s="50">
        <v>0</v>
      </c>
      <c r="O49" s="15">
        <f t="shared" si="0"/>
        <v>152</v>
      </c>
      <c r="P49" s="15">
        <f t="shared" si="1"/>
        <v>178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9</v>
      </c>
      <c r="E50" s="50">
        <v>15</v>
      </c>
      <c r="F50" s="50">
        <v>24</v>
      </c>
      <c r="G50" s="50">
        <v>1</v>
      </c>
      <c r="H50" s="50">
        <v>1</v>
      </c>
      <c r="I50" s="50">
        <v>10</v>
      </c>
      <c r="J50" s="50">
        <v>2</v>
      </c>
      <c r="K50" s="50">
        <v>0</v>
      </c>
      <c r="L50" s="50">
        <v>1</v>
      </c>
      <c r="M50" s="50">
        <v>16</v>
      </c>
      <c r="N50" s="50">
        <v>0</v>
      </c>
      <c r="O50" s="15">
        <f t="shared" si="0"/>
        <v>118</v>
      </c>
      <c r="P50" s="15">
        <f t="shared" si="1"/>
        <v>134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10</v>
      </c>
      <c r="E51" s="50">
        <v>5</v>
      </c>
      <c r="F51" s="50">
        <v>31</v>
      </c>
      <c r="G51" s="50">
        <v>2</v>
      </c>
      <c r="H51" s="50">
        <v>2</v>
      </c>
      <c r="I51" s="50">
        <v>11</v>
      </c>
      <c r="J51" s="50">
        <v>5</v>
      </c>
      <c r="K51" s="50">
        <v>0</v>
      </c>
      <c r="L51" s="50">
        <v>4</v>
      </c>
      <c r="M51" s="50">
        <v>33</v>
      </c>
      <c r="N51" s="50">
        <v>0</v>
      </c>
      <c r="O51" s="15">
        <f t="shared" si="0"/>
        <v>135</v>
      </c>
      <c r="P51" s="15">
        <f t="shared" si="1"/>
        <v>168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10</v>
      </c>
      <c r="E52" s="50">
        <v>14</v>
      </c>
      <c r="F52" s="50">
        <v>33</v>
      </c>
      <c r="G52" s="50">
        <v>3</v>
      </c>
      <c r="H52" s="50">
        <v>4</v>
      </c>
      <c r="I52" s="50">
        <v>16</v>
      </c>
      <c r="J52" s="50">
        <v>2</v>
      </c>
      <c r="K52" s="50">
        <v>1</v>
      </c>
      <c r="L52" s="50">
        <v>3</v>
      </c>
      <c r="M52" s="50">
        <v>41</v>
      </c>
      <c r="N52" s="50">
        <v>0</v>
      </c>
      <c r="O52" s="15">
        <f t="shared" si="0"/>
        <v>136</v>
      </c>
      <c r="P52" s="15">
        <f t="shared" si="1"/>
        <v>177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12</v>
      </c>
      <c r="E53" s="50">
        <v>13</v>
      </c>
      <c r="F53" s="50">
        <v>26</v>
      </c>
      <c r="G53" s="50">
        <v>5</v>
      </c>
      <c r="H53" s="50">
        <v>2</v>
      </c>
      <c r="I53" s="50">
        <v>18</v>
      </c>
      <c r="J53" s="50">
        <v>2</v>
      </c>
      <c r="K53" s="50">
        <v>3</v>
      </c>
      <c r="L53" s="50">
        <v>5</v>
      </c>
      <c r="M53" s="50">
        <v>30</v>
      </c>
      <c r="N53" s="50">
        <v>0</v>
      </c>
      <c r="O53" s="15">
        <f t="shared" si="0"/>
        <v>121</v>
      </c>
      <c r="P53" s="15">
        <f t="shared" si="1"/>
        <v>151</v>
      </c>
      <c r="R53" s="8"/>
      <c r="T53"/>
    </row>
    <row r="54" spans="2:20" ht="23.1" customHeight="1" x14ac:dyDescent="0.25">
      <c r="B54" s="23" t="s">
        <v>81</v>
      </c>
      <c r="C54" s="50">
        <v>65</v>
      </c>
      <c r="D54" s="50">
        <v>14</v>
      </c>
      <c r="E54" s="50">
        <v>5</v>
      </c>
      <c r="F54" s="50">
        <v>32</v>
      </c>
      <c r="G54" s="50">
        <v>4</v>
      </c>
      <c r="H54" s="50">
        <v>2</v>
      </c>
      <c r="I54" s="50">
        <v>33</v>
      </c>
      <c r="J54" s="50">
        <v>3</v>
      </c>
      <c r="K54" s="50">
        <v>2</v>
      </c>
      <c r="L54" s="50">
        <v>1</v>
      </c>
      <c r="M54" s="50">
        <v>36</v>
      </c>
      <c r="N54" s="50">
        <v>0</v>
      </c>
      <c r="O54" s="15">
        <f t="shared" si="0"/>
        <v>161</v>
      </c>
      <c r="P54" s="15">
        <f t="shared" si="1"/>
        <v>197</v>
      </c>
      <c r="R54" s="8"/>
      <c r="T54"/>
    </row>
    <row r="55" spans="2:20" ht="23.1" customHeight="1" x14ac:dyDescent="0.25">
      <c r="B55" s="23" t="s">
        <v>82</v>
      </c>
      <c r="C55" s="50">
        <v>36</v>
      </c>
      <c r="D55" s="50">
        <v>6</v>
      </c>
      <c r="E55" s="50">
        <v>4</v>
      </c>
      <c r="F55" s="50">
        <v>31</v>
      </c>
      <c r="G55" s="50">
        <v>2</v>
      </c>
      <c r="H55" s="50">
        <v>0</v>
      </c>
      <c r="I55" s="50">
        <v>12</v>
      </c>
      <c r="J55" s="50">
        <v>3</v>
      </c>
      <c r="K55" s="50">
        <v>0</v>
      </c>
      <c r="L55" s="50">
        <v>1</v>
      </c>
      <c r="M55" s="50">
        <v>32</v>
      </c>
      <c r="N55" s="50">
        <v>0</v>
      </c>
      <c r="O55" s="15">
        <f t="shared" si="0"/>
        <v>95</v>
      </c>
      <c r="P55" s="15">
        <f t="shared" si="1"/>
        <v>127</v>
      </c>
      <c r="R55" s="8"/>
      <c r="T55"/>
    </row>
    <row r="56" spans="2:20" ht="23.1" customHeight="1" x14ac:dyDescent="0.25">
      <c r="B56" s="23" t="s">
        <v>83</v>
      </c>
      <c r="C56" s="50">
        <v>64</v>
      </c>
      <c r="D56" s="50">
        <v>9</v>
      </c>
      <c r="E56" s="50">
        <v>4</v>
      </c>
      <c r="F56" s="50">
        <v>27</v>
      </c>
      <c r="G56" s="50">
        <v>3</v>
      </c>
      <c r="H56" s="50">
        <v>2</v>
      </c>
      <c r="I56" s="50">
        <v>17</v>
      </c>
      <c r="J56" s="50">
        <v>1</v>
      </c>
      <c r="K56" s="50">
        <v>1</v>
      </c>
      <c r="L56" s="50">
        <v>6</v>
      </c>
      <c r="M56" s="50">
        <v>46</v>
      </c>
      <c r="N56" s="50">
        <v>0</v>
      </c>
      <c r="O56" s="15">
        <f t="shared" si="0"/>
        <v>134</v>
      </c>
      <c r="P56" s="15">
        <f t="shared" si="1"/>
        <v>180</v>
      </c>
      <c r="R56" s="8"/>
      <c r="T56"/>
    </row>
    <row r="57" spans="2:20" ht="23.1" customHeight="1" x14ac:dyDescent="0.25">
      <c r="B57" s="23" t="s">
        <v>84</v>
      </c>
      <c r="C57" s="50">
        <v>58</v>
      </c>
      <c r="D57" s="50">
        <v>17</v>
      </c>
      <c r="E57" s="50">
        <v>16</v>
      </c>
      <c r="F57" s="50">
        <v>35</v>
      </c>
      <c r="G57" s="50">
        <v>4</v>
      </c>
      <c r="H57" s="50">
        <v>1</v>
      </c>
      <c r="I57" s="50">
        <v>13</v>
      </c>
      <c r="J57" s="50">
        <v>6</v>
      </c>
      <c r="K57" s="50">
        <v>2</v>
      </c>
      <c r="L57" s="50">
        <v>5</v>
      </c>
      <c r="M57" s="50">
        <v>33</v>
      </c>
      <c r="N57" s="50">
        <v>0</v>
      </c>
      <c r="O57" s="15">
        <f t="shared" si="0"/>
        <v>157</v>
      </c>
      <c r="P57" s="15">
        <f t="shared" si="1"/>
        <v>190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1374</v>
      </c>
      <c r="D58" s="16">
        <f t="shared" si="21"/>
        <v>255</v>
      </c>
      <c r="E58" s="16">
        <f t="shared" si="21"/>
        <v>296</v>
      </c>
      <c r="F58" s="16">
        <f t="shared" si="21"/>
        <v>1122</v>
      </c>
      <c r="G58" s="16">
        <f t="shared" si="21"/>
        <v>54</v>
      </c>
      <c r="H58" s="16">
        <f t="shared" si="21"/>
        <v>63</v>
      </c>
      <c r="I58" s="16">
        <f t="shared" si="21"/>
        <v>639</v>
      </c>
      <c r="J58" s="16">
        <f t="shared" si="21"/>
        <v>67</v>
      </c>
      <c r="K58" s="16">
        <f t="shared" si="21"/>
        <v>33</v>
      </c>
      <c r="L58" s="16">
        <f t="shared" si="21"/>
        <v>129</v>
      </c>
      <c r="M58" s="16">
        <f t="shared" si="21"/>
        <v>1146</v>
      </c>
      <c r="N58" s="16">
        <f t="shared" si="21"/>
        <v>0</v>
      </c>
      <c r="O58" s="16">
        <f t="shared" si="21"/>
        <v>4032</v>
      </c>
      <c r="P58" s="16">
        <f t="shared" si="21"/>
        <v>5178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0.26535341830822712</v>
      </c>
      <c r="D59" s="43">
        <f t="shared" si="22"/>
        <v>4.9246813441483198E-2</v>
      </c>
      <c r="E59" s="43">
        <f t="shared" si="22"/>
        <v>5.7164928543839318E-2</v>
      </c>
      <c r="F59" s="43">
        <f t="shared" si="22"/>
        <v>0.21668597914252608</v>
      </c>
      <c r="G59" s="43">
        <f t="shared" si="22"/>
        <v>1.0428736964078795E-2</v>
      </c>
      <c r="H59" s="43">
        <f t="shared" si="22"/>
        <v>1.2166859791425261E-2</v>
      </c>
      <c r="I59" s="43">
        <f t="shared" si="22"/>
        <v>0.12340672074159907</v>
      </c>
      <c r="J59" s="43">
        <f t="shared" si="22"/>
        <v>1.2939358825801467E-2</v>
      </c>
      <c r="K59" s="43">
        <f t="shared" si="22"/>
        <v>6.3731170336037077E-3</v>
      </c>
      <c r="L59" s="43">
        <f t="shared" si="22"/>
        <v>2.4913093858632676E-2</v>
      </c>
      <c r="M59" s="43">
        <f t="shared" si="22"/>
        <v>0.22132097334878331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0.34077380952380953</v>
      </c>
      <c r="D60" s="44">
        <f t="shared" ref="D60:N60" si="23">D58/$O$58</f>
        <v>6.3244047619047616E-2</v>
      </c>
      <c r="E60" s="44">
        <f t="shared" si="23"/>
        <v>7.3412698412698416E-2</v>
      </c>
      <c r="F60" s="44">
        <f t="shared" si="23"/>
        <v>0.27827380952380953</v>
      </c>
      <c r="G60" s="44">
        <f t="shared" si="23"/>
        <v>1.3392857142857142E-2</v>
      </c>
      <c r="H60" s="44">
        <f t="shared" si="23"/>
        <v>1.5625E-2</v>
      </c>
      <c r="I60" s="44">
        <f t="shared" si="23"/>
        <v>0.15848214285714285</v>
      </c>
      <c r="J60" s="44">
        <f t="shared" si="23"/>
        <v>1.6617063492063492E-2</v>
      </c>
      <c r="K60" s="44">
        <f t="shared" si="23"/>
        <v>8.1845238095238099E-3</v>
      </c>
      <c r="L60" s="44">
        <f t="shared" si="23"/>
        <v>3.1994047619047616E-2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B1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'01.11 Masaka-Maya'!D5</f>
        <v>01.11.19</v>
      </c>
      <c r="E5" s="3"/>
      <c r="F5" s="41" t="s">
        <v>1</v>
      </c>
      <c r="G5" s="66" t="str">
        <f>'01.11 Masaka-Maya'!G5:H5</f>
        <v>Maya</v>
      </c>
      <c r="H5" s="67"/>
      <c r="I5" s="14"/>
      <c r="J5" s="2" t="s">
        <v>5</v>
      </c>
      <c r="K5" s="66" t="str">
        <f>'01.11 Masaka-Maya'!K5:L5</f>
        <v>Kato joseph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'28.10 Maya-Masaka'!G6:H6</f>
        <v>Masaka</v>
      </c>
      <c r="H6" s="67"/>
      <c r="J6" s="2" t="s">
        <v>21</v>
      </c>
      <c r="K6" s="66" t="str">
        <f>'01.11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24</v>
      </c>
      <c r="D10" s="50">
        <v>5</v>
      </c>
      <c r="E10" s="50">
        <v>4</v>
      </c>
      <c r="F10" s="50">
        <v>11</v>
      </c>
      <c r="G10" s="50">
        <v>1</v>
      </c>
      <c r="H10" s="50">
        <v>11</v>
      </c>
      <c r="I10" s="50">
        <v>3</v>
      </c>
      <c r="J10" s="50">
        <v>0</v>
      </c>
      <c r="K10" s="50">
        <v>0</v>
      </c>
      <c r="L10" s="50">
        <v>1</v>
      </c>
      <c r="M10" s="50">
        <v>8</v>
      </c>
      <c r="N10" s="50">
        <v>0</v>
      </c>
      <c r="O10" s="15">
        <f t="shared" ref="O10:O57" si="0">SUM(C10:L10,N10)</f>
        <v>60</v>
      </c>
      <c r="P10" s="15">
        <f t="shared" ref="P10:P57" si="1">SUM(C10:N10)</f>
        <v>68</v>
      </c>
      <c r="R10" s="1" t="s">
        <v>6</v>
      </c>
      <c r="S10" s="17">
        <f t="shared" ref="S10:AF10" si="2">SUM(C10:C13)</f>
        <v>80</v>
      </c>
      <c r="T10" s="17">
        <f t="shared" si="2"/>
        <v>20</v>
      </c>
      <c r="U10" s="17">
        <f t="shared" si="2"/>
        <v>11</v>
      </c>
      <c r="V10" s="17">
        <f t="shared" si="2"/>
        <v>42</v>
      </c>
      <c r="W10" s="17">
        <f t="shared" si="2"/>
        <v>4</v>
      </c>
      <c r="X10" s="17">
        <f t="shared" si="2"/>
        <v>13</v>
      </c>
      <c r="Y10" s="17">
        <f t="shared" si="2"/>
        <v>24</v>
      </c>
      <c r="Z10" s="17">
        <f t="shared" si="2"/>
        <v>2</v>
      </c>
      <c r="AA10" s="17">
        <f t="shared" si="2"/>
        <v>3</v>
      </c>
      <c r="AB10" s="17">
        <f t="shared" si="2"/>
        <v>2</v>
      </c>
      <c r="AC10" s="17">
        <f t="shared" si="2"/>
        <v>43</v>
      </c>
      <c r="AD10" s="17">
        <f t="shared" si="2"/>
        <v>0</v>
      </c>
      <c r="AE10" s="31">
        <f t="shared" si="2"/>
        <v>201</v>
      </c>
      <c r="AF10" s="31">
        <f t="shared" si="2"/>
        <v>244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8</v>
      </c>
      <c r="E11" s="50">
        <v>2</v>
      </c>
      <c r="F11" s="50">
        <v>7</v>
      </c>
      <c r="G11" s="50">
        <v>1</v>
      </c>
      <c r="H11" s="50">
        <v>1</v>
      </c>
      <c r="I11" s="50">
        <v>8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41</v>
      </c>
      <c r="P11" s="15">
        <f t="shared" si="1"/>
        <v>52</v>
      </c>
      <c r="R11" s="1" t="s">
        <v>7</v>
      </c>
      <c r="S11" s="17">
        <f t="shared" ref="S11:AF11" si="3">SUM(C14:C17)</f>
        <v>120</v>
      </c>
      <c r="T11" s="17">
        <f t="shared" si="3"/>
        <v>33</v>
      </c>
      <c r="U11" s="17">
        <f t="shared" si="3"/>
        <v>23</v>
      </c>
      <c r="V11" s="17">
        <f t="shared" si="3"/>
        <v>88</v>
      </c>
      <c r="W11" s="17">
        <f t="shared" si="3"/>
        <v>5</v>
      </c>
      <c r="X11" s="17">
        <f t="shared" si="3"/>
        <v>4</v>
      </c>
      <c r="Y11" s="17">
        <f t="shared" si="3"/>
        <v>49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77</v>
      </c>
      <c r="AD11" s="17">
        <f t="shared" si="3"/>
        <v>0</v>
      </c>
      <c r="AE11" s="31">
        <f t="shared" si="3"/>
        <v>329</v>
      </c>
      <c r="AF11" s="31">
        <f t="shared" si="3"/>
        <v>406</v>
      </c>
    </row>
    <row r="12" spans="2:32" ht="23.1" customHeight="1" x14ac:dyDescent="0.25">
      <c r="B12" s="23" t="s">
        <v>39</v>
      </c>
      <c r="C12" s="50">
        <v>8</v>
      </c>
      <c r="D12" s="50">
        <v>3</v>
      </c>
      <c r="E12" s="50">
        <v>1</v>
      </c>
      <c r="F12" s="50">
        <v>5</v>
      </c>
      <c r="G12" s="50">
        <v>2</v>
      </c>
      <c r="H12" s="50">
        <v>0</v>
      </c>
      <c r="I12" s="50">
        <v>4</v>
      </c>
      <c r="J12" s="50">
        <v>1</v>
      </c>
      <c r="K12" s="50">
        <v>1</v>
      </c>
      <c r="L12" s="50">
        <v>0</v>
      </c>
      <c r="M12" s="50">
        <v>4</v>
      </c>
      <c r="N12" s="50">
        <v>0</v>
      </c>
      <c r="O12" s="15">
        <f t="shared" si="0"/>
        <v>25</v>
      </c>
      <c r="P12" s="15">
        <f t="shared" si="1"/>
        <v>29</v>
      </c>
      <c r="R12" s="1" t="s">
        <v>8</v>
      </c>
      <c r="S12" s="17">
        <f t="shared" ref="S12:AF12" si="4">SUM(C18:C21)</f>
        <v>140</v>
      </c>
      <c r="T12" s="17">
        <f t="shared" si="4"/>
        <v>25</v>
      </c>
      <c r="U12" s="17">
        <f t="shared" si="4"/>
        <v>23</v>
      </c>
      <c r="V12" s="17">
        <f t="shared" si="4"/>
        <v>88</v>
      </c>
      <c r="W12" s="17">
        <f t="shared" si="4"/>
        <v>4</v>
      </c>
      <c r="X12" s="17">
        <f t="shared" si="4"/>
        <v>6</v>
      </c>
      <c r="Y12" s="17">
        <f t="shared" si="4"/>
        <v>61</v>
      </c>
      <c r="Z12" s="17">
        <f t="shared" si="4"/>
        <v>7</v>
      </c>
      <c r="AA12" s="17">
        <f t="shared" si="4"/>
        <v>6</v>
      </c>
      <c r="AB12" s="17">
        <f t="shared" si="4"/>
        <v>4</v>
      </c>
      <c r="AC12" s="17">
        <f t="shared" si="4"/>
        <v>80</v>
      </c>
      <c r="AD12" s="17">
        <f t="shared" si="4"/>
        <v>0</v>
      </c>
      <c r="AE12" s="31">
        <f t="shared" si="4"/>
        <v>364</v>
      </c>
      <c r="AF12" s="31">
        <f t="shared" si="4"/>
        <v>444</v>
      </c>
    </row>
    <row r="13" spans="2:32" ht="23.1" customHeight="1" x14ac:dyDescent="0.25">
      <c r="B13" s="23" t="s">
        <v>40</v>
      </c>
      <c r="C13" s="50">
        <v>34</v>
      </c>
      <c r="D13" s="50">
        <v>4</v>
      </c>
      <c r="E13" s="50">
        <v>4</v>
      </c>
      <c r="F13" s="50">
        <v>19</v>
      </c>
      <c r="G13" s="50">
        <v>0</v>
      </c>
      <c r="H13" s="50">
        <v>1</v>
      </c>
      <c r="I13" s="50">
        <v>9</v>
      </c>
      <c r="J13" s="50">
        <v>1</v>
      </c>
      <c r="K13" s="50">
        <v>2</v>
      </c>
      <c r="L13" s="50">
        <v>1</v>
      </c>
      <c r="M13" s="50">
        <v>20</v>
      </c>
      <c r="N13" s="50">
        <v>0</v>
      </c>
      <c r="O13" s="15">
        <f t="shared" si="0"/>
        <v>75</v>
      </c>
      <c r="P13" s="15">
        <f t="shared" si="1"/>
        <v>95</v>
      </c>
      <c r="R13" s="1" t="s">
        <v>9</v>
      </c>
      <c r="S13" s="17">
        <f t="shared" ref="S13:AF13" si="5">SUM(C22:C25)</f>
        <v>103</v>
      </c>
      <c r="T13" s="17">
        <f t="shared" si="5"/>
        <v>27</v>
      </c>
      <c r="U13" s="17">
        <f t="shared" si="5"/>
        <v>23</v>
      </c>
      <c r="V13" s="17">
        <f t="shared" si="5"/>
        <v>73</v>
      </c>
      <c r="W13" s="17">
        <f t="shared" si="5"/>
        <v>7</v>
      </c>
      <c r="X13" s="17">
        <f t="shared" si="5"/>
        <v>3</v>
      </c>
      <c r="Y13" s="17">
        <f t="shared" si="5"/>
        <v>60</v>
      </c>
      <c r="Z13" s="17">
        <f t="shared" si="5"/>
        <v>2</v>
      </c>
      <c r="AA13" s="17">
        <f t="shared" si="5"/>
        <v>0</v>
      </c>
      <c r="AB13" s="17">
        <f t="shared" si="5"/>
        <v>7</v>
      </c>
      <c r="AC13" s="17">
        <f t="shared" si="5"/>
        <v>79</v>
      </c>
      <c r="AD13" s="17">
        <f t="shared" si="5"/>
        <v>0</v>
      </c>
      <c r="AE13" s="31">
        <f t="shared" si="5"/>
        <v>305</v>
      </c>
      <c r="AF13" s="31">
        <f t="shared" si="5"/>
        <v>384</v>
      </c>
    </row>
    <row r="14" spans="2:32" ht="23.1" customHeight="1" x14ac:dyDescent="0.25">
      <c r="B14" s="23" t="s">
        <v>41</v>
      </c>
      <c r="C14" s="50">
        <v>33</v>
      </c>
      <c r="D14" s="50">
        <v>9</v>
      </c>
      <c r="E14" s="50">
        <v>1</v>
      </c>
      <c r="F14" s="50">
        <v>27</v>
      </c>
      <c r="G14" s="50">
        <v>3</v>
      </c>
      <c r="H14" s="50">
        <v>1</v>
      </c>
      <c r="I14" s="50">
        <v>10</v>
      </c>
      <c r="J14" s="50">
        <v>0</v>
      </c>
      <c r="K14" s="50">
        <v>0</v>
      </c>
      <c r="L14" s="50">
        <v>0</v>
      </c>
      <c r="M14" s="50">
        <v>15</v>
      </c>
      <c r="N14" s="50">
        <v>0</v>
      </c>
      <c r="O14" s="15">
        <f t="shared" si="0"/>
        <v>84</v>
      </c>
      <c r="P14" s="15">
        <f t="shared" si="1"/>
        <v>99</v>
      </c>
      <c r="R14" s="1" t="s">
        <v>10</v>
      </c>
      <c r="S14" s="17">
        <f t="shared" ref="S14:AF14" si="6">SUM(C26:C29)</f>
        <v>123</v>
      </c>
      <c r="T14" s="17">
        <f t="shared" si="6"/>
        <v>34</v>
      </c>
      <c r="U14" s="17">
        <f t="shared" si="6"/>
        <v>27</v>
      </c>
      <c r="V14" s="17">
        <f t="shared" si="6"/>
        <v>137</v>
      </c>
      <c r="W14" s="17">
        <f t="shared" si="6"/>
        <v>8</v>
      </c>
      <c r="X14" s="17">
        <f t="shared" si="6"/>
        <v>5</v>
      </c>
      <c r="Y14" s="17">
        <f t="shared" si="6"/>
        <v>85</v>
      </c>
      <c r="Z14" s="17">
        <f t="shared" si="6"/>
        <v>3</v>
      </c>
      <c r="AA14" s="17">
        <f t="shared" si="6"/>
        <v>5</v>
      </c>
      <c r="AB14" s="17">
        <f t="shared" si="6"/>
        <v>8</v>
      </c>
      <c r="AC14" s="17">
        <f t="shared" si="6"/>
        <v>97</v>
      </c>
      <c r="AD14" s="17">
        <f t="shared" si="6"/>
        <v>0</v>
      </c>
      <c r="AE14" s="31">
        <f t="shared" si="6"/>
        <v>435</v>
      </c>
      <c r="AF14" s="31">
        <f t="shared" si="6"/>
        <v>532</v>
      </c>
    </row>
    <row r="15" spans="2:32" ht="23.1" customHeight="1" x14ac:dyDescent="0.25">
      <c r="B15" s="23" t="s">
        <v>42</v>
      </c>
      <c r="C15" s="50">
        <v>24</v>
      </c>
      <c r="D15" s="50">
        <v>6</v>
      </c>
      <c r="E15" s="50">
        <v>8</v>
      </c>
      <c r="F15" s="50">
        <v>20</v>
      </c>
      <c r="G15" s="50">
        <v>1</v>
      </c>
      <c r="H15" s="50">
        <v>3</v>
      </c>
      <c r="I15" s="50">
        <v>12</v>
      </c>
      <c r="J15" s="50">
        <v>2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76</v>
      </c>
      <c r="P15" s="15">
        <f t="shared" si="1"/>
        <v>87</v>
      </c>
      <c r="R15" s="1" t="s">
        <v>11</v>
      </c>
      <c r="S15" s="17">
        <f t="shared" ref="S15:AF15" si="7">SUM(C30:C33)</f>
        <v>133</v>
      </c>
      <c r="T15" s="17">
        <f t="shared" si="7"/>
        <v>50</v>
      </c>
      <c r="U15" s="17">
        <f t="shared" si="7"/>
        <v>21</v>
      </c>
      <c r="V15" s="17">
        <f t="shared" si="7"/>
        <v>117</v>
      </c>
      <c r="W15" s="17">
        <f t="shared" si="7"/>
        <v>6</v>
      </c>
      <c r="X15" s="17">
        <f t="shared" si="7"/>
        <v>8</v>
      </c>
      <c r="Y15" s="17">
        <f t="shared" si="7"/>
        <v>75</v>
      </c>
      <c r="Z15" s="17">
        <f t="shared" si="7"/>
        <v>3</v>
      </c>
      <c r="AA15" s="17">
        <f t="shared" si="7"/>
        <v>3</v>
      </c>
      <c r="AB15" s="17">
        <f t="shared" si="7"/>
        <v>6</v>
      </c>
      <c r="AC15" s="17">
        <f t="shared" si="7"/>
        <v>109</v>
      </c>
      <c r="AD15" s="17">
        <f t="shared" si="7"/>
        <v>0</v>
      </c>
      <c r="AE15" s="31">
        <f t="shared" si="7"/>
        <v>422</v>
      </c>
      <c r="AF15" s="31">
        <f t="shared" si="7"/>
        <v>531</v>
      </c>
    </row>
    <row r="16" spans="2:32" ht="23.1" customHeight="1" x14ac:dyDescent="0.25">
      <c r="B16" s="23" t="s">
        <v>43</v>
      </c>
      <c r="C16" s="50">
        <v>30</v>
      </c>
      <c r="D16" s="50">
        <v>10</v>
      </c>
      <c r="E16" s="50">
        <v>4</v>
      </c>
      <c r="F16" s="50">
        <v>17</v>
      </c>
      <c r="G16" s="50">
        <v>0</v>
      </c>
      <c r="H16" s="50">
        <v>0</v>
      </c>
      <c r="I16" s="50">
        <v>18</v>
      </c>
      <c r="J16" s="50">
        <v>2</v>
      </c>
      <c r="K16" s="50">
        <v>0</v>
      </c>
      <c r="L16" s="50">
        <v>0</v>
      </c>
      <c r="M16" s="50">
        <v>29</v>
      </c>
      <c r="N16" s="50">
        <v>0</v>
      </c>
      <c r="O16" s="15">
        <f t="shared" si="0"/>
        <v>81</v>
      </c>
      <c r="P16" s="15">
        <f t="shared" si="1"/>
        <v>110</v>
      </c>
      <c r="R16" s="1" t="s">
        <v>12</v>
      </c>
      <c r="S16" s="17">
        <f t="shared" ref="S16:AF16" si="8">SUM(C34:C37)</f>
        <v>144</v>
      </c>
      <c r="T16" s="17">
        <f t="shared" si="8"/>
        <v>34</v>
      </c>
      <c r="U16" s="17">
        <f t="shared" si="8"/>
        <v>29</v>
      </c>
      <c r="V16" s="17">
        <f t="shared" si="8"/>
        <v>105</v>
      </c>
      <c r="W16" s="17">
        <f t="shared" si="8"/>
        <v>11</v>
      </c>
      <c r="X16" s="17">
        <f t="shared" si="8"/>
        <v>10</v>
      </c>
      <c r="Y16" s="17">
        <f t="shared" si="8"/>
        <v>101</v>
      </c>
      <c r="Z16" s="17">
        <f t="shared" si="8"/>
        <v>5</v>
      </c>
      <c r="AA16" s="17">
        <f t="shared" si="8"/>
        <v>9</v>
      </c>
      <c r="AB16" s="17">
        <f t="shared" si="8"/>
        <v>9</v>
      </c>
      <c r="AC16" s="17">
        <f t="shared" si="8"/>
        <v>86</v>
      </c>
      <c r="AD16" s="17">
        <f t="shared" si="8"/>
        <v>0</v>
      </c>
      <c r="AE16" s="31">
        <f t="shared" si="8"/>
        <v>457</v>
      </c>
      <c r="AF16" s="31">
        <f t="shared" si="8"/>
        <v>543</v>
      </c>
    </row>
    <row r="17" spans="2:32" ht="23.1" customHeight="1" x14ac:dyDescent="0.25">
      <c r="B17" s="23" t="s">
        <v>44</v>
      </c>
      <c r="C17" s="50">
        <v>33</v>
      </c>
      <c r="D17" s="50">
        <v>8</v>
      </c>
      <c r="E17" s="50">
        <v>10</v>
      </c>
      <c r="F17" s="50">
        <v>24</v>
      </c>
      <c r="G17" s="50">
        <v>1</v>
      </c>
      <c r="H17" s="50">
        <v>0</v>
      </c>
      <c r="I17" s="50">
        <v>9</v>
      </c>
      <c r="J17" s="50">
        <v>2</v>
      </c>
      <c r="K17" s="50">
        <v>1</v>
      </c>
      <c r="L17" s="50">
        <v>0</v>
      </c>
      <c r="M17" s="50">
        <v>22</v>
      </c>
      <c r="N17" s="50">
        <v>0</v>
      </c>
      <c r="O17" s="15">
        <f t="shared" si="0"/>
        <v>88</v>
      </c>
      <c r="P17" s="15">
        <f t="shared" si="1"/>
        <v>110</v>
      </c>
      <c r="R17" s="1" t="s">
        <v>13</v>
      </c>
      <c r="S17" s="17">
        <f t="shared" ref="S17:AF17" si="9">SUM(C38:C41)</f>
        <v>178</v>
      </c>
      <c r="T17" s="17">
        <f t="shared" si="9"/>
        <v>33</v>
      </c>
      <c r="U17" s="17">
        <f t="shared" si="9"/>
        <v>29</v>
      </c>
      <c r="V17" s="17">
        <f t="shared" si="9"/>
        <v>114</v>
      </c>
      <c r="W17" s="17">
        <f t="shared" si="9"/>
        <v>9</v>
      </c>
      <c r="X17" s="17">
        <f t="shared" si="9"/>
        <v>5</v>
      </c>
      <c r="Y17" s="17">
        <f t="shared" si="9"/>
        <v>80</v>
      </c>
      <c r="Z17" s="17">
        <f t="shared" si="9"/>
        <v>9</v>
      </c>
      <c r="AA17" s="17">
        <f t="shared" si="9"/>
        <v>5</v>
      </c>
      <c r="AB17" s="17">
        <f t="shared" si="9"/>
        <v>11</v>
      </c>
      <c r="AC17" s="17">
        <f t="shared" si="9"/>
        <v>95</v>
      </c>
      <c r="AD17" s="17">
        <f t="shared" si="9"/>
        <v>0</v>
      </c>
      <c r="AE17" s="31">
        <f t="shared" si="9"/>
        <v>473</v>
      </c>
      <c r="AF17" s="31">
        <f t="shared" si="9"/>
        <v>568</v>
      </c>
    </row>
    <row r="18" spans="2:32" ht="23.1" customHeight="1" x14ac:dyDescent="0.25">
      <c r="B18" s="23" t="s">
        <v>45</v>
      </c>
      <c r="C18" s="50">
        <v>39</v>
      </c>
      <c r="D18" s="50">
        <v>8</v>
      </c>
      <c r="E18" s="50">
        <v>7</v>
      </c>
      <c r="F18" s="50">
        <v>19</v>
      </c>
      <c r="G18" s="50">
        <v>0</v>
      </c>
      <c r="H18" s="50">
        <v>0</v>
      </c>
      <c r="I18" s="50">
        <v>14</v>
      </c>
      <c r="J18" s="50">
        <v>0</v>
      </c>
      <c r="K18" s="50">
        <v>1</v>
      </c>
      <c r="L18" s="50">
        <v>0</v>
      </c>
      <c r="M18" s="50">
        <v>18</v>
      </c>
      <c r="N18" s="50">
        <v>0</v>
      </c>
      <c r="O18" s="15">
        <f t="shared" si="0"/>
        <v>88</v>
      </c>
      <c r="P18" s="15">
        <f t="shared" si="1"/>
        <v>106</v>
      </c>
      <c r="R18" s="1" t="s">
        <v>14</v>
      </c>
      <c r="S18" s="17">
        <f t="shared" ref="S18:AF18" si="10">SUM(C42:C45)</f>
        <v>111</v>
      </c>
      <c r="T18" s="17">
        <f t="shared" si="10"/>
        <v>30</v>
      </c>
      <c r="U18" s="17">
        <f t="shared" si="10"/>
        <v>8</v>
      </c>
      <c r="V18" s="17">
        <f t="shared" si="10"/>
        <v>93</v>
      </c>
      <c r="W18" s="17">
        <f t="shared" si="10"/>
        <v>2</v>
      </c>
      <c r="X18" s="17">
        <f t="shared" si="10"/>
        <v>7</v>
      </c>
      <c r="Y18" s="17">
        <f t="shared" si="10"/>
        <v>85</v>
      </c>
      <c r="Z18" s="17">
        <f t="shared" si="10"/>
        <v>14</v>
      </c>
      <c r="AA18" s="17">
        <f t="shared" si="10"/>
        <v>3</v>
      </c>
      <c r="AB18" s="17">
        <f t="shared" si="10"/>
        <v>18</v>
      </c>
      <c r="AC18" s="17">
        <f t="shared" si="10"/>
        <v>62</v>
      </c>
      <c r="AD18" s="17">
        <f t="shared" si="10"/>
        <v>1</v>
      </c>
      <c r="AE18" s="31">
        <f t="shared" si="10"/>
        <v>372</v>
      </c>
      <c r="AF18" s="31">
        <f t="shared" si="10"/>
        <v>434</v>
      </c>
    </row>
    <row r="19" spans="2:32" ht="23.1" customHeight="1" x14ac:dyDescent="0.25">
      <c r="B19" s="23" t="s">
        <v>46</v>
      </c>
      <c r="C19" s="50">
        <v>31</v>
      </c>
      <c r="D19" s="50">
        <v>4</v>
      </c>
      <c r="E19" s="50">
        <v>6</v>
      </c>
      <c r="F19" s="50">
        <v>30</v>
      </c>
      <c r="G19" s="50">
        <v>0</v>
      </c>
      <c r="H19" s="50">
        <v>2</v>
      </c>
      <c r="I19" s="50">
        <v>11</v>
      </c>
      <c r="J19" s="50">
        <v>2</v>
      </c>
      <c r="K19" s="50">
        <v>2</v>
      </c>
      <c r="L19" s="50">
        <v>2</v>
      </c>
      <c r="M19" s="50">
        <v>17</v>
      </c>
      <c r="N19" s="50">
        <v>0</v>
      </c>
      <c r="O19" s="15">
        <f t="shared" si="0"/>
        <v>90</v>
      </c>
      <c r="P19" s="15">
        <f t="shared" si="1"/>
        <v>107</v>
      </c>
      <c r="R19" s="1" t="s">
        <v>15</v>
      </c>
      <c r="S19" s="17">
        <f t="shared" ref="S19:AF19" si="11">SUM(C46:C49)</f>
        <v>144</v>
      </c>
      <c r="T19" s="17">
        <f t="shared" si="11"/>
        <v>18</v>
      </c>
      <c r="U19" s="17">
        <f t="shared" si="11"/>
        <v>23</v>
      </c>
      <c r="V19" s="17">
        <f t="shared" si="11"/>
        <v>112</v>
      </c>
      <c r="W19" s="17">
        <f t="shared" si="11"/>
        <v>4</v>
      </c>
      <c r="X19" s="17">
        <f t="shared" si="11"/>
        <v>5</v>
      </c>
      <c r="Y19" s="17">
        <f t="shared" si="11"/>
        <v>70</v>
      </c>
      <c r="Z19" s="17">
        <f t="shared" si="11"/>
        <v>7</v>
      </c>
      <c r="AA19" s="17">
        <f t="shared" si="11"/>
        <v>8</v>
      </c>
      <c r="AB19" s="17">
        <f t="shared" si="11"/>
        <v>11</v>
      </c>
      <c r="AC19" s="17">
        <f t="shared" si="11"/>
        <v>85</v>
      </c>
      <c r="AD19" s="17">
        <f t="shared" si="11"/>
        <v>0</v>
      </c>
      <c r="AE19" s="31">
        <f t="shared" si="11"/>
        <v>402</v>
      </c>
      <c r="AF19" s="31">
        <f t="shared" si="11"/>
        <v>487</v>
      </c>
    </row>
    <row r="20" spans="2:32" ht="23.1" customHeight="1" x14ac:dyDescent="0.25">
      <c r="B20" s="23" t="s">
        <v>47</v>
      </c>
      <c r="C20" s="50">
        <v>37</v>
      </c>
      <c r="D20" s="50">
        <v>7</v>
      </c>
      <c r="E20" s="50">
        <v>3</v>
      </c>
      <c r="F20" s="50">
        <v>17</v>
      </c>
      <c r="G20" s="50">
        <v>2</v>
      </c>
      <c r="H20" s="50">
        <v>1</v>
      </c>
      <c r="I20" s="50">
        <v>22</v>
      </c>
      <c r="J20" s="50">
        <v>3</v>
      </c>
      <c r="K20" s="50">
        <v>1</v>
      </c>
      <c r="L20" s="50">
        <v>1</v>
      </c>
      <c r="M20" s="50">
        <v>23</v>
      </c>
      <c r="N20" s="50">
        <v>0</v>
      </c>
      <c r="O20" s="15">
        <f t="shared" si="0"/>
        <v>94</v>
      </c>
      <c r="P20" s="15">
        <f t="shared" si="1"/>
        <v>117</v>
      </c>
      <c r="R20" s="1" t="s">
        <v>16</v>
      </c>
      <c r="S20" s="17">
        <f t="shared" ref="S20:AF20" si="12">SUM(C50:C53)</f>
        <v>127</v>
      </c>
      <c r="T20" s="17">
        <f t="shared" si="12"/>
        <v>20</v>
      </c>
      <c r="U20" s="17">
        <f t="shared" si="12"/>
        <v>18</v>
      </c>
      <c r="V20" s="17">
        <f t="shared" si="12"/>
        <v>106</v>
      </c>
      <c r="W20" s="17">
        <f t="shared" si="12"/>
        <v>5</v>
      </c>
      <c r="X20" s="17">
        <f t="shared" si="12"/>
        <v>4</v>
      </c>
      <c r="Y20" s="17">
        <f t="shared" si="12"/>
        <v>81</v>
      </c>
      <c r="Z20" s="17">
        <f t="shared" si="12"/>
        <v>5</v>
      </c>
      <c r="AA20" s="17">
        <f t="shared" si="12"/>
        <v>2</v>
      </c>
      <c r="AB20" s="17">
        <f t="shared" si="12"/>
        <v>6</v>
      </c>
      <c r="AC20" s="17">
        <f t="shared" si="12"/>
        <v>71</v>
      </c>
      <c r="AD20" s="17">
        <f t="shared" si="12"/>
        <v>0</v>
      </c>
      <c r="AE20" s="31">
        <f t="shared" si="12"/>
        <v>374</v>
      </c>
      <c r="AF20" s="31">
        <f t="shared" si="12"/>
        <v>445</v>
      </c>
    </row>
    <row r="21" spans="2:32" ht="23.1" customHeight="1" x14ac:dyDescent="0.25">
      <c r="B21" s="23" t="s">
        <v>48</v>
      </c>
      <c r="C21" s="50">
        <v>33</v>
      </c>
      <c r="D21" s="50">
        <v>6</v>
      </c>
      <c r="E21" s="50">
        <v>7</v>
      </c>
      <c r="F21" s="50">
        <v>22</v>
      </c>
      <c r="G21" s="50">
        <v>2</v>
      </c>
      <c r="H21" s="50">
        <v>3</v>
      </c>
      <c r="I21" s="50">
        <v>14</v>
      </c>
      <c r="J21" s="50">
        <v>2</v>
      </c>
      <c r="K21" s="50">
        <v>2</v>
      </c>
      <c r="L21" s="50">
        <v>1</v>
      </c>
      <c r="M21" s="50">
        <v>22</v>
      </c>
      <c r="N21" s="50">
        <v>0</v>
      </c>
      <c r="O21" s="15">
        <f t="shared" si="0"/>
        <v>92</v>
      </c>
      <c r="P21" s="15">
        <f t="shared" si="1"/>
        <v>114</v>
      </c>
      <c r="R21" s="36" t="s">
        <v>20</v>
      </c>
      <c r="S21" s="34">
        <f t="shared" ref="S21:AF21" si="13">SUM(C54:C57)</f>
        <v>105</v>
      </c>
      <c r="T21" s="17">
        <f t="shared" si="13"/>
        <v>17</v>
      </c>
      <c r="U21" s="17">
        <f t="shared" si="13"/>
        <v>14</v>
      </c>
      <c r="V21" s="17">
        <f t="shared" si="13"/>
        <v>94</v>
      </c>
      <c r="W21" s="17">
        <f t="shared" si="13"/>
        <v>5</v>
      </c>
      <c r="X21" s="17">
        <f t="shared" si="13"/>
        <v>3</v>
      </c>
      <c r="Y21" s="17">
        <f t="shared" si="13"/>
        <v>66</v>
      </c>
      <c r="Z21" s="17">
        <f t="shared" si="13"/>
        <v>4</v>
      </c>
      <c r="AA21" s="17">
        <f t="shared" si="13"/>
        <v>2</v>
      </c>
      <c r="AB21" s="17">
        <f t="shared" si="13"/>
        <v>11</v>
      </c>
      <c r="AC21" s="17">
        <f t="shared" si="13"/>
        <v>105</v>
      </c>
      <c r="AD21" s="17">
        <f t="shared" si="13"/>
        <v>0</v>
      </c>
      <c r="AE21" s="31">
        <f t="shared" si="13"/>
        <v>321</v>
      </c>
      <c r="AF21" s="31">
        <f t="shared" si="13"/>
        <v>426</v>
      </c>
    </row>
    <row r="22" spans="2:32" ht="23.1" customHeight="1" x14ac:dyDescent="0.25">
      <c r="B22" s="23" t="s">
        <v>49</v>
      </c>
      <c r="C22" s="50">
        <v>25</v>
      </c>
      <c r="D22" s="50">
        <v>7</v>
      </c>
      <c r="E22" s="50">
        <v>4</v>
      </c>
      <c r="F22" s="50">
        <v>18</v>
      </c>
      <c r="G22" s="50">
        <v>1</v>
      </c>
      <c r="H22" s="50">
        <v>0</v>
      </c>
      <c r="I22" s="50">
        <v>12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67</v>
      </c>
      <c r="P22" s="15">
        <f t="shared" si="1"/>
        <v>82</v>
      </c>
      <c r="R22" s="38" t="s">
        <v>90</v>
      </c>
      <c r="S22" s="39">
        <f>MAX(S10:S12)</f>
        <v>140</v>
      </c>
      <c r="T22" s="39">
        <f t="shared" ref="T22:AF22" si="14">MAX(T10:T12)</f>
        <v>33</v>
      </c>
      <c r="U22" s="39">
        <f t="shared" si="14"/>
        <v>23</v>
      </c>
      <c r="V22" s="39">
        <f t="shared" si="14"/>
        <v>88</v>
      </c>
      <c r="W22" s="39">
        <f t="shared" si="14"/>
        <v>5</v>
      </c>
      <c r="X22" s="39">
        <f t="shared" si="14"/>
        <v>13</v>
      </c>
      <c r="Y22" s="39">
        <f t="shared" si="14"/>
        <v>61</v>
      </c>
      <c r="Z22" s="39">
        <f t="shared" si="14"/>
        <v>7</v>
      </c>
      <c r="AA22" s="39">
        <f t="shared" si="14"/>
        <v>6</v>
      </c>
      <c r="AB22" s="39">
        <f t="shared" si="14"/>
        <v>4</v>
      </c>
      <c r="AC22" s="39">
        <f t="shared" si="14"/>
        <v>80</v>
      </c>
      <c r="AD22" s="39">
        <f t="shared" si="14"/>
        <v>0</v>
      </c>
      <c r="AE22" s="40">
        <f t="shared" si="14"/>
        <v>364</v>
      </c>
      <c r="AF22" s="40">
        <f t="shared" si="14"/>
        <v>444</v>
      </c>
    </row>
    <row r="23" spans="2:32" ht="23.1" customHeight="1" x14ac:dyDescent="0.25">
      <c r="B23" s="23" t="s">
        <v>50</v>
      </c>
      <c r="C23" s="50">
        <v>20</v>
      </c>
      <c r="D23" s="50">
        <v>7</v>
      </c>
      <c r="E23" s="50">
        <v>7</v>
      </c>
      <c r="F23" s="50">
        <v>14</v>
      </c>
      <c r="G23" s="50">
        <v>1</v>
      </c>
      <c r="H23" s="50">
        <v>1</v>
      </c>
      <c r="I23" s="50">
        <v>10</v>
      </c>
      <c r="J23" s="50">
        <v>1</v>
      </c>
      <c r="K23" s="50">
        <v>0</v>
      </c>
      <c r="L23" s="50">
        <v>1</v>
      </c>
      <c r="M23" s="50">
        <v>8</v>
      </c>
      <c r="N23" s="50">
        <v>0</v>
      </c>
      <c r="O23" s="15">
        <f t="shared" si="0"/>
        <v>62</v>
      </c>
      <c r="P23" s="15">
        <f t="shared" si="1"/>
        <v>70</v>
      </c>
      <c r="R23" s="38" t="s">
        <v>91</v>
      </c>
      <c r="S23" s="39">
        <f>MAX(S13:S18)</f>
        <v>178</v>
      </c>
      <c r="T23" s="39">
        <f t="shared" ref="T23:AF23" si="15">MAX(T13:T18)</f>
        <v>50</v>
      </c>
      <c r="U23" s="39">
        <f t="shared" si="15"/>
        <v>29</v>
      </c>
      <c r="V23" s="39">
        <f t="shared" si="15"/>
        <v>137</v>
      </c>
      <c r="W23" s="39">
        <f t="shared" si="15"/>
        <v>11</v>
      </c>
      <c r="X23" s="39">
        <f t="shared" si="15"/>
        <v>10</v>
      </c>
      <c r="Y23" s="39">
        <f t="shared" si="15"/>
        <v>101</v>
      </c>
      <c r="Z23" s="39">
        <f t="shared" si="15"/>
        <v>14</v>
      </c>
      <c r="AA23" s="39">
        <f t="shared" si="15"/>
        <v>9</v>
      </c>
      <c r="AB23" s="39">
        <f t="shared" si="15"/>
        <v>18</v>
      </c>
      <c r="AC23" s="39">
        <f t="shared" si="15"/>
        <v>109</v>
      </c>
      <c r="AD23" s="39">
        <f t="shared" si="15"/>
        <v>1</v>
      </c>
      <c r="AE23" s="40">
        <f t="shared" si="15"/>
        <v>473</v>
      </c>
      <c r="AF23" s="40">
        <f t="shared" si="15"/>
        <v>568</v>
      </c>
    </row>
    <row r="24" spans="2:32" ht="23.1" customHeight="1" x14ac:dyDescent="0.25">
      <c r="B24" s="23" t="s">
        <v>51</v>
      </c>
      <c r="C24" s="50">
        <v>30</v>
      </c>
      <c r="D24" s="50">
        <v>7</v>
      </c>
      <c r="E24" s="50">
        <v>8</v>
      </c>
      <c r="F24" s="50">
        <v>29</v>
      </c>
      <c r="G24" s="50">
        <v>4</v>
      </c>
      <c r="H24" s="50">
        <v>2</v>
      </c>
      <c r="I24" s="50">
        <v>11</v>
      </c>
      <c r="J24" s="50">
        <v>0</v>
      </c>
      <c r="K24" s="50">
        <v>0</v>
      </c>
      <c r="L24" s="50">
        <v>2</v>
      </c>
      <c r="M24" s="50">
        <v>27</v>
      </c>
      <c r="N24" s="50">
        <v>0</v>
      </c>
      <c r="O24" s="15">
        <f t="shared" si="0"/>
        <v>93</v>
      </c>
      <c r="P24" s="15">
        <f t="shared" si="1"/>
        <v>120</v>
      </c>
      <c r="R24" s="38" t="s">
        <v>92</v>
      </c>
      <c r="S24" s="39">
        <f>MAX(S19:S21)</f>
        <v>144</v>
      </c>
      <c r="T24" s="39">
        <f t="shared" ref="T24:AF24" si="16">MAX(T19:T21)</f>
        <v>20</v>
      </c>
      <c r="U24" s="39">
        <f t="shared" si="16"/>
        <v>23</v>
      </c>
      <c r="V24" s="39">
        <f t="shared" si="16"/>
        <v>112</v>
      </c>
      <c r="W24" s="39">
        <f t="shared" si="16"/>
        <v>5</v>
      </c>
      <c r="X24" s="39">
        <f t="shared" si="16"/>
        <v>5</v>
      </c>
      <c r="Y24" s="39">
        <f t="shared" si="16"/>
        <v>81</v>
      </c>
      <c r="Z24" s="39">
        <f t="shared" si="16"/>
        <v>7</v>
      </c>
      <c r="AA24" s="39">
        <f t="shared" si="16"/>
        <v>8</v>
      </c>
      <c r="AB24" s="39">
        <f t="shared" si="16"/>
        <v>11</v>
      </c>
      <c r="AC24" s="39">
        <f t="shared" si="16"/>
        <v>105</v>
      </c>
      <c r="AD24" s="39">
        <f t="shared" si="16"/>
        <v>0</v>
      </c>
      <c r="AE24" s="40">
        <f t="shared" si="16"/>
        <v>402</v>
      </c>
      <c r="AF24" s="40">
        <f t="shared" si="16"/>
        <v>487</v>
      </c>
    </row>
    <row r="25" spans="2:32" ht="23.1" customHeight="1" x14ac:dyDescent="0.25">
      <c r="B25" s="23" t="s">
        <v>52</v>
      </c>
      <c r="C25" s="50">
        <v>28</v>
      </c>
      <c r="D25" s="50">
        <v>6</v>
      </c>
      <c r="E25" s="50">
        <v>4</v>
      </c>
      <c r="F25" s="50">
        <v>12</v>
      </c>
      <c r="G25" s="50">
        <v>1</v>
      </c>
      <c r="H25" s="50">
        <v>0</v>
      </c>
      <c r="I25" s="50">
        <v>27</v>
      </c>
      <c r="J25" s="50">
        <v>1</v>
      </c>
      <c r="K25" s="50">
        <v>0</v>
      </c>
      <c r="L25" s="50">
        <v>4</v>
      </c>
      <c r="M25" s="50">
        <v>29</v>
      </c>
      <c r="N25" s="50">
        <v>0</v>
      </c>
      <c r="O25" s="15">
        <f t="shared" si="0"/>
        <v>83</v>
      </c>
      <c r="P25" s="15">
        <f t="shared" si="1"/>
        <v>112</v>
      </c>
      <c r="R25" s="37" t="s">
        <v>85</v>
      </c>
      <c r="S25" s="35">
        <f t="shared" ref="S25:AF25" si="17">SUM(S10:S12)</f>
        <v>340</v>
      </c>
      <c r="T25" s="16">
        <f t="shared" si="17"/>
        <v>78</v>
      </c>
      <c r="U25" s="16">
        <f t="shared" si="17"/>
        <v>57</v>
      </c>
      <c r="V25" s="16">
        <f t="shared" si="17"/>
        <v>218</v>
      </c>
      <c r="W25" s="16">
        <f t="shared" si="17"/>
        <v>13</v>
      </c>
      <c r="X25" s="16">
        <f t="shared" si="17"/>
        <v>23</v>
      </c>
      <c r="Y25" s="16">
        <f t="shared" si="17"/>
        <v>134</v>
      </c>
      <c r="Z25" s="16">
        <f t="shared" si="17"/>
        <v>15</v>
      </c>
      <c r="AA25" s="16">
        <f t="shared" si="17"/>
        <v>10</v>
      </c>
      <c r="AB25" s="16">
        <f t="shared" si="17"/>
        <v>6</v>
      </c>
      <c r="AC25" s="16">
        <f t="shared" si="17"/>
        <v>200</v>
      </c>
      <c r="AD25" s="16">
        <f t="shared" si="17"/>
        <v>0</v>
      </c>
      <c r="AE25" s="32">
        <f t="shared" si="17"/>
        <v>894</v>
      </c>
      <c r="AF25" s="32">
        <f t="shared" si="17"/>
        <v>1094</v>
      </c>
    </row>
    <row r="26" spans="2:32" ht="23.1" customHeight="1" x14ac:dyDescent="0.25">
      <c r="B26" s="23" t="s">
        <v>53</v>
      </c>
      <c r="C26" s="50">
        <v>25</v>
      </c>
      <c r="D26" s="50">
        <v>8</v>
      </c>
      <c r="E26" s="50">
        <v>7</v>
      </c>
      <c r="F26" s="50">
        <v>33</v>
      </c>
      <c r="G26" s="50">
        <v>1</v>
      </c>
      <c r="H26" s="50">
        <v>1</v>
      </c>
      <c r="I26" s="50">
        <v>17</v>
      </c>
      <c r="J26" s="50">
        <v>0</v>
      </c>
      <c r="K26" s="50">
        <v>1</v>
      </c>
      <c r="L26" s="50">
        <v>3</v>
      </c>
      <c r="M26" s="50">
        <v>22</v>
      </c>
      <c r="N26" s="50">
        <v>0</v>
      </c>
      <c r="O26" s="15">
        <f t="shared" si="0"/>
        <v>96</v>
      </c>
      <c r="P26" s="15">
        <f t="shared" si="1"/>
        <v>118</v>
      </c>
      <c r="R26" s="28" t="s">
        <v>86</v>
      </c>
      <c r="S26" s="16">
        <f t="shared" ref="S26:AF26" si="18">SUM(S13:S18)</f>
        <v>792</v>
      </c>
      <c r="T26" s="16">
        <f t="shared" si="18"/>
        <v>208</v>
      </c>
      <c r="U26" s="16">
        <f t="shared" si="18"/>
        <v>137</v>
      </c>
      <c r="V26" s="16">
        <f t="shared" si="18"/>
        <v>639</v>
      </c>
      <c r="W26" s="16">
        <f t="shared" si="18"/>
        <v>43</v>
      </c>
      <c r="X26" s="16">
        <f t="shared" si="18"/>
        <v>38</v>
      </c>
      <c r="Y26" s="16">
        <f t="shared" si="18"/>
        <v>486</v>
      </c>
      <c r="Z26" s="16">
        <f t="shared" si="18"/>
        <v>36</v>
      </c>
      <c r="AA26" s="16">
        <f t="shared" si="18"/>
        <v>25</v>
      </c>
      <c r="AB26" s="16">
        <f t="shared" si="18"/>
        <v>59</v>
      </c>
      <c r="AC26" s="16">
        <f t="shared" si="18"/>
        <v>528</v>
      </c>
      <c r="AD26" s="16">
        <f t="shared" si="18"/>
        <v>1</v>
      </c>
      <c r="AE26" s="32">
        <f t="shared" si="18"/>
        <v>2464</v>
      </c>
      <c r="AF26" s="32">
        <f t="shared" si="18"/>
        <v>2992</v>
      </c>
    </row>
    <row r="27" spans="2:32" ht="23.1" customHeight="1" x14ac:dyDescent="0.25">
      <c r="B27" s="23" t="s">
        <v>54</v>
      </c>
      <c r="C27" s="50">
        <v>33</v>
      </c>
      <c r="D27" s="50">
        <v>6</v>
      </c>
      <c r="E27" s="50">
        <v>5</v>
      </c>
      <c r="F27" s="50">
        <v>35</v>
      </c>
      <c r="G27" s="50">
        <v>4</v>
      </c>
      <c r="H27" s="50">
        <v>2</v>
      </c>
      <c r="I27" s="50">
        <v>15</v>
      </c>
      <c r="J27" s="50">
        <v>1</v>
      </c>
      <c r="K27" s="50">
        <v>1</v>
      </c>
      <c r="L27" s="50">
        <v>2</v>
      </c>
      <c r="M27" s="50">
        <v>18</v>
      </c>
      <c r="N27" s="50">
        <v>0</v>
      </c>
      <c r="O27" s="15">
        <f t="shared" si="0"/>
        <v>104</v>
      </c>
      <c r="P27" s="15">
        <f t="shared" si="1"/>
        <v>122</v>
      </c>
      <c r="R27" s="29" t="s">
        <v>87</v>
      </c>
      <c r="S27" s="16">
        <f t="shared" ref="S27:AF27" si="19">SUM(S19:S21)</f>
        <v>376</v>
      </c>
      <c r="T27" s="16">
        <f t="shared" si="19"/>
        <v>55</v>
      </c>
      <c r="U27" s="16">
        <f t="shared" si="19"/>
        <v>55</v>
      </c>
      <c r="V27" s="16">
        <f t="shared" si="19"/>
        <v>312</v>
      </c>
      <c r="W27" s="16">
        <f t="shared" si="19"/>
        <v>14</v>
      </c>
      <c r="X27" s="16">
        <f t="shared" si="19"/>
        <v>12</v>
      </c>
      <c r="Y27" s="16">
        <f t="shared" si="19"/>
        <v>217</v>
      </c>
      <c r="Z27" s="16">
        <f t="shared" si="19"/>
        <v>16</v>
      </c>
      <c r="AA27" s="16">
        <f t="shared" si="19"/>
        <v>12</v>
      </c>
      <c r="AB27" s="16">
        <f t="shared" si="19"/>
        <v>28</v>
      </c>
      <c r="AC27" s="16">
        <f t="shared" si="19"/>
        <v>261</v>
      </c>
      <c r="AD27" s="16">
        <f t="shared" si="19"/>
        <v>0</v>
      </c>
      <c r="AE27" s="32">
        <f t="shared" si="19"/>
        <v>1097</v>
      </c>
      <c r="AF27" s="32">
        <f t="shared" si="19"/>
        <v>1358</v>
      </c>
    </row>
    <row r="28" spans="2:32" ht="23.1" customHeight="1" x14ac:dyDescent="0.25">
      <c r="B28" s="23" t="s">
        <v>55</v>
      </c>
      <c r="C28" s="50">
        <v>31</v>
      </c>
      <c r="D28" s="50">
        <v>15</v>
      </c>
      <c r="E28" s="50">
        <v>7</v>
      </c>
      <c r="F28" s="50">
        <v>39</v>
      </c>
      <c r="G28" s="50">
        <v>1</v>
      </c>
      <c r="H28" s="50">
        <v>1</v>
      </c>
      <c r="I28" s="50">
        <v>31</v>
      </c>
      <c r="J28" s="50">
        <v>0</v>
      </c>
      <c r="K28" s="50">
        <v>3</v>
      </c>
      <c r="L28" s="50">
        <v>3</v>
      </c>
      <c r="M28" s="50">
        <v>38</v>
      </c>
      <c r="N28" s="50">
        <v>0</v>
      </c>
      <c r="O28" s="15">
        <f t="shared" si="0"/>
        <v>131</v>
      </c>
      <c r="P28" s="15">
        <f t="shared" si="1"/>
        <v>169</v>
      </c>
      <c r="R28" s="5" t="s">
        <v>17</v>
      </c>
      <c r="S28" s="16">
        <f t="shared" ref="S28:AF28" si="20">SUM(S10:S21)</f>
        <v>1508</v>
      </c>
      <c r="T28" s="16">
        <f t="shared" si="20"/>
        <v>341</v>
      </c>
      <c r="U28" s="16">
        <f t="shared" si="20"/>
        <v>249</v>
      </c>
      <c r="V28" s="16">
        <f t="shared" si="20"/>
        <v>1169</v>
      </c>
      <c r="W28" s="16">
        <f t="shared" si="20"/>
        <v>70</v>
      </c>
      <c r="X28" s="16">
        <f t="shared" si="20"/>
        <v>73</v>
      </c>
      <c r="Y28" s="16">
        <f t="shared" si="20"/>
        <v>837</v>
      </c>
      <c r="Z28" s="16">
        <f t="shared" si="20"/>
        <v>67</v>
      </c>
      <c r="AA28" s="16">
        <f t="shared" si="20"/>
        <v>47</v>
      </c>
      <c r="AB28" s="16">
        <f t="shared" si="20"/>
        <v>93</v>
      </c>
      <c r="AC28" s="16">
        <f t="shared" si="20"/>
        <v>989</v>
      </c>
      <c r="AD28" s="16">
        <f t="shared" si="20"/>
        <v>1</v>
      </c>
      <c r="AE28" s="32">
        <f t="shared" si="20"/>
        <v>4455</v>
      </c>
      <c r="AF28" s="32">
        <f t="shared" si="20"/>
        <v>5444</v>
      </c>
    </row>
    <row r="29" spans="2:32" ht="23.1" customHeight="1" x14ac:dyDescent="0.25">
      <c r="B29" s="23" t="s">
        <v>56</v>
      </c>
      <c r="C29" s="50">
        <v>34</v>
      </c>
      <c r="D29" s="50">
        <v>5</v>
      </c>
      <c r="E29" s="50">
        <v>8</v>
      </c>
      <c r="F29" s="50">
        <v>30</v>
      </c>
      <c r="G29" s="50">
        <v>2</v>
      </c>
      <c r="H29" s="50">
        <v>1</v>
      </c>
      <c r="I29" s="50">
        <v>22</v>
      </c>
      <c r="J29" s="50">
        <v>2</v>
      </c>
      <c r="K29" s="50">
        <v>0</v>
      </c>
      <c r="L29" s="50">
        <v>0</v>
      </c>
      <c r="M29" s="50">
        <v>19</v>
      </c>
      <c r="N29" s="50">
        <v>0</v>
      </c>
      <c r="O29" s="15">
        <f t="shared" si="0"/>
        <v>104</v>
      </c>
      <c r="P29" s="15">
        <f t="shared" si="1"/>
        <v>123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15</v>
      </c>
      <c r="E30" s="50">
        <v>3</v>
      </c>
      <c r="F30" s="50">
        <v>21</v>
      </c>
      <c r="G30" s="50">
        <v>2</v>
      </c>
      <c r="H30" s="50">
        <v>0</v>
      </c>
      <c r="I30" s="50">
        <v>10</v>
      </c>
      <c r="J30" s="50">
        <v>0</v>
      </c>
      <c r="K30" s="50">
        <v>0</v>
      </c>
      <c r="L30" s="50">
        <v>1</v>
      </c>
      <c r="M30" s="50">
        <v>25</v>
      </c>
      <c r="N30" s="50">
        <v>0</v>
      </c>
      <c r="O30" s="15">
        <f t="shared" si="0"/>
        <v>89</v>
      </c>
      <c r="P30" s="15">
        <f t="shared" si="1"/>
        <v>114</v>
      </c>
    </row>
    <row r="31" spans="2:32" ht="23.1" customHeight="1" x14ac:dyDescent="0.25">
      <c r="B31" s="24" t="s">
        <v>58</v>
      </c>
      <c r="C31" s="50">
        <v>35</v>
      </c>
      <c r="D31" s="50">
        <v>13</v>
      </c>
      <c r="E31" s="50">
        <v>7</v>
      </c>
      <c r="F31" s="50">
        <v>19</v>
      </c>
      <c r="G31" s="50">
        <v>1</v>
      </c>
      <c r="H31" s="50">
        <v>2</v>
      </c>
      <c r="I31" s="50">
        <v>27</v>
      </c>
      <c r="J31" s="50">
        <v>1</v>
      </c>
      <c r="K31" s="50">
        <v>1</v>
      </c>
      <c r="L31" s="50">
        <v>2</v>
      </c>
      <c r="M31" s="50">
        <v>22</v>
      </c>
      <c r="N31" s="50">
        <v>0</v>
      </c>
      <c r="O31" s="15">
        <f t="shared" si="0"/>
        <v>108</v>
      </c>
      <c r="P31" s="15">
        <f t="shared" si="1"/>
        <v>130</v>
      </c>
    </row>
    <row r="32" spans="2:32" ht="23.1" customHeight="1" x14ac:dyDescent="0.25">
      <c r="B32" s="24" t="s">
        <v>59</v>
      </c>
      <c r="C32" s="50">
        <v>27</v>
      </c>
      <c r="D32" s="50">
        <v>13</v>
      </c>
      <c r="E32" s="50">
        <v>6</v>
      </c>
      <c r="F32" s="50">
        <v>37</v>
      </c>
      <c r="G32" s="50">
        <v>0</v>
      </c>
      <c r="H32" s="50">
        <v>5</v>
      </c>
      <c r="I32" s="50">
        <v>19</v>
      </c>
      <c r="J32" s="50">
        <v>2</v>
      </c>
      <c r="K32" s="50">
        <v>1</v>
      </c>
      <c r="L32" s="50">
        <v>1</v>
      </c>
      <c r="M32" s="50">
        <v>35</v>
      </c>
      <c r="N32" s="50">
        <v>0</v>
      </c>
      <c r="O32" s="15">
        <f t="shared" si="0"/>
        <v>111</v>
      </c>
      <c r="P32" s="15">
        <f t="shared" si="1"/>
        <v>146</v>
      </c>
    </row>
    <row r="33" spans="2:20" ht="23.1" customHeight="1" x14ac:dyDescent="0.25">
      <c r="B33" s="23" t="s">
        <v>60</v>
      </c>
      <c r="C33" s="50">
        <v>34</v>
      </c>
      <c r="D33" s="50">
        <v>9</v>
      </c>
      <c r="E33" s="50">
        <v>5</v>
      </c>
      <c r="F33" s="50">
        <v>40</v>
      </c>
      <c r="G33" s="50">
        <v>3</v>
      </c>
      <c r="H33" s="50">
        <v>1</v>
      </c>
      <c r="I33" s="50">
        <v>19</v>
      </c>
      <c r="J33" s="50">
        <v>0</v>
      </c>
      <c r="K33" s="50">
        <v>1</v>
      </c>
      <c r="L33" s="50">
        <v>2</v>
      </c>
      <c r="M33" s="50">
        <v>27</v>
      </c>
      <c r="N33" s="50">
        <v>0</v>
      </c>
      <c r="O33" s="15">
        <f t="shared" si="0"/>
        <v>114</v>
      </c>
      <c r="P33" s="15">
        <f t="shared" si="1"/>
        <v>141</v>
      </c>
    </row>
    <row r="34" spans="2:20" ht="23.1" customHeight="1" x14ac:dyDescent="0.25">
      <c r="B34" s="24" t="s">
        <v>61</v>
      </c>
      <c r="C34" s="50">
        <v>49</v>
      </c>
      <c r="D34" s="50">
        <v>11</v>
      </c>
      <c r="E34" s="50">
        <v>7</v>
      </c>
      <c r="F34" s="50">
        <v>35</v>
      </c>
      <c r="G34" s="50">
        <v>3</v>
      </c>
      <c r="H34" s="50">
        <v>3</v>
      </c>
      <c r="I34" s="50">
        <v>34</v>
      </c>
      <c r="J34" s="50">
        <v>1</v>
      </c>
      <c r="K34" s="50">
        <v>3</v>
      </c>
      <c r="L34" s="50">
        <v>3</v>
      </c>
      <c r="M34" s="50">
        <v>29</v>
      </c>
      <c r="N34" s="50">
        <v>0</v>
      </c>
      <c r="O34" s="15">
        <f t="shared" si="0"/>
        <v>149</v>
      </c>
      <c r="P34" s="15">
        <f t="shared" si="1"/>
        <v>178</v>
      </c>
    </row>
    <row r="35" spans="2:20" ht="23.1" customHeight="1" x14ac:dyDescent="0.25">
      <c r="B35" s="24" t="s">
        <v>62</v>
      </c>
      <c r="C35" s="50">
        <v>30</v>
      </c>
      <c r="D35" s="50">
        <v>8</v>
      </c>
      <c r="E35" s="50">
        <v>3</v>
      </c>
      <c r="F35" s="50">
        <v>20</v>
      </c>
      <c r="G35" s="50">
        <v>3</v>
      </c>
      <c r="H35" s="50">
        <v>2</v>
      </c>
      <c r="I35" s="50">
        <v>18</v>
      </c>
      <c r="J35" s="50">
        <v>0</v>
      </c>
      <c r="K35" s="50">
        <v>3</v>
      </c>
      <c r="L35" s="50">
        <v>1</v>
      </c>
      <c r="M35" s="50">
        <v>22</v>
      </c>
      <c r="N35" s="50">
        <v>0</v>
      </c>
      <c r="O35" s="15">
        <f t="shared" si="0"/>
        <v>88</v>
      </c>
      <c r="P35" s="15">
        <f t="shared" si="1"/>
        <v>110</v>
      </c>
    </row>
    <row r="36" spans="2:20" ht="23.1" customHeight="1" x14ac:dyDescent="0.25">
      <c r="B36" s="24" t="s">
        <v>63</v>
      </c>
      <c r="C36" s="50">
        <v>30</v>
      </c>
      <c r="D36" s="50">
        <v>8</v>
      </c>
      <c r="E36" s="50">
        <v>9</v>
      </c>
      <c r="F36" s="50">
        <v>28</v>
      </c>
      <c r="G36" s="50">
        <v>5</v>
      </c>
      <c r="H36" s="50">
        <v>5</v>
      </c>
      <c r="I36" s="50">
        <v>27</v>
      </c>
      <c r="J36" s="50">
        <v>2</v>
      </c>
      <c r="K36" s="50">
        <v>2</v>
      </c>
      <c r="L36" s="50">
        <v>1</v>
      </c>
      <c r="M36" s="50">
        <v>15</v>
      </c>
      <c r="N36" s="50">
        <v>0</v>
      </c>
      <c r="O36" s="15">
        <f t="shared" si="0"/>
        <v>117</v>
      </c>
      <c r="P36" s="15">
        <f t="shared" si="1"/>
        <v>132</v>
      </c>
    </row>
    <row r="37" spans="2:20" ht="23.1" customHeight="1" x14ac:dyDescent="0.25">
      <c r="B37" s="23" t="s">
        <v>64</v>
      </c>
      <c r="C37" s="50">
        <v>35</v>
      </c>
      <c r="D37" s="50">
        <v>7</v>
      </c>
      <c r="E37" s="50">
        <v>10</v>
      </c>
      <c r="F37" s="50">
        <v>22</v>
      </c>
      <c r="G37" s="50">
        <v>0</v>
      </c>
      <c r="H37" s="50">
        <v>0</v>
      </c>
      <c r="I37" s="50">
        <v>22</v>
      </c>
      <c r="J37" s="50">
        <v>2</v>
      </c>
      <c r="K37" s="50">
        <v>1</v>
      </c>
      <c r="L37" s="50">
        <v>4</v>
      </c>
      <c r="M37" s="50">
        <v>20</v>
      </c>
      <c r="N37" s="50">
        <v>0</v>
      </c>
      <c r="O37" s="15">
        <f t="shared" si="0"/>
        <v>103</v>
      </c>
      <c r="P37" s="15">
        <f t="shared" si="1"/>
        <v>123</v>
      </c>
    </row>
    <row r="38" spans="2:20" ht="23.1" customHeight="1" x14ac:dyDescent="0.25">
      <c r="B38" s="24" t="s">
        <v>65</v>
      </c>
      <c r="C38" s="50">
        <v>49</v>
      </c>
      <c r="D38" s="50">
        <v>8</v>
      </c>
      <c r="E38" s="50">
        <v>10</v>
      </c>
      <c r="F38" s="50">
        <v>30</v>
      </c>
      <c r="G38" s="50">
        <v>2</v>
      </c>
      <c r="H38" s="50">
        <v>3</v>
      </c>
      <c r="I38" s="50">
        <v>26</v>
      </c>
      <c r="J38" s="50">
        <v>4</v>
      </c>
      <c r="K38" s="50">
        <v>3</v>
      </c>
      <c r="L38" s="50">
        <v>5</v>
      </c>
      <c r="M38" s="50">
        <v>31</v>
      </c>
      <c r="N38" s="50">
        <v>0</v>
      </c>
      <c r="O38" s="15">
        <f t="shared" si="0"/>
        <v>140</v>
      </c>
      <c r="P38" s="15">
        <f t="shared" si="1"/>
        <v>171</v>
      </c>
    </row>
    <row r="39" spans="2:20" ht="23.1" customHeight="1" x14ac:dyDescent="0.25">
      <c r="B39" s="24" t="s">
        <v>66</v>
      </c>
      <c r="C39" s="50">
        <v>43</v>
      </c>
      <c r="D39" s="50">
        <v>5</v>
      </c>
      <c r="E39" s="50">
        <v>4</v>
      </c>
      <c r="F39" s="50">
        <v>29</v>
      </c>
      <c r="G39" s="50">
        <v>2</v>
      </c>
      <c r="H39" s="50">
        <v>1</v>
      </c>
      <c r="I39" s="50">
        <v>11</v>
      </c>
      <c r="J39" s="50">
        <v>1</v>
      </c>
      <c r="K39" s="50">
        <v>0</v>
      </c>
      <c r="L39" s="50">
        <v>3</v>
      </c>
      <c r="M39" s="50">
        <v>17</v>
      </c>
      <c r="N39" s="50">
        <v>0</v>
      </c>
      <c r="O39" s="15">
        <f t="shared" si="0"/>
        <v>99</v>
      </c>
      <c r="P39" s="15">
        <f t="shared" si="1"/>
        <v>116</v>
      </c>
    </row>
    <row r="40" spans="2:20" ht="23.1" customHeight="1" x14ac:dyDescent="0.25">
      <c r="B40" s="24" t="s">
        <v>67</v>
      </c>
      <c r="C40" s="50">
        <v>41</v>
      </c>
      <c r="D40" s="50">
        <v>13</v>
      </c>
      <c r="E40" s="50">
        <v>8</v>
      </c>
      <c r="F40" s="50">
        <v>34</v>
      </c>
      <c r="G40" s="50">
        <v>2</v>
      </c>
      <c r="H40" s="50">
        <v>0</v>
      </c>
      <c r="I40" s="50">
        <v>23</v>
      </c>
      <c r="J40" s="50">
        <v>2</v>
      </c>
      <c r="K40" s="50">
        <v>1</v>
      </c>
      <c r="L40" s="50">
        <v>1</v>
      </c>
      <c r="M40" s="50">
        <v>31</v>
      </c>
      <c r="N40" s="50">
        <v>0</v>
      </c>
      <c r="O40" s="15">
        <f t="shared" si="0"/>
        <v>125</v>
      </c>
      <c r="P40" s="15">
        <f t="shared" si="1"/>
        <v>156</v>
      </c>
    </row>
    <row r="41" spans="2:20" ht="23.1" customHeight="1" x14ac:dyDescent="0.25">
      <c r="B41" s="23" t="s">
        <v>68</v>
      </c>
      <c r="C41" s="50">
        <v>45</v>
      </c>
      <c r="D41" s="50">
        <v>7</v>
      </c>
      <c r="E41" s="50">
        <v>7</v>
      </c>
      <c r="F41" s="50">
        <v>21</v>
      </c>
      <c r="G41" s="50">
        <v>3</v>
      </c>
      <c r="H41" s="50">
        <v>1</v>
      </c>
      <c r="I41" s="50">
        <v>20</v>
      </c>
      <c r="J41" s="50">
        <v>2</v>
      </c>
      <c r="K41" s="50">
        <v>1</v>
      </c>
      <c r="L41" s="50">
        <v>2</v>
      </c>
      <c r="M41" s="50">
        <v>16</v>
      </c>
      <c r="N41" s="50">
        <v>0</v>
      </c>
      <c r="O41" s="15">
        <f t="shared" si="0"/>
        <v>109</v>
      </c>
      <c r="P41" s="15">
        <f t="shared" si="1"/>
        <v>125</v>
      </c>
    </row>
    <row r="42" spans="2:20" ht="23.1" customHeight="1" x14ac:dyDescent="0.25">
      <c r="B42" s="24" t="s">
        <v>69</v>
      </c>
      <c r="C42" s="50">
        <v>21</v>
      </c>
      <c r="D42" s="50">
        <v>1</v>
      </c>
      <c r="E42" s="50">
        <v>0</v>
      </c>
      <c r="F42" s="50">
        <v>19</v>
      </c>
      <c r="G42" s="50">
        <v>1</v>
      </c>
      <c r="H42" s="50">
        <v>1</v>
      </c>
      <c r="I42" s="50">
        <v>15</v>
      </c>
      <c r="J42" s="50">
        <v>1</v>
      </c>
      <c r="K42" s="50">
        <v>0</v>
      </c>
      <c r="L42" s="50">
        <v>6</v>
      </c>
      <c r="M42" s="50">
        <v>22</v>
      </c>
      <c r="N42" s="50">
        <v>0</v>
      </c>
      <c r="O42" s="15">
        <f t="shared" si="0"/>
        <v>65</v>
      </c>
      <c r="P42" s="15">
        <f t="shared" si="1"/>
        <v>87</v>
      </c>
    </row>
    <row r="43" spans="2:20" ht="23.1" customHeight="1" x14ac:dyDescent="0.25">
      <c r="B43" s="23" t="s">
        <v>70</v>
      </c>
      <c r="C43" s="50">
        <v>33</v>
      </c>
      <c r="D43" s="50">
        <v>10</v>
      </c>
      <c r="E43" s="50">
        <v>1</v>
      </c>
      <c r="F43" s="50">
        <v>25</v>
      </c>
      <c r="G43" s="50">
        <v>0</v>
      </c>
      <c r="H43" s="50">
        <v>2</v>
      </c>
      <c r="I43" s="50">
        <v>26</v>
      </c>
      <c r="J43" s="50">
        <v>3</v>
      </c>
      <c r="K43" s="50">
        <v>0</v>
      </c>
      <c r="L43" s="50">
        <v>5</v>
      </c>
      <c r="M43" s="50">
        <v>11</v>
      </c>
      <c r="N43" s="50">
        <v>0</v>
      </c>
      <c r="O43" s="15">
        <f t="shared" si="0"/>
        <v>105</v>
      </c>
      <c r="P43" s="15">
        <f t="shared" si="1"/>
        <v>116</v>
      </c>
    </row>
    <row r="44" spans="2:20" ht="23.1" customHeight="1" x14ac:dyDescent="0.25">
      <c r="B44" s="25" t="s">
        <v>71</v>
      </c>
      <c r="C44" s="50">
        <v>17</v>
      </c>
      <c r="D44" s="50">
        <v>7</v>
      </c>
      <c r="E44" s="50">
        <v>5</v>
      </c>
      <c r="F44" s="50">
        <v>24</v>
      </c>
      <c r="G44" s="50">
        <v>0</v>
      </c>
      <c r="H44" s="50">
        <v>1</v>
      </c>
      <c r="I44" s="50">
        <v>25</v>
      </c>
      <c r="J44" s="50">
        <v>3</v>
      </c>
      <c r="K44" s="50">
        <v>0</v>
      </c>
      <c r="L44" s="50">
        <v>3</v>
      </c>
      <c r="M44" s="50">
        <v>16</v>
      </c>
      <c r="N44" s="50">
        <v>0</v>
      </c>
      <c r="O44" s="15">
        <f t="shared" si="0"/>
        <v>85</v>
      </c>
      <c r="P44" s="15">
        <f t="shared" si="1"/>
        <v>101</v>
      </c>
    </row>
    <row r="45" spans="2:20" ht="23.1" customHeight="1" x14ac:dyDescent="0.25">
      <c r="B45" s="23" t="s">
        <v>72</v>
      </c>
      <c r="C45" s="50">
        <v>40</v>
      </c>
      <c r="D45" s="50">
        <v>12</v>
      </c>
      <c r="E45" s="50">
        <v>2</v>
      </c>
      <c r="F45" s="50">
        <v>25</v>
      </c>
      <c r="G45" s="50">
        <v>1</v>
      </c>
      <c r="H45" s="50">
        <v>3</v>
      </c>
      <c r="I45" s="50">
        <v>19</v>
      </c>
      <c r="J45" s="50">
        <v>7</v>
      </c>
      <c r="K45" s="50">
        <v>3</v>
      </c>
      <c r="L45" s="50">
        <v>4</v>
      </c>
      <c r="M45" s="50">
        <v>13</v>
      </c>
      <c r="N45" s="50">
        <v>1</v>
      </c>
      <c r="O45" s="15">
        <f t="shared" si="0"/>
        <v>117</v>
      </c>
      <c r="P45" s="15">
        <f t="shared" si="1"/>
        <v>130</v>
      </c>
    </row>
    <row r="46" spans="2:20" ht="23.1" customHeight="1" x14ac:dyDescent="0.25">
      <c r="B46" s="24" t="s">
        <v>73</v>
      </c>
      <c r="C46" s="50">
        <v>25</v>
      </c>
      <c r="D46" s="50">
        <v>1</v>
      </c>
      <c r="E46" s="50">
        <v>9</v>
      </c>
      <c r="F46" s="50">
        <v>7</v>
      </c>
      <c r="G46" s="50">
        <v>1</v>
      </c>
      <c r="H46" s="50">
        <v>1</v>
      </c>
      <c r="I46" s="50">
        <v>14</v>
      </c>
      <c r="J46" s="50">
        <v>0</v>
      </c>
      <c r="K46" s="50">
        <v>5</v>
      </c>
      <c r="L46" s="50">
        <v>3</v>
      </c>
      <c r="M46" s="50">
        <v>10</v>
      </c>
      <c r="N46" s="50">
        <v>0</v>
      </c>
      <c r="O46" s="15">
        <f t="shared" si="0"/>
        <v>66</v>
      </c>
      <c r="P46" s="15">
        <f t="shared" si="1"/>
        <v>76</v>
      </c>
      <c r="R46" s="8"/>
      <c r="T46"/>
    </row>
    <row r="47" spans="2:20" ht="23.1" customHeight="1" x14ac:dyDescent="0.25">
      <c r="B47" s="24" t="s">
        <v>74</v>
      </c>
      <c r="C47" s="50">
        <v>40</v>
      </c>
      <c r="D47" s="50">
        <v>6</v>
      </c>
      <c r="E47" s="50">
        <v>5</v>
      </c>
      <c r="F47" s="50">
        <v>40</v>
      </c>
      <c r="G47" s="50">
        <v>0</v>
      </c>
      <c r="H47" s="50">
        <v>1</v>
      </c>
      <c r="I47" s="50">
        <v>15</v>
      </c>
      <c r="J47" s="50">
        <v>2</v>
      </c>
      <c r="K47" s="50">
        <v>1</v>
      </c>
      <c r="L47" s="50">
        <v>2</v>
      </c>
      <c r="M47" s="50">
        <v>14</v>
      </c>
      <c r="N47" s="50">
        <v>0</v>
      </c>
      <c r="O47" s="15">
        <f t="shared" si="0"/>
        <v>112</v>
      </c>
      <c r="P47" s="15">
        <f t="shared" si="1"/>
        <v>126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6</v>
      </c>
      <c r="E48" s="50">
        <v>4</v>
      </c>
      <c r="F48" s="50">
        <v>40</v>
      </c>
      <c r="G48" s="50">
        <v>2</v>
      </c>
      <c r="H48" s="50">
        <v>2</v>
      </c>
      <c r="I48" s="50">
        <v>28</v>
      </c>
      <c r="J48" s="50">
        <v>5</v>
      </c>
      <c r="K48" s="50">
        <v>2</v>
      </c>
      <c r="L48" s="50">
        <v>5</v>
      </c>
      <c r="M48" s="50">
        <v>35</v>
      </c>
      <c r="N48" s="50">
        <v>0</v>
      </c>
      <c r="O48" s="15">
        <f t="shared" si="0"/>
        <v>139</v>
      </c>
      <c r="P48" s="15">
        <f t="shared" si="1"/>
        <v>174</v>
      </c>
      <c r="R48" s="8"/>
      <c r="T48"/>
    </row>
    <row r="49" spans="2:20" ht="23.1" customHeight="1" x14ac:dyDescent="0.25">
      <c r="B49" s="23" t="s">
        <v>76</v>
      </c>
      <c r="C49" s="50">
        <v>34</v>
      </c>
      <c r="D49" s="50">
        <v>5</v>
      </c>
      <c r="E49" s="50">
        <v>5</v>
      </c>
      <c r="F49" s="50">
        <v>25</v>
      </c>
      <c r="G49" s="50">
        <v>1</v>
      </c>
      <c r="H49" s="50">
        <v>1</v>
      </c>
      <c r="I49" s="50">
        <v>13</v>
      </c>
      <c r="J49" s="50">
        <v>0</v>
      </c>
      <c r="K49" s="50">
        <v>0</v>
      </c>
      <c r="L49" s="50">
        <v>1</v>
      </c>
      <c r="M49" s="50">
        <v>26</v>
      </c>
      <c r="N49" s="50">
        <v>0</v>
      </c>
      <c r="O49" s="15">
        <f t="shared" si="0"/>
        <v>85</v>
      </c>
      <c r="P49" s="15">
        <f t="shared" si="1"/>
        <v>111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3</v>
      </c>
      <c r="E50" s="50">
        <v>5</v>
      </c>
      <c r="F50" s="50">
        <v>20</v>
      </c>
      <c r="G50" s="50">
        <v>2</v>
      </c>
      <c r="H50" s="50">
        <v>1</v>
      </c>
      <c r="I50" s="50">
        <v>16</v>
      </c>
      <c r="J50" s="50">
        <v>2</v>
      </c>
      <c r="K50" s="50">
        <v>2</v>
      </c>
      <c r="L50" s="50">
        <v>1</v>
      </c>
      <c r="M50" s="50">
        <v>17</v>
      </c>
      <c r="N50" s="50">
        <v>0</v>
      </c>
      <c r="O50" s="15">
        <f t="shared" si="0"/>
        <v>88</v>
      </c>
      <c r="P50" s="15">
        <f t="shared" si="1"/>
        <v>105</v>
      </c>
      <c r="R50" s="8"/>
      <c r="T50"/>
    </row>
    <row r="51" spans="2:20" ht="23.1" customHeight="1" x14ac:dyDescent="0.25">
      <c r="B51" s="24" t="s">
        <v>78</v>
      </c>
      <c r="C51" s="50">
        <v>27</v>
      </c>
      <c r="D51" s="50">
        <v>5</v>
      </c>
      <c r="E51" s="50">
        <v>3</v>
      </c>
      <c r="F51" s="50">
        <v>20</v>
      </c>
      <c r="G51" s="50">
        <v>1</v>
      </c>
      <c r="H51" s="50">
        <v>1</v>
      </c>
      <c r="I51" s="50">
        <v>14</v>
      </c>
      <c r="J51" s="50">
        <v>1</v>
      </c>
      <c r="K51" s="50">
        <v>0</v>
      </c>
      <c r="L51" s="50">
        <v>1</v>
      </c>
      <c r="M51" s="50">
        <v>22</v>
      </c>
      <c r="N51" s="50">
        <v>0</v>
      </c>
      <c r="O51" s="15">
        <f t="shared" si="0"/>
        <v>73</v>
      </c>
      <c r="P51" s="15">
        <f t="shared" si="1"/>
        <v>95</v>
      </c>
      <c r="R51" s="8"/>
      <c r="T51"/>
    </row>
    <row r="52" spans="2:20" ht="23.1" customHeight="1" x14ac:dyDescent="0.25">
      <c r="B52" s="24" t="s">
        <v>79</v>
      </c>
      <c r="C52" s="50">
        <v>25</v>
      </c>
      <c r="D52" s="50">
        <v>4</v>
      </c>
      <c r="E52" s="50">
        <v>6</v>
      </c>
      <c r="F52" s="50">
        <v>35</v>
      </c>
      <c r="G52" s="50">
        <v>1</v>
      </c>
      <c r="H52" s="50">
        <v>0</v>
      </c>
      <c r="I52" s="50">
        <v>30</v>
      </c>
      <c r="J52" s="50">
        <v>2</v>
      </c>
      <c r="K52" s="50">
        <v>0</v>
      </c>
      <c r="L52" s="50">
        <v>1</v>
      </c>
      <c r="M52" s="50">
        <v>17</v>
      </c>
      <c r="N52" s="50">
        <v>0</v>
      </c>
      <c r="O52" s="15">
        <f t="shared" si="0"/>
        <v>104</v>
      </c>
      <c r="P52" s="15">
        <f t="shared" si="1"/>
        <v>121</v>
      </c>
      <c r="R52" s="8"/>
      <c r="T52"/>
    </row>
    <row r="53" spans="2:20" ht="23.1" customHeight="1" x14ac:dyDescent="0.25">
      <c r="B53" s="23" t="s">
        <v>80</v>
      </c>
      <c r="C53" s="50">
        <v>39</v>
      </c>
      <c r="D53" s="50">
        <v>8</v>
      </c>
      <c r="E53" s="50">
        <v>4</v>
      </c>
      <c r="F53" s="50">
        <v>31</v>
      </c>
      <c r="G53" s="50">
        <v>1</v>
      </c>
      <c r="H53" s="50">
        <v>2</v>
      </c>
      <c r="I53" s="50">
        <v>21</v>
      </c>
      <c r="J53" s="50">
        <v>0</v>
      </c>
      <c r="K53" s="50">
        <v>0</v>
      </c>
      <c r="L53" s="50">
        <v>3</v>
      </c>
      <c r="M53" s="50">
        <v>15</v>
      </c>
      <c r="N53" s="50">
        <v>0</v>
      </c>
      <c r="O53" s="15">
        <f t="shared" si="0"/>
        <v>109</v>
      </c>
      <c r="P53" s="15">
        <f t="shared" si="1"/>
        <v>124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4</v>
      </c>
      <c r="E54" s="50">
        <v>4</v>
      </c>
      <c r="F54" s="50">
        <v>27</v>
      </c>
      <c r="G54" s="50">
        <v>3</v>
      </c>
      <c r="H54" s="50">
        <v>1</v>
      </c>
      <c r="I54" s="50">
        <v>22</v>
      </c>
      <c r="J54" s="50">
        <v>3</v>
      </c>
      <c r="K54" s="50">
        <v>0</v>
      </c>
      <c r="L54" s="50">
        <v>1</v>
      </c>
      <c r="M54" s="50">
        <v>32</v>
      </c>
      <c r="N54" s="50">
        <v>0</v>
      </c>
      <c r="O54" s="15">
        <f t="shared" si="0"/>
        <v>110</v>
      </c>
      <c r="P54" s="15">
        <f t="shared" si="1"/>
        <v>142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2</v>
      </c>
      <c r="E55" s="50">
        <v>3</v>
      </c>
      <c r="F55" s="50">
        <v>21</v>
      </c>
      <c r="G55" s="50">
        <v>0</v>
      </c>
      <c r="H55" s="50">
        <v>0</v>
      </c>
      <c r="I55" s="50">
        <v>18</v>
      </c>
      <c r="J55" s="50">
        <v>0</v>
      </c>
      <c r="K55" s="50">
        <v>1</v>
      </c>
      <c r="L55" s="50">
        <v>1</v>
      </c>
      <c r="M55" s="50">
        <v>28</v>
      </c>
      <c r="N55" s="50">
        <v>0</v>
      </c>
      <c r="O55" s="15">
        <f t="shared" si="0"/>
        <v>63</v>
      </c>
      <c r="P55" s="15">
        <f t="shared" si="1"/>
        <v>91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5</v>
      </c>
      <c r="E56" s="50">
        <v>3</v>
      </c>
      <c r="F56" s="50">
        <v>16</v>
      </c>
      <c r="G56" s="50">
        <v>2</v>
      </c>
      <c r="H56" s="50">
        <v>0</v>
      </c>
      <c r="I56" s="50">
        <v>13</v>
      </c>
      <c r="J56" s="50">
        <v>1</v>
      </c>
      <c r="K56" s="50">
        <v>1</v>
      </c>
      <c r="L56" s="50">
        <v>5</v>
      </c>
      <c r="M56" s="50">
        <v>18</v>
      </c>
      <c r="N56" s="50">
        <v>0</v>
      </c>
      <c r="O56" s="15">
        <f t="shared" si="0"/>
        <v>66</v>
      </c>
      <c r="P56" s="15">
        <f t="shared" si="1"/>
        <v>84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6</v>
      </c>
      <c r="E57" s="50">
        <v>4</v>
      </c>
      <c r="F57" s="50">
        <v>30</v>
      </c>
      <c r="G57" s="50">
        <v>0</v>
      </c>
      <c r="H57" s="50">
        <v>2</v>
      </c>
      <c r="I57" s="50">
        <v>13</v>
      </c>
      <c r="J57" s="50">
        <v>0</v>
      </c>
      <c r="K57" s="50">
        <v>0</v>
      </c>
      <c r="L57" s="50">
        <v>4</v>
      </c>
      <c r="M57" s="50">
        <v>27</v>
      </c>
      <c r="N57" s="50">
        <v>0</v>
      </c>
      <c r="O57" s="15">
        <f t="shared" si="0"/>
        <v>82</v>
      </c>
      <c r="P57" s="15">
        <f t="shared" si="1"/>
        <v>109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1508</v>
      </c>
      <c r="D58" s="16">
        <f t="shared" si="21"/>
        <v>341</v>
      </c>
      <c r="E58" s="16">
        <f t="shared" si="21"/>
        <v>249</v>
      </c>
      <c r="F58" s="16">
        <f t="shared" si="21"/>
        <v>1169</v>
      </c>
      <c r="G58" s="16">
        <f t="shared" si="21"/>
        <v>70</v>
      </c>
      <c r="H58" s="16">
        <f t="shared" si="21"/>
        <v>73</v>
      </c>
      <c r="I58" s="16">
        <f t="shared" si="21"/>
        <v>837</v>
      </c>
      <c r="J58" s="16">
        <f t="shared" si="21"/>
        <v>67</v>
      </c>
      <c r="K58" s="16">
        <f t="shared" si="21"/>
        <v>47</v>
      </c>
      <c r="L58" s="16">
        <f t="shared" si="21"/>
        <v>93</v>
      </c>
      <c r="M58" s="16">
        <f t="shared" si="21"/>
        <v>989</v>
      </c>
      <c r="N58" s="16">
        <f t="shared" si="21"/>
        <v>1</v>
      </c>
      <c r="O58" s="16">
        <f t="shared" si="21"/>
        <v>4455</v>
      </c>
      <c r="P58" s="16">
        <f t="shared" si="21"/>
        <v>5444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0.27700220426157235</v>
      </c>
      <c r="D59" s="43">
        <f t="shared" si="22"/>
        <v>6.2637766348273324E-2</v>
      </c>
      <c r="E59" s="43">
        <f t="shared" si="22"/>
        <v>4.5738427626745043E-2</v>
      </c>
      <c r="F59" s="43">
        <f t="shared" si="22"/>
        <v>0.21473181484202791</v>
      </c>
      <c r="G59" s="43">
        <f t="shared" si="22"/>
        <v>1.2858192505510653E-2</v>
      </c>
      <c r="H59" s="43">
        <f t="shared" si="22"/>
        <v>1.3409257898603968E-2</v>
      </c>
      <c r="I59" s="43">
        <f t="shared" si="22"/>
        <v>0.15374724467303452</v>
      </c>
      <c r="J59" s="43">
        <f t="shared" si="22"/>
        <v>1.230712711241734E-2</v>
      </c>
      <c r="K59" s="43">
        <f t="shared" si="22"/>
        <v>8.6333578251285813E-3</v>
      </c>
      <c r="L59" s="43">
        <f t="shared" si="22"/>
        <v>1.7083027185892725E-2</v>
      </c>
      <c r="M59" s="43">
        <f t="shared" si="22"/>
        <v>0.1816678912564291</v>
      </c>
      <c r="N59" s="43">
        <f t="shared" si="22"/>
        <v>1.836884643644379E-4</v>
      </c>
      <c r="R59" s="8"/>
      <c r="T59"/>
    </row>
    <row r="60" spans="2:20" ht="23.1" customHeight="1" x14ac:dyDescent="0.25">
      <c r="B60" s="42" t="s">
        <v>94</v>
      </c>
      <c r="C60" s="44">
        <f>C58/$O$58</f>
        <v>0.33849607182940517</v>
      </c>
      <c r="D60" s="44">
        <f t="shared" ref="D60:N60" si="23">D58/$O$58</f>
        <v>7.6543209876543214E-2</v>
      </c>
      <c r="E60" s="44">
        <f t="shared" si="23"/>
        <v>5.5892255892255889E-2</v>
      </c>
      <c r="F60" s="44">
        <f t="shared" si="23"/>
        <v>0.26240179573512906</v>
      </c>
      <c r="G60" s="44">
        <f t="shared" si="23"/>
        <v>1.5712682379349047E-2</v>
      </c>
      <c r="H60" s="44">
        <f t="shared" si="23"/>
        <v>1.638608305274972E-2</v>
      </c>
      <c r="I60" s="44">
        <f t="shared" si="23"/>
        <v>0.18787878787878787</v>
      </c>
      <c r="J60" s="44">
        <f t="shared" si="23"/>
        <v>1.5039281705948373E-2</v>
      </c>
      <c r="K60" s="44">
        <f t="shared" si="23"/>
        <v>1.0549943883277216E-2</v>
      </c>
      <c r="L60" s="44">
        <f t="shared" si="23"/>
        <v>2.0875420875420877E-2</v>
      </c>
      <c r="M60" s="44"/>
      <c r="N60" s="44">
        <f t="shared" si="23"/>
        <v>2.244668911335578E-4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3" zoomScale="60" workbookViewId="0">
      <selection activeCell="M106" sqref="M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'31.10 Maya-Masaka-24h'!G5:H5</f>
        <v>Maya</v>
      </c>
      <c r="H5" s="67"/>
      <c r="I5" s="14"/>
      <c r="J5" s="2" t="s">
        <v>5</v>
      </c>
      <c r="K5" s="66" t="str">
        <f>'31.10 Maya-Masaka-24h'!K5:L5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'31.10 Maya-Masaka-24h'!K6:L6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1</v>
      </c>
      <c r="E10" s="50">
        <v>0</v>
      </c>
      <c r="F10" s="50">
        <v>10</v>
      </c>
      <c r="G10" s="50">
        <v>0</v>
      </c>
      <c r="H10" s="50">
        <v>2</v>
      </c>
      <c r="I10" s="50">
        <v>11</v>
      </c>
      <c r="J10" s="50">
        <v>3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73" si="0">SUM(C10:L10,N10)</f>
        <v>29</v>
      </c>
      <c r="P10" s="15">
        <f t="shared" ref="P10:P73" si="1">SUM(C10:N10)</f>
        <v>44</v>
      </c>
      <c r="R10" s="1" t="s">
        <v>6</v>
      </c>
      <c r="S10" s="17">
        <f t="shared" ref="S10:AF10" si="2">SUM(C10:C13)</f>
        <v>52</v>
      </c>
      <c r="T10" s="17">
        <f t="shared" si="2"/>
        <v>5</v>
      </c>
      <c r="U10" s="17">
        <f t="shared" si="2"/>
        <v>6</v>
      </c>
      <c r="V10" s="17">
        <f t="shared" si="2"/>
        <v>84</v>
      </c>
      <c r="W10" s="17">
        <f t="shared" si="2"/>
        <v>3</v>
      </c>
      <c r="X10" s="17">
        <f t="shared" si="2"/>
        <v>4</v>
      </c>
      <c r="Y10" s="17">
        <f t="shared" si="2"/>
        <v>37</v>
      </c>
      <c r="Z10" s="17">
        <f t="shared" si="2"/>
        <v>10</v>
      </c>
      <c r="AA10" s="17">
        <f t="shared" si="2"/>
        <v>3</v>
      </c>
      <c r="AB10" s="17">
        <f t="shared" si="2"/>
        <v>1</v>
      </c>
      <c r="AC10" s="17">
        <f t="shared" si="2"/>
        <v>106</v>
      </c>
      <c r="AD10" s="17">
        <f t="shared" si="2"/>
        <v>0</v>
      </c>
      <c r="AE10" s="31">
        <f t="shared" si="2"/>
        <v>205</v>
      </c>
      <c r="AF10" s="31">
        <f t="shared" si="2"/>
        <v>311</v>
      </c>
    </row>
    <row r="11" spans="2:32" s="6" customFormat="1" ht="23.1" customHeight="1" x14ac:dyDescent="0.25">
      <c r="B11" s="45" t="s">
        <v>38</v>
      </c>
      <c r="C11" s="50">
        <v>13</v>
      </c>
      <c r="D11" s="50">
        <v>3</v>
      </c>
      <c r="E11" s="50">
        <v>2</v>
      </c>
      <c r="F11" s="50">
        <v>25</v>
      </c>
      <c r="G11" s="50">
        <v>2</v>
      </c>
      <c r="H11" s="50">
        <v>0</v>
      </c>
      <c r="I11" s="50">
        <v>9</v>
      </c>
      <c r="J11" s="50">
        <v>4</v>
      </c>
      <c r="K11" s="50">
        <v>0</v>
      </c>
      <c r="L11" s="50">
        <v>0</v>
      </c>
      <c r="M11" s="50">
        <v>28</v>
      </c>
      <c r="N11" s="50">
        <v>0</v>
      </c>
      <c r="O11" s="15">
        <f t="shared" si="0"/>
        <v>58</v>
      </c>
      <c r="P11" s="15">
        <f t="shared" si="1"/>
        <v>86</v>
      </c>
      <c r="R11" s="1" t="s">
        <v>7</v>
      </c>
      <c r="S11" s="17">
        <f t="shared" ref="S11:AF11" si="3">SUM(C14:C17)</f>
        <v>84</v>
      </c>
      <c r="T11" s="17">
        <f t="shared" si="3"/>
        <v>12</v>
      </c>
      <c r="U11" s="17">
        <f t="shared" si="3"/>
        <v>4</v>
      </c>
      <c r="V11" s="17">
        <f t="shared" si="3"/>
        <v>95</v>
      </c>
      <c r="W11" s="17">
        <f t="shared" si="3"/>
        <v>4</v>
      </c>
      <c r="X11" s="17">
        <f t="shared" si="3"/>
        <v>2</v>
      </c>
      <c r="Y11" s="17">
        <f t="shared" si="3"/>
        <v>27</v>
      </c>
      <c r="Z11" s="17">
        <f t="shared" si="3"/>
        <v>5</v>
      </c>
      <c r="AA11" s="17">
        <f t="shared" si="3"/>
        <v>2</v>
      </c>
      <c r="AB11" s="17">
        <f t="shared" si="3"/>
        <v>0</v>
      </c>
      <c r="AC11" s="17">
        <f t="shared" si="3"/>
        <v>123</v>
      </c>
      <c r="AD11" s="17">
        <f t="shared" si="3"/>
        <v>0</v>
      </c>
      <c r="AE11" s="31">
        <f t="shared" si="3"/>
        <v>235</v>
      </c>
      <c r="AF11" s="31">
        <f t="shared" si="3"/>
        <v>358</v>
      </c>
    </row>
    <row r="12" spans="2:32" ht="23.1" customHeight="1" x14ac:dyDescent="0.25">
      <c r="B12" s="45" t="s">
        <v>39</v>
      </c>
      <c r="C12" s="50">
        <v>14</v>
      </c>
      <c r="D12" s="50">
        <v>0</v>
      </c>
      <c r="E12" s="50">
        <v>2</v>
      </c>
      <c r="F12" s="50">
        <v>23</v>
      </c>
      <c r="G12" s="50">
        <v>1</v>
      </c>
      <c r="H12" s="50">
        <v>2</v>
      </c>
      <c r="I12" s="50">
        <v>11</v>
      </c>
      <c r="J12" s="50">
        <v>3</v>
      </c>
      <c r="K12" s="50">
        <v>1</v>
      </c>
      <c r="L12" s="50">
        <v>1</v>
      </c>
      <c r="M12" s="50">
        <v>36</v>
      </c>
      <c r="N12" s="50">
        <v>0</v>
      </c>
      <c r="O12" s="15">
        <f t="shared" si="0"/>
        <v>58</v>
      </c>
      <c r="P12" s="15">
        <f t="shared" si="1"/>
        <v>94</v>
      </c>
      <c r="R12" s="1" t="s">
        <v>8</v>
      </c>
      <c r="S12" s="17">
        <f t="shared" ref="S12:AF12" si="4">SUM(C18:C21)</f>
        <v>106</v>
      </c>
      <c r="T12" s="17">
        <f t="shared" si="4"/>
        <v>15</v>
      </c>
      <c r="U12" s="17">
        <f t="shared" si="4"/>
        <v>10</v>
      </c>
      <c r="V12" s="17">
        <f t="shared" si="4"/>
        <v>106</v>
      </c>
      <c r="W12" s="17">
        <f t="shared" si="4"/>
        <v>0</v>
      </c>
      <c r="X12" s="17">
        <f t="shared" si="4"/>
        <v>3</v>
      </c>
      <c r="Y12" s="17">
        <f t="shared" si="4"/>
        <v>39</v>
      </c>
      <c r="Z12" s="17">
        <f t="shared" si="4"/>
        <v>11</v>
      </c>
      <c r="AA12" s="17">
        <f t="shared" si="4"/>
        <v>3</v>
      </c>
      <c r="AB12" s="17">
        <f t="shared" si="4"/>
        <v>4</v>
      </c>
      <c r="AC12" s="17">
        <f t="shared" si="4"/>
        <v>104</v>
      </c>
      <c r="AD12" s="17">
        <f t="shared" si="4"/>
        <v>0</v>
      </c>
      <c r="AE12" s="31">
        <f t="shared" si="4"/>
        <v>297</v>
      </c>
      <c r="AF12" s="31">
        <f t="shared" si="4"/>
        <v>401</v>
      </c>
    </row>
    <row r="13" spans="2:32" ht="23.1" customHeight="1" x14ac:dyDescent="0.25">
      <c r="B13" s="45" t="s">
        <v>40</v>
      </c>
      <c r="C13" s="50">
        <v>23</v>
      </c>
      <c r="D13" s="50">
        <v>1</v>
      </c>
      <c r="E13" s="50">
        <v>2</v>
      </c>
      <c r="F13" s="50">
        <v>26</v>
      </c>
      <c r="G13" s="50">
        <v>0</v>
      </c>
      <c r="H13" s="50">
        <v>0</v>
      </c>
      <c r="I13" s="50">
        <v>6</v>
      </c>
      <c r="J13" s="50">
        <v>0</v>
      </c>
      <c r="K13" s="50">
        <v>2</v>
      </c>
      <c r="L13" s="50">
        <v>0</v>
      </c>
      <c r="M13" s="50">
        <v>27</v>
      </c>
      <c r="N13" s="50">
        <v>0</v>
      </c>
      <c r="O13" s="15">
        <f t="shared" si="0"/>
        <v>60</v>
      </c>
      <c r="P13" s="15">
        <f t="shared" si="1"/>
        <v>87</v>
      </c>
      <c r="R13" s="1" t="s">
        <v>9</v>
      </c>
      <c r="S13" s="17">
        <f t="shared" ref="S13:AF13" si="5">SUM(C22:C25)</f>
        <v>94</v>
      </c>
      <c r="T13" s="17">
        <f t="shared" si="5"/>
        <v>7</v>
      </c>
      <c r="U13" s="17">
        <f t="shared" si="5"/>
        <v>16</v>
      </c>
      <c r="V13" s="17">
        <f t="shared" si="5"/>
        <v>110</v>
      </c>
      <c r="W13" s="17">
        <f t="shared" si="5"/>
        <v>3</v>
      </c>
      <c r="X13" s="17">
        <f t="shared" si="5"/>
        <v>3</v>
      </c>
      <c r="Y13" s="17">
        <f t="shared" si="5"/>
        <v>53</v>
      </c>
      <c r="Z13" s="17">
        <f t="shared" si="5"/>
        <v>12</v>
      </c>
      <c r="AA13" s="17">
        <f t="shared" si="5"/>
        <v>5</v>
      </c>
      <c r="AB13" s="17">
        <f t="shared" si="5"/>
        <v>8</v>
      </c>
      <c r="AC13" s="17">
        <f t="shared" si="5"/>
        <v>95</v>
      </c>
      <c r="AD13" s="17">
        <f t="shared" si="5"/>
        <v>0</v>
      </c>
      <c r="AE13" s="31">
        <f t="shared" si="5"/>
        <v>311</v>
      </c>
      <c r="AF13" s="31">
        <f t="shared" si="5"/>
        <v>406</v>
      </c>
    </row>
    <row r="14" spans="2:32" ht="23.1" customHeight="1" x14ac:dyDescent="0.25">
      <c r="B14" s="45" t="s">
        <v>41</v>
      </c>
      <c r="C14" s="50">
        <v>23</v>
      </c>
      <c r="D14" s="50">
        <v>6</v>
      </c>
      <c r="E14" s="50">
        <v>2</v>
      </c>
      <c r="F14" s="50">
        <v>17</v>
      </c>
      <c r="G14" s="50">
        <v>0</v>
      </c>
      <c r="H14" s="50">
        <v>2</v>
      </c>
      <c r="I14" s="50">
        <v>12</v>
      </c>
      <c r="J14" s="50">
        <v>2</v>
      </c>
      <c r="K14" s="50">
        <v>0</v>
      </c>
      <c r="L14" s="50">
        <v>0</v>
      </c>
      <c r="M14" s="50">
        <v>27</v>
      </c>
      <c r="N14" s="50">
        <v>0</v>
      </c>
      <c r="O14" s="15">
        <f t="shared" si="0"/>
        <v>64</v>
      </c>
      <c r="P14" s="15">
        <f t="shared" si="1"/>
        <v>91</v>
      </c>
      <c r="R14" s="1" t="s">
        <v>10</v>
      </c>
      <c r="S14" s="17">
        <f t="shared" ref="S14:AF14" si="6">SUM(C26:C29)</f>
        <v>111</v>
      </c>
      <c r="T14" s="17">
        <f t="shared" si="6"/>
        <v>12</v>
      </c>
      <c r="U14" s="17">
        <f t="shared" si="6"/>
        <v>21</v>
      </c>
      <c r="V14" s="17">
        <f t="shared" si="6"/>
        <v>95</v>
      </c>
      <c r="W14" s="17">
        <f t="shared" si="6"/>
        <v>1</v>
      </c>
      <c r="X14" s="17">
        <f t="shared" si="6"/>
        <v>1</v>
      </c>
      <c r="Y14" s="17">
        <f t="shared" si="6"/>
        <v>45</v>
      </c>
      <c r="Z14" s="17">
        <f t="shared" si="6"/>
        <v>9</v>
      </c>
      <c r="AA14" s="17">
        <f t="shared" si="6"/>
        <v>3</v>
      </c>
      <c r="AB14" s="17">
        <f t="shared" si="6"/>
        <v>4</v>
      </c>
      <c r="AC14" s="17">
        <f t="shared" si="6"/>
        <v>93</v>
      </c>
      <c r="AD14" s="17">
        <f t="shared" si="6"/>
        <v>0</v>
      </c>
      <c r="AE14" s="31">
        <f t="shared" si="6"/>
        <v>302</v>
      </c>
      <c r="AF14" s="31">
        <f t="shared" si="6"/>
        <v>395</v>
      </c>
    </row>
    <row r="15" spans="2:32" ht="23.1" customHeight="1" x14ac:dyDescent="0.25">
      <c r="B15" s="45" t="s">
        <v>42</v>
      </c>
      <c r="C15" s="50">
        <v>25</v>
      </c>
      <c r="D15" s="50">
        <v>1</v>
      </c>
      <c r="E15" s="50">
        <v>1</v>
      </c>
      <c r="F15" s="50">
        <v>32</v>
      </c>
      <c r="G15" s="50">
        <v>2</v>
      </c>
      <c r="H15" s="50">
        <v>0</v>
      </c>
      <c r="I15" s="50">
        <v>7</v>
      </c>
      <c r="J15" s="50">
        <v>1</v>
      </c>
      <c r="K15" s="50">
        <v>0</v>
      </c>
      <c r="L15" s="50">
        <v>0</v>
      </c>
      <c r="M15" s="50">
        <v>34</v>
      </c>
      <c r="N15" s="50">
        <v>0</v>
      </c>
      <c r="O15" s="15">
        <f t="shared" si="0"/>
        <v>69</v>
      </c>
      <c r="P15" s="15">
        <f t="shared" si="1"/>
        <v>103</v>
      </c>
      <c r="R15" s="1" t="s">
        <v>11</v>
      </c>
      <c r="S15" s="17">
        <f t="shared" ref="S15:AF15" si="7">SUM(C30:C33)</f>
        <v>104</v>
      </c>
      <c r="T15" s="17">
        <f t="shared" si="7"/>
        <v>12</v>
      </c>
      <c r="U15" s="17">
        <f t="shared" si="7"/>
        <v>13</v>
      </c>
      <c r="V15" s="17">
        <f t="shared" si="7"/>
        <v>98</v>
      </c>
      <c r="W15" s="17">
        <f t="shared" si="7"/>
        <v>2</v>
      </c>
      <c r="X15" s="17">
        <f t="shared" si="7"/>
        <v>15</v>
      </c>
      <c r="Y15" s="17">
        <f t="shared" si="7"/>
        <v>40</v>
      </c>
      <c r="Z15" s="17">
        <f t="shared" si="7"/>
        <v>7</v>
      </c>
      <c r="AA15" s="17">
        <f t="shared" si="7"/>
        <v>7</v>
      </c>
      <c r="AB15" s="17">
        <f t="shared" si="7"/>
        <v>5</v>
      </c>
      <c r="AC15" s="17">
        <f t="shared" si="7"/>
        <v>87</v>
      </c>
      <c r="AD15" s="17">
        <f t="shared" si="7"/>
        <v>0</v>
      </c>
      <c r="AE15" s="31">
        <f t="shared" si="7"/>
        <v>303</v>
      </c>
      <c r="AF15" s="31">
        <f t="shared" si="7"/>
        <v>390</v>
      </c>
    </row>
    <row r="16" spans="2:32" ht="23.1" customHeight="1" x14ac:dyDescent="0.25">
      <c r="B16" s="45" t="s">
        <v>43</v>
      </c>
      <c r="C16" s="50">
        <v>23</v>
      </c>
      <c r="D16" s="50">
        <v>3</v>
      </c>
      <c r="E16" s="50">
        <v>0</v>
      </c>
      <c r="F16" s="50">
        <v>23</v>
      </c>
      <c r="G16" s="50">
        <v>2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31</v>
      </c>
      <c r="N16" s="50">
        <v>0</v>
      </c>
      <c r="O16" s="15">
        <f t="shared" si="0"/>
        <v>52</v>
      </c>
      <c r="P16" s="15">
        <f t="shared" si="1"/>
        <v>83</v>
      </c>
      <c r="R16" s="1" t="s">
        <v>12</v>
      </c>
      <c r="S16" s="17">
        <f t="shared" ref="S16:AF16" si="8">SUM(C34:C37)</f>
        <v>109</v>
      </c>
      <c r="T16" s="17">
        <f t="shared" si="8"/>
        <v>19</v>
      </c>
      <c r="U16" s="17">
        <f t="shared" si="8"/>
        <v>24</v>
      </c>
      <c r="V16" s="17">
        <f t="shared" si="8"/>
        <v>83</v>
      </c>
      <c r="W16" s="17">
        <f t="shared" si="8"/>
        <v>2</v>
      </c>
      <c r="X16" s="17">
        <f t="shared" si="8"/>
        <v>6</v>
      </c>
      <c r="Y16" s="17">
        <f t="shared" si="8"/>
        <v>53</v>
      </c>
      <c r="Z16" s="17">
        <f t="shared" si="8"/>
        <v>0</v>
      </c>
      <c r="AA16" s="17">
        <f t="shared" si="8"/>
        <v>3</v>
      </c>
      <c r="AB16" s="17">
        <f t="shared" si="8"/>
        <v>2</v>
      </c>
      <c r="AC16" s="17">
        <f t="shared" si="8"/>
        <v>74</v>
      </c>
      <c r="AD16" s="17">
        <f t="shared" si="8"/>
        <v>0</v>
      </c>
      <c r="AE16" s="31">
        <f t="shared" si="8"/>
        <v>301</v>
      </c>
      <c r="AF16" s="31">
        <f t="shared" si="8"/>
        <v>375</v>
      </c>
    </row>
    <row r="17" spans="2:32" ht="23.1" customHeight="1" x14ac:dyDescent="0.25">
      <c r="B17" s="45" t="s">
        <v>44</v>
      </c>
      <c r="C17" s="50">
        <v>13</v>
      </c>
      <c r="D17" s="50">
        <v>2</v>
      </c>
      <c r="E17" s="50">
        <v>1</v>
      </c>
      <c r="F17" s="50">
        <v>23</v>
      </c>
      <c r="G17" s="50">
        <v>0</v>
      </c>
      <c r="H17" s="50">
        <v>0</v>
      </c>
      <c r="I17" s="50">
        <v>7</v>
      </c>
      <c r="J17" s="50">
        <v>2</v>
      </c>
      <c r="K17" s="50">
        <v>2</v>
      </c>
      <c r="L17" s="50">
        <v>0</v>
      </c>
      <c r="M17" s="50">
        <v>31</v>
      </c>
      <c r="N17" s="50">
        <v>0</v>
      </c>
      <c r="O17" s="15">
        <f t="shared" si="0"/>
        <v>50</v>
      </c>
      <c r="P17" s="15">
        <f t="shared" si="1"/>
        <v>81</v>
      </c>
      <c r="R17" s="1" t="s">
        <v>13</v>
      </c>
      <c r="S17" s="17">
        <f t="shared" ref="S17:AF17" si="9">SUM(C38:C41)</f>
        <v>138</v>
      </c>
      <c r="T17" s="17">
        <f t="shared" si="9"/>
        <v>13</v>
      </c>
      <c r="U17" s="17">
        <f t="shared" si="9"/>
        <v>17</v>
      </c>
      <c r="V17" s="17">
        <f t="shared" si="9"/>
        <v>93</v>
      </c>
      <c r="W17" s="17">
        <f t="shared" si="9"/>
        <v>0</v>
      </c>
      <c r="X17" s="17">
        <f t="shared" si="9"/>
        <v>5</v>
      </c>
      <c r="Y17" s="17">
        <f t="shared" si="9"/>
        <v>61</v>
      </c>
      <c r="Z17" s="17">
        <f t="shared" si="9"/>
        <v>8</v>
      </c>
      <c r="AA17" s="17">
        <f t="shared" si="9"/>
        <v>6</v>
      </c>
      <c r="AB17" s="17">
        <f t="shared" si="9"/>
        <v>8</v>
      </c>
      <c r="AC17" s="17">
        <f t="shared" si="9"/>
        <v>75</v>
      </c>
      <c r="AD17" s="17">
        <f t="shared" si="9"/>
        <v>1</v>
      </c>
      <c r="AE17" s="31">
        <f t="shared" si="9"/>
        <v>350</v>
      </c>
      <c r="AF17" s="31">
        <f t="shared" si="9"/>
        <v>425</v>
      </c>
    </row>
    <row r="18" spans="2:32" ht="23.1" customHeight="1" x14ac:dyDescent="0.25">
      <c r="B18" s="45" t="s">
        <v>45</v>
      </c>
      <c r="C18" s="50">
        <v>34</v>
      </c>
      <c r="D18" s="50">
        <v>2</v>
      </c>
      <c r="E18" s="50">
        <v>2</v>
      </c>
      <c r="F18" s="50">
        <v>35</v>
      </c>
      <c r="G18" s="50">
        <v>0</v>
      </c>
      <c r="H18" s="50">
        <v>3</v>
      </c>
      <c r="I18" s="50">
        <v>10</v>
      </c>
      <c r="J18" s="50">
        <v>3</v>
      </c>
      <c r="K18" s="50">
        <v>3</v>
      </c>
      <c r="L18" s="50">
        <v>2</v>
      </c>
      <c r="M18" s="50">
        <v>30</v>
      </c>
      <c r="N18" s="50">
        <v>0</v>
      </c>
      <c r="O18" s="15">
        <f t="shared" si="0"/>
        <v>94</v>
      </c>
      <c r="P18" s="15">
        <f t="shared" si="1"/>
        <v>124</v>
      </c>
      <c r="R18" s="1" t="s">
        <v>14</v>
      </c>
      <c r="S18" s="17">
        <f t="shared" ref="S18:AF18" si="10">SUM(C42:C45)</f>
        <v>124</v>
      </c>
      <c r="T18" s="17">
        <f t="shared" si="10"/>
        <v>18</v>
      </c>
      <c r="U18" s="17">
        <f t="shared" si="10"/>
        <v>27</v>
      </c>
      <c r="V18" s="17">
        <f t="shared" si="10"/>
        <v>83</v>
      </c>
      <c r="W18" s="17">
        <f t="shared" si="10"/>
        <v>5</v>
      </c>
      <c r="X18" s="17">
        <f t="shared" si="10"/>
        <v>7</v>
      </c>
      <c r="Y18" s="17">
        <f t="shared" si="10"/>
        <v>55</v>
      </c>
      <c r="Z18" s="17">
        <f t="shared" si="10"/>
        <v>10</v>
      </c>
      <c r="AA18" s="17">
        <f t="shared" si="10"/>
        <v>6</v>
      </c>
      <c r="AB18" s="17">
        <f t="shared" si="10"/>
        <v>8</v>
      </c>
      <c r="AC18" s="17">
        <f t="shared" si="10"/>
        <v>94</v>
      </c>
      <c r="AD18" s="17">
        <f t="shared" si="10"/>
        <v>0</v>
      </c>
      <c r="AE18" s="31">
        <f t="shared" si="10"/>
        <v>343</v>
      </c>
      <c r="AF18" s="31">
        <f t="shared" si="10"/>
        <v>437</v>
      </c>
    </row>
    <row r="19" spans="2:32" ht="23.1" customHeight="1" x14ac:dyDescent="0.25">
      <c r="B19" s="45" t="s">
        <v>46</v>
      </c>
      <c r="C19" s="50">
        <v>14</v>
      </c>
      <c r="D19" s="50">
        <v>4</v>
      </c>
      <c r="E19" s="50">
        <v>2</v>
      </c>
      <c r="F19" s="50">
        <v>22</v>
      </c>
      <c r="G19" s="50">
        <v>0</v>
      </c>
      <c r="H19" s="50">
        <v>0</v>
      </c>
      <c r="I19" s="50">
        <v>8</v>
      </c>
      <c r="J19" s="50">
        <v>5</v>
      </c>
      <c r="K19" s="50">
        <v>0</v>
      </c>
      <c r="L19" s="50">
        <v>2</v>
      </c>
      <c r="M19" s="50">
        <v>29</v>
      </c>
      <c r="N19" s="50">
        <v>0</v>
      </c>
      <c r="O19" s="15">
        <f t="shared" si="0"/>
        <v>57</v>
      </c>
      <c r="P19" s="15">
        <f t="shared" si="1"/>
        <v>86</v>
      </c>
      <c r="R19" s="1" t="s">
        <v>15</v>
      </c>
      <c r="S19" s="17">
        <f t="shared" ref="S19:AF19" si="11">SUM(C46:C49)</f>
        <v>159</v>
      </c>
      <c r="T19" s="17">
        <f t="shared" si="11"/>
        <v>31</v>
      </c>
      <c r="U19" s="17">
        <f t="shared" si="11"/>
        <v>33</v>
      </c>
      <c r="V19" s="17">
        <f t="shared" si="11"/>
        <v>98</v>
      </c>
      <c r="W19" s="17">
        <f t="shared" si="11"/>
        <v>3</v>
      </c>
      <c r="X19" s="17">
        <f t="shared" si="11"/>
        <v>9</v>
      </c>
      <c r="Y19" s="17">
        <f t="shared" si="11"/>
        <v>53</v>
      </c>
      <c r="Z19" s="17">
        <f t="shared" si="11"/>
        <v>16</v>
      </c>
      <c r="AA19" s="17">
        <f t="shared" si="11"/>
        <v>15</v>
      </c>
      <c r="AB19" s="17">
        <f t="shared" si="11"/>
        <v>13</v>
      </c>
      <c r="AC19" s="17">
        <f t="shared" si="11"/>
        <v>92</v>
      </c>
      <c r="AD19" s="17">
        <f t="shared" si="11"/>
        <v>0</v>
      </c>
      <c r="AE19" s="31">
        <f t="shared" si="11"/>
        <v>430</v>
      </c>
      <c r="AF19" s="31">
        <f t="shared" si="11"/>
        <v>522</v>
      </c>
    </row>
    <row r="20" spans="2:32" ht="23.1" customHeight="1" x14ac:dyDescent="0.25">
      <c r="B20" s="45" t="s">
        <v>47</v>
      </c>
      <c r="C20" s="50">
        <v>20</v>
      </c>
      <c r="D20" s="50">
        <v>4</v>
      </c>
      <c r="E20" s="50">
        <v>6</v>
      </c>
      <c r="F20" s="50">
        <v>21</v>
      </c>
      <c r="G20" s="50">
        <v>0</v>
      </c>
      <c r="H20" s="50">
        <v>0</v>
      </c>
      <c r="I20" s="50">
        <v>9</v>
      </c>
      <c r="J20" s="50">
        <v>0</v>
      </c>
      <c r="K20" s="50">
        <v>0</v>
      </c>
      <c r="L20" s="50">
        <v>0</v>
      </c>
      <c r="M20" s="50">
        <v>20</v>
      </c>
      <c r="N20" s="50">
        <v>0</v>
      </c>
      <c r="O20" s="15">
        <f t="shared" si="0"/>
        <v>60</v>
      </c>
      <c r="P20" s="15">
        <f t="shared" si="1"/>
        <v>80</v>
      </c>
      <c r="R20" s="1" t="s">
        <v>16</v>
      </c>
      <c r="S20" s="17">
        <f t="shared" ref="S20:AF20" si="12">SUM(C50:C53)</f>
        <v>248</v>
      </c>
      <c r="T20" s="17">
        <f t="shared" si="12"/>
        <v>46</v>
      </c>
      <c r="U20" s="17">
        <f t="shared" si="12"/>
        <v>38</v>
      </c>
      <c r="V20" s="17">
        <f t="shared" si="12"/>
        <v>119</v>
      </c>
      <c r="W20" s="17">
        <f t="shared" si="12"/>
        <v>11</v>
      </c>
      <c r="X20" s="17">
        <f t="shared" si="12"/>
        <v>9</v>
      </c>
      <c r="Y20" s="17">
        <f t="shared" si="12"/>
        <v>58</v>
      </c>
      <c r="Z20" s="17">
        <f t="shared" si="12"/>
        <v>6</v>
      </c>
      <c r="AA20" s="17">
        <f t="shared" si="12"/>
        <v>5</v>
      </c>
      <c r="AB20" s="17">
        <f t="shared" si="12"/>
        <v>8</v>
      </c>
      <c r="AC20" s="17">
        <f t="shared" si="12"/>
        <v>132</v>
      </c>
      <c r="AD20" s="17">
        <f t="shared" si="12"/>
        <v>0</v>
      </c>
      <c r="AE20" s="31">
        <f t="shared" si="12"/>
        <v>548</v>
      </c>
      <c r="AF20" s="31">
        <f t="shared" si="12"/>
        <v>680</v>
      </c>
    </row>
    <row r="21" spans="2:32" ht="23.1" customHeight="1" x14ac:dyDescent="0.25">
      <c r="B21" s="45" t="s">
        <v>48</v>
      </c>
      <c r="C21" s="50">
        <v>38</v>
      </c>
      <c r="D21" s="50">
        <v>5</v>
      </c>
      <c r="E21" s="50">
        <v>0</v>
      </c>
      <c r="F21" s="50">
        <v>28</v>
      </c>
      <c r="G21" s="50">
        <v>0</v>
      </c>
      <c r="H21" s="50">
        <v>0</v>
      </c>
      <c r="I21" s="50">
        <v>12</v>
      </c>
      <c r="J21" s="50">
        <v>3</v>
      </c>
      <c r="K21" s="50">
        <v>0</v>
      </c>
      <c r="L21" s="50">
        <v>0</v>
      </c>
      <c r="M21" s="50">
        <v>25</v>
      </c>
      <c r="N21" s="50">
        <v>0</v>
      </c>
      <c r="O21" s="15">
        <f t="shared" si="0"/>
        <v>86</v>
      </c>
      <c r="P21" s="15">
        <f t="shared" si="1"/>
        <v>111</v>
      </c>
      <c r="R21" s="36" t="s">
        <v>20</v>
      </c>
      <c r="S21" s="34">
        <f t="shared" ref="S21:AF21" si="13">SUM(C54:C57)</f>
        <v>279</v>
      </c>
      <c r="T21" s="17">
        <f t="shared" si="13"/>
        <v>30</v>
      </c>
      <c r="U21" s="17">
        <f t="shared" si="13"/>
        <v>26</v>
      </c>
      <c r="V21" s="17">
        <f t="shared" si="13"/>
        <v>145</v>
      </c>
      <c r="W21" s="17">
        <f t="shared" si="13"/>
        <v>18</v>
      </c>
      <c r="X21" s="17">
        <f t="shared" si="13"/>
        <v>3</v>
      </c>
      <c r="Y21" s="17">
        <f t="shared" si="13"/>
        <v>64</v>
      </c>
      <c r="Z21" s="17">
        <f t="shared" si="13"/>
        <v>16</v>
      </c>
      <c r="AA21" s="17">
        <f t="shared" si="13"/>
        <v>7</v>
      </c>
      <c r="AB21" s="17">
        <f t="shared" si="13"/>
        <v>9</v>
      </c>
      <c r="AC21" s="17">
        <f t="shared" si="13"/>
        <v>97</v>
      </c>
      <c r="AD21" s="17">
        <f t="shared" si="13"/>
        <v>0</v>
      </c>
      <c r="AE21" s="31">
        <f t="shared" si="13"/>
        <v>597</v>
      </c>
      <c r="AF21" s="31">
        <f t="shared" si="13"/>
        <v>694</v>
      </c>
    </row>
    <row r="22" spans="2:32" ht="23.1" customHeight="1" x14ac:dyDescent="0.25">
      <c r="B22" s="45" t="s">
        <v>49</v>
      </c>
      <c r="C22" s="50">
        <v>18</v>
      </c>
      <c r="D22" s="50">
        <v>4</v>
      </c>
      <c r="E22" s="50">
        <v>4</v>
      </c>
      <c r="F22" s="50">
        <v>33</v>
      </c>
      <c r="G22" s="50">
        <v>1</v>
      </c>
      <c r="H22" s="50">
        <v>1</v>
      </c>
      <c r="I22" s="50">
        <v>13</v>
      </c>
      <c r="J22" s="50">
        <v>1</v>
      </c>
      <c r="K22" s="50">
        <v>0</v>
      </c>
      <c r="L22" s="50">
        <v>4</v>
      </c>
      <c r="M22" s="50">
        <v>26</v>
      </c>
      <c r="N22" s="50">
        <v>0</v>
      </c>
      <c r="O22" s="15">
        <f t="shared" si="0"/>
        <v>79</v>
      </c>
      <c r="P22" s="15">
        <f t="shared" si="1"/>
        <v>105</v>
      </c>
      <c r="R22" s="36" t="s">
        <v>146</v>
      </c>
      <c r="S22" s="34">
        <f>SUM(C58:C61)</f>
        <v>206</v>
      </c>
      <c r="T22" s="34">
        <f t="shared" ref="T22:AF22" si="14">SUM(D58:D61)</f>
        <v>34</v>
      </c>
      <c r="U22" s="34">
        <f t="shared" si="14"/>
        <v>47</v>
      </c>
      <c r="V22" s="34">
        <f t="shared" si="14"/>
        <v>243</v>
      </c>
      <c r="W22" s="34">
        <f t="shared" si="14"/>
        <v>22</v>
      </c>
      <c r="X22" s="34">
        <f t="shared" si="14"/>
        <v>17</v>
      </c>
      <c r="Y22" s="34">
        <f t="shared" si="14"/>
        <v>111</v>
      </c>
      <c r="Z22" s="34">
        <f t="shared" si="14"/>
        <v>14</v>
      </c>
      <c r="AA22" s="34">
        <f t="shared" si="14"/>
        <v>9</v>
      </c>
      <c r="AB22" s="34">
        <f t="shared" si="14"/>
        <v>25</v>
      </c>
      <c r="AC22" s="34">
        <f t="shared" si="14"/>
        <v>114</v>
      </c>
      <c r="AD22" s="34">
        <f t="shared" si="14"/>
        <v>0</v>
      </c>
      <c r="AE22" s="31">
        <f t="shared" si="14"/>
        <v>728</v>
      </c>
      <c r="AF22" s="31">
        <f t="shared" si="14"/>
        <v>842</v>
      </c>
    </row>
    <row r="23" spans="2:32" ht="23.1" customHeight="1" x14ac:dyDescent="0.25">
      <c r="B23" s="45" t="s">
        <v>50</v>
      </c>
      <c r="C23" s="50">
        <v>29</v>
      </c>
      <c r="D23" s="50">
        <v>0</v>
      </c>
      <c r="E23" s="50">
        <v>4</v>
      </c>
      <c r="F23" s="50">
        <v>29</v>
      </c>
      <c r="G23" s="50">
        <v>0</v>
      </c>
      <c r="H23" s="50">
        <v>0</v>
      </c>
      <c r="I23" s="50">
        <v>12</v>
      </c>
      <c r="J23" s="50">
        <v>2</v>
      </c>
      <c r="K23" s="50">
        <v>0</v>
      </c>
      <c r="L23" s="50">
        <v>0</v>
      </c>
      <c r="M23" s="50">
        <v>24</v>
      </c>
      <c r="N23" s="50">
        <v>0</v>
      </c>
      <c r="O23" s="15">
        <f t="shared" si="0"/>
        <v>76</v>
      </c>
      <c r="P23" s="15">
        <f t="shared" si="1"/>
        <v>100</v>
      </c>
      <c r="R23" s="36" t="s">
        <v>147</v>
      </c>
      <c r="S23" s="34">
        <f>SUM(C62:C65)</f>
        <v>156</v>
      </c>
      <c r="T23" s="34">
        <f t="shared" ref="T23:AF23" si="15">SUM(D62:D65)</f>
        <v>26</v>
      </c>
      <c r="U23" s="34">
        <f t="shared" si="15"/>
        <v>15</v>
      </c>
      <c r="V23" s="34">
        <f t="shared" si="15"/>
        <v>90</v>
      </c>
      <c r="W23" s="34">
        <f t="shared" si="15"/>
        <v>7</v>
      </c>
      <c r="X23" s="34">
        <f t="shared" si="15"/>
        <v>2</v>
      </c>
      <c r="Y23" s="34">
        <f t="shared" si="15"/>
        <v>77</v>
      </c>
      <c r="Z23" s="34">
        <f t="shared" si="15"/>
        <v>5</v>
      </c>
      <c r="AA23" s="34">
        <f t="shared" si="15"/>
        <v>7</v>
      </c>
      <c r="AB23" s="34">
        <f t="shared" si="15"/>
        <v>8</v>
      </c>
      <c r="AC23" s="34">
        <f t="shared" si="15"/>
        <v>73</v>
      </c>
      <c r="AD23" s="34">
        <f t="shared" si="15"/>
        <v>0</v>
      </c>
      <c r="AE23" s="31">
        <f t="shared" si="15"/>
        <v>393</v>
      </c>
      <c r="AF23" s="31">
        <f t="shared" si="15"/>
        <v>466</v>
      </c>
    </row>
    <row r="24" spans="2:32" ht="23.1" customHeight="1" x14ac:dyDescent="0.25">
      <c r="B24" s="45" t="s">
        <v>51</v>
      </c>
      <c r="C24" s="50">
        <v>16</v>
      </c>
      <c r="D24" s="50">
        <v>2</v>
      </c>
      <c r="E24" s="50">
        <v>1</v>
      </c>
      <c r="F24" s="50">
        <v>28</v>
      </c>
      <c r="G24" s="50">
        <v>2</v>
      </c>
      <c r="H24" s="50">
        <v>2</v>
      </c>
      <c r="I24" s="50">
        <v>15</v>
      </c>
      <c r="J24" s="50">
        <v>4</v>
      </c>
      <c r="K24" s="50">
        <v>3</v>
      </c>
      <c r="L24" s="50">
        <v>2</v>
      </c>
      <c r="M24" s="50">
        <v>26</v>
      </c>
      <c r="N24" s="50">
        <v>0</v>
      </c>
      <c r="O24" s="15">
        <f t="shared" si="0"/>
        <v>75</v>
      </c>
      <c r="P24" s="15">
        <f t="shared" si="1"/>
        <v>101</v>
      </c>
      <c r="R24" s="36" t="s">
        <v>148</v>
      </c>
      <c r="S24" s="34">
        <f>SUM(C66:C69)</f>
        <v>197</v>
      </c>
      <c r="T24" s="34">
        <f t="shared" ref="T24:AF24" si="16">SUM(D66:D69)</f>
        <v>33</v>
      </c>
      <c r="U24" s="34">
        <f t="shared" si="16"/>
        <v>28</v>
      </c>
      <c r="V24" s="34">
        <f t="shared" si="16"/>
        <v>95</v>
      </c>
      <c r="W24" s="34">
        <f t="shared" si="16"/>
        <v>9</v>
      </c>
      <c r="X24" s="34">
        <f t="shared" si="16"/>
        <v>11</v>
      </c>
      <c r="Y24" s="34">
        <f t="shared" si="16"/>
        <v>76</v>
      </c>
      <c r="Z24" s="34">
        <f t="shared" si="16"/>
        <v>9</v>
      </c>
      <c r="AA24" s="34">
        <f t="shared" si="16"/>
        <v>2</v>
      </c>
      <c r="AB24" s="34">
        <f t="shared" si="16"/>
        <v>16</v>
      </c>
      <c r="AC24" s="34">
        <f t="shared" si="16"/>
        <v>49</v>
      </c>
      <c r="AD24" s="34">
        <f t="shared" si="16"/>
        <v>0</v>
      </c>
      <c r="AE24" s="31">
        <f t="shared" si="16"/>
        <v>476</v>
      </c>
      <c r="AF24" s="31">
        <f t="shared" si="16"/>
        <v>525</v>
      </c>
    </row>
    <row r="25" spans="2:32" ht="23.1" customHeight="1" x14ac:dyDescent="0.25">
      <c r="B25" s="45" t="s">
        <v>52</v>
      </c>
      <c r="C25" s="50">
        <v>31</v>
      </c>
      <c r="D25" s="50">
        <v>1</v>
      </c>
      <c r="E25" s="50">
        <v>7</v>
      </c>
      <c r="F25" s="50">
        <v>20</v>
      </c>
      <c r="G25" s="50">
        <v>0</v>
      </c>
      <c r="H25" s="50">
        <v>0</v>
      </c>
      <c r="I25" s="50">
        <v>13</v>
      </c>
      <c r="J25" s="50">
        <v>5</v>
      </c>
      <c r="K25" s="50">
        <v>2</v>
      </c>
      <c r="L25" s="50">
        <v>2</v>
      </c>
      <c r="M25" s="50">
        <v>19</v>
      </c>
      <c r="N25" s="50">
        <v>0</v>
      </c>
      <c r="O25" s="15">
        <f t="shared" si="0"/>
        <v>81</v>
      </c>
      <c r="P25" s="15">
        <f t="shared" si="1"/>
        <v>100</v>
      </c>
      <c r="R25" s="36" t="s">
        <v>149</v>
      </c>
      <c r="S25" s="34">
        <f>SUM(C70:C73)</f>
        <v>90</v>
      </c>
      <c r="T25" s="34">
        <f t="shared" ref="T25:AF25" si="17">SUM(D70:D73)</f>
        <v>21</v>
      </c>
      <c r="U25" s="34">
        <f t="shared" si="17"/>
        <v>15</v>
      </c>
      <c r="V25" s="34">
        <f t="shared" si="17"/>
        <v>49</v>
      </c>
      <c r="W25" s="34">
        <f t="shared" si="17"/>
        <v>3</v>
      </c>
      <c r="X25" s="34">
        <f t="shared" si="17"/>
        <v>4</v>
      </c>
      <c r="Y25" s="34">
        <f t="shared" si="17"/>
        <v>70</v>
      </c>
      <c r="Z25" s="34">
        <f t="shared" si="17"/>
        <v>7</v>
      </c>
      <c r="AA25" s="34">
        <f t="shared" si="17"/>
        <v>7</v>
      </c>
      <c r="AB25" s="34">
        <f t="shared" si="17"/>
        <v>27</v>
      </c>
      <c r="AC25" s="34">
        <f t="shared" si="17"/>
        <v>36</v>
      </c>
      <c r="AD25" s="34">
        <f t="shared" si="17"/>
        <v>0</v>
      </c>
      <c r="AE25" s="31">
        <f t="shared" si="17"/>
        <v>293</v>
      </c>
      <c r="AF25" s="31">
        <f t="shared" si="17"/>
        <v>329</v>
      </c>
    </row>
    <row r="26" spans="2:32" ht="23.1" customHeight="1" x14ac:dyDescent="0.25">
      <c r="B26" s="45" t="s">
        <v>53</v>
      </c>
      <c r="C26" s="50">
        <v>25</v>
      </c>
      <c r="D26" s="50">
        <v>5</v>
      </c>
      <c r="E26" s="50">
        <v>1</v>
      </c>
      <c r="F26" s="50">
        <v>21</v>
      </c>
      <c r="G26" s="50">
        <v>0</v>
      </c>
      <c r="H26" s="50">
        <v>1</v>
      </c>
      <c r="I26" s="50">
        <v>10</v>
      </c>
      <c r="J26" s="50">
        <v>1</v>
      </c>
      <c r="K26" s="50">
        <v>1</v>
      </c>
      <c r="L26" s="50">
        <v>0</v>
      </c>
      <c r="M26" s="50">
        <v>11</v>
      </c>
      <c r="N26" s="50">
        <v>0</v>
      </c>
      <c r="O26" s="15">
        <f t="shared" si="0"/>
        <v>65</v>
      </c>
      <c r="P26" s="15">
        <f t="shared" si="1"/>
        <v>76</v>
      </c>
      <c r="R26" s="36" t="s">
        <v>150</v>
      </c>
      <c r="S26" s="34">
        <f>SUM(C74:C77)</f>
        <v>75</v>
      </c>
      <c r="T26" s="34">
        <f t="shared" ref="T26:AF26" si="18">SUM(D74:D77)</f>
        <v>12</v>
      </c>
      <c r="U26" s="34">
        <f t="shared" si="18"/>
        <v>10</v>
      </c>
      <c r="V26" s="34">
        <f t="shared" si="18"/>
        <v>37</v>
      </c>
      <c r="W26" s="34">
        <f t="shared" si="18"/>
        <v>2</v>
      </c>
      <c r="X26" s="34">
        <f t="shared" si="18"/>
        <v>3</v>
      </c>
      <c r="Y26" s="34">
        <f t="shared" si="18"/>
        <v>58</v>
      </c>
      <c r="Z26" s="34">
        <f t="shared" si="18"/>
        <v>22</v>
      </c>
      <c r="AA26" s="34">
        <f t="shared" si="18"/>
        <v>4</v>
      </c>
      <c r="AB26" s="34">
        <f t="shared" si="18"/>
        <v>7</v>
      </c>
      <c r="AC26" s="34">
        <f t="shared" si="18"/>
        <v>18</v>
      </c>
      <c r="AD26" s="34">
        <f t="shared" si="18"/>
        <v>0</v>
      </c>
      <c r="AE26" s="31">
        <f t="shared" si="18"/>
        <v>230</v>
      </c>
      <c r="AF26" s="31">
        <f t="shared" si="18"/>
        <v>248</v>
      </c>
    </row>
    <row r="27" spans="2:32" ht="23.1" customHeight="1" x14ac:dyDescent="0.25">
      <c r="B27" s="45" t="s">
        <v>54</v>
      </c>
      <c r="C27" s="50">
        <v>32</v>
      </c>
      <c r="D27" s="50">
        <v>2</v>
      </c>
      <c r="E27" s="50">
        <v>2</v>
      </c>
      <c r="F27" s="50">
        <v>32</v>
      </c>
      <c r="G27" s="50">
        <v>0</v>
      </c>
      <c r="H27" s="50">
        <v>0</v>
      </c>
      <c r="I27" s="50">
        <v>12</v>
      </c>
      <c r="J27" s="50">
        <v>2</v>
      </c>
      <c r="K27" s="50">
        <v>1</v>
      </c>
      <c r="L27" s="50">
        <v>1</v>
      </c>
      <c r="M27" s="50">
        <v>26</v>
      </c>
      <c r="N27" s="50">
        <v>0</v>
      </c>
      <c r="O27" s="15">
        <f t="shared" si="0"/>
        <v>84</v>
      </c>
      <c r="P27" s="15">
        <f t="shared" si="1"/>
        <v>110</v>
      </c>
      <c r="R27" s="36" t="s">
        <v>151</v>
      </c>
      <c r="S27" s="34">
        <f>SUM(C78:C81)</f>
        <v>41</v>
      </c>
      <c r="T27" s="34">
        <f t="shared" ref="T27:AF27" si="19">SUM(D78:D81)</f>
        <v>12</v>
      </c>
      <c r="U27" s="34">
        <f t="shared" si="19"/>
        <v>4</v>
      </c>
      <c r="V27" s="34">
        <f t="shared" si="19"/>
        <v>17</v>
      </c>
      <c r="W27" s="34">
        <f t="shared" si="19"/>
        <v>1</v>
      </c>
      <c r="X27" s="34">
        <f t="shared" si="19"/>
        <v>3</v>
      </c>
      <c r="Y27" s="34">
        <f t="shared" si="19"/>
        <v>35</v>
      </c>
      <c r="Z27" s="34">
        <f t="shared" si="19"/>
        <v>21</v>
      </c>
      <c r="AA27" s="34">
        <f t="shared" si="19"/>
        <v>5</v>
      </c>
      <c r="AB27" s="34">
        <f t="shared" si="19"/>
        <v>14</v>
      </c>
      <c r="AC27" s="34">
        <f t="shared" si="19"/>
        <v>4</v>
      </c>
      <c r="AD27" s="34">
        <f t="shared" si="19"/>
        <v>0</v>
      </c>
      <c r="AE27" s="31">
        <f t="shared" si="19"/>
        <v>153</v>
      </c>
      <c r="AF27" s="31">
        <f t="shared" si="19"/>
        <v>157</v>
      </c>
    </row>
    <row r="28" spans="2:32" ht="23.1" customHeight="1" x14ac:dyDescent="0.25">
      <c r="B28" s="45" t="s">
        <v>55</v>
      </c>
      <c r="C28" s="50">
        <v>25</v>
      </c>
      <c r="D28" s="50">
        <v>3</v>
      </c>
      <c r="E28" s="50">
        <v>6</v>
      </c>
      <c r="F28" s="50">
        <v>15</v>
      </c>
      <c r="G28" s="50">
        <v>1</v>
      </c>
      <c r="H28" s="50">
        <v>0</v>
      </c>
      <c r="I28" s="50">
        <v>13</v>
      </c>
      <c r="J28" s="50">
        <v>0</v>
      </c>
      <c r="K28" s="50">
        <v>0</v>
      </c>
      <c r="L28" s="50">
        <v>3</v>
      </c>
      <c r="M28" s="50">
        <v>21</v>
      </c>
      <c r="N28" s="50">
        <v>0</v>
      </c>
      <c r="O28" s="15">
        <f t="shared" si="0"/>
        <v>66</v>
      </c>
      <c r="P28" s="15">
        <f t="shared" si="1"/>
        <v>87</v>
      </c>
      <c r="R28" s="36" t="s">
        <v>152</v>
      </c>
      <c r="S28" s="34">
        <f>SUM(C82:C85)</f>
        <v>17</v>
      </c>
      <c r="T28" s="34">
        <f t="shared" ref="T28:AF28" si="20">SUM(D82:D85)</f>
        <v>5</v>
      </c>
      <c r="U28" s="34">
        <f t="shared" si="20"/>
        <v>0</v>
      </c>
      <c r="V28" s="34">
        <f t="shared" si="20"/>
        <v>9</v>
      </c>
      <c r="W28" s="34">
        <f t="shared" si="20"/>
        <v>0</v>
      </c>
      <c r="X28" s="34">
        <f t="shared" si="20"/>
        <v>1</v>
      </c>
      <c r="Y28" s="34">
        <f t="shared" si="20"/>
        <v>35</v>
      </c>
      <c r="Z28" s="34">
        <f t="shared" si="20"/>
        <v>26</v>
      </c>
      <c r="AA28" s="34">
        <f t="shared" si="20"/>
        <v>5</v>
      </c>
      <c r="AB28" s="34">
        <f t="shared" si="20"/>
        <v>24</v>
      </c>
      <c r="AC28" s="34">
        <f t="shared" si="20"/>
        <v>4</v>
      </c>
      <c r="AD28" s="34">
        <f t="shared" si="20"/>
        <v>0</v>
      </c>
      <c r="AE28" s="31">
        <f t="shared" si="20"/>
        <v>122</v>
      </c>
      <c r="AF28" s="31">
        <f t="shared" si="20"/>
        <v>126</v>
      </c>
    </row>
    <row r="29" spans="2:32" ht="23.1" customHeight="1" x14ac:dyDescent="0.25">
      <c r="B29" s="45" t="s">
        <v>56</v>
      </c>
      <c r="C29" s="50">
        <v>29</v>
      </c>
      <c r="D29" s="50">
        <v>2</v>
      </c>
      <c r="E29" s="50">
        <v>12</v>
      </c>
      <c r="F29" s="50">
        <v>27</v>
      </c>
      <c r="G29" s="50">
        <v>0</v>
      </c>
      <c r="H29" s="50">
        <v>0</v>
      </c>
      <c r="I29" s="50">
        <v>10</v>
      </c>
      <c r="J29" s="50">
        <v>6</v>
      </c>
      <c r="K29" s="50">
        <v>1</v>
      </c>
      <c r="L29" s="50">
        <v>0</v>
      </c>
      <c r="M29" s="50">
        <v>35</v>
      </c>
      <c r="N29" s="50">
        <v>0</v>
      </c>
      <c r="O29" s="15">
        <f t="shared" si="0"/>
        <v>87</v>
      </c>
      <c r="P29" s="15">
        <f t="shared" si="1"/>
        <v>122</v>
      </c>
      <c r="R29" s="36" t="s">
        <v>153</v>
      </c>
      <c r="S29" s="34">
        <f>SUM(C86:C89)</f>
        <v>12</v>
      </c>
      <c r="T29" s="34">
        <f t="shared" ref="T29:AF29" si="21">SUM(D86:D89)</f>
        <v>1</v>
      </c>
      <c r="U29" s="34">
        <f t="shared" si="21"/>
        <v>4</v>
      </c>
      <c r="V29" s="34">
        <f t="shared" si="21"/>
        <v>2</v>
      </c>
      <c r="W29" s="34">
        <f t="shared" si="21"/>
        <v>0</v>
      </c>
      <c r="X29" s="34">
        <f t="shared" si="21"/>
        <v>7</v>
      </c>
      <c r="Y29" s="34">
        <f t="shared" si="21"/>
        <v>22</v>
      </c>
      <c r="Z29" s="34">
        <f t="shared" si="21"/>
        <v>16</v>
      </c>
      <c r="AA29" s="34">
        <f t="shared" si="21"/>
        <v>1</v>
      </c>
      <c r="AB29" s="34">
        <f t="shared" si="21"/>
        <v>13</v>
      </c>
      <c r="AC29" s="34">
        <f t="shared" si="21"/>
        <v>1</v>
      </c>
      <c r="AD29" s="34">
        <f t="shared" si="21"/>
        <v>0</v>
      </c>
      <c r="AE29" s="31">
        <f t="shared" si="21"/>
        <v>78</v>
      </c>
      <c r="AF29" s="31">
        <f t="shared" si="21"/>
        <v>79</v>
      </c>
    </row>
    <row r="30" spans="2:32" ht="23.1" customHeight="1" x14ac:dyDescent="0.25">
      <c r="B30" s="45" t="s">
        <v>57</v>
      </c>
      <c r="C30" s="50">
        <v>19</v>
      </c>
      <c r="D30" s="50">
        <v>1</v>
      </c>
      <c r="E30" s="50">
        <v>4</v>
      </c>
      <c r="F30" s="50">
        <v>20</v>
      </c>
      <c r="G30" s="50">
        <v>0</v>
      </c>
      <c r="H30" s="50">
        <v>1</v>
      </c>
      <c r="I30" s="50">
        <v>13</v>
      </c>
      <c r="J30" s="50">
        <v>1</v>
      </c>
      <c r="K30" s="50">
        <v>4</v>
      </c>
      <c r="L30" s="50">
        <v>0</v>
      </c>
      <c r="M30" s="50">
        <v>21</v>
      </c>
      <c r="N30" s="50">
        <v>0</v>
      </c>
      <c r="O30" s="15">
        <f t="shared" si="0"/>
        <v>63</v>
      </c>
      <c r="P30" s="15">
        <f t="shared" si="1"/>
        <v>84</v>
      </c>
      <c r="R30" s="36" t="s">
        <v>154</v>
      </c>
      <c r="S30" s="34">
        <f>SUM(C90:C93)</f>
        <v>6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0</v>
      </c>
      <c r="W30" s="34">
        <f t="shared" si="22"/>
        <v>3</v>
      </c>
      <c r="X30" s="34">
        <f t="shared" si="22"/>
        <v>11</v>
      </c>
      <c r="Y30" s="34">
        <f t="shared" si="22"/>
        <v>25</v>
      </c>
      <c r="Z30" s="34">
        <f t="shared" si="22"/>
        <v>30</v>
      </c>
      <c r="AA30" s="34">
        <f t="shared" si="22"/>
        <v>6</v>
      </c>
      <c r="AB30" s="34">
        <f t="shared" si="22"/>
        <v>21</v>
      </c>
      <c r="AC30" s="34">
        <f t="shared" si="22"/>
        <v>1</v>
      </c>
      <c r="AD30" s="34">
        <f t="shared" si="22"/>
        <v>0</v>
      </c>
      <c r="AE30" s="31">
        <f t="shared" si="22"/>
        <v>105</v>
      </c>
      <c r="AF30" s="31">
        <f t="shared" si="22"/>
        <v>106</v>
      </c>
    </row>
    <row r="31" spans="2:32" ht="23.1" customHeight="1" x14ac:dyDescent="0.25">
      <c r="B31" s="46" t="s">
        <v>58</v>
      </c>
      <c r="C31" s="50">
        <v>30</v>
      </c>
      <c r="D31" s="50">
        <v>3</v>
      </c>
      <c r="E31" s="50">
        <v>3</v>
      </c>
      <c r="F31" s="50">
        <v>29</v>
      </c>
      <c r="G31" s="50">
        <v>1</v>
      </c>
      <c r="H31" s="50">
        <v>1</v>
      </c>
      <c r="I31" s="50">
        <v>16</v>
      </c>
      <c r="J31" s="50">
        <v>4</v>
      </c>
      <c r="K31" s="50">
        <v>2</v>
      </c>
      <c r="L31" s="50">
        <v>2</v>
      </c>
      <c r="M31" s="50">
        <v>26</v>
      </c>
      <c r="N31" s="50">
        <v>0</v>
      </c>
      <c r="O31" s="15">
        <f t="shared" si="0"/>
        <v>91</v>
      </c>
      <c r="P31" s="15">
        <f t="shared" si="1"/>
        <v>117</v>
      </c>
      <c r="R31" s="36" t="s">
        <v>155</v>
      </c>
      <c r="S31" s="34">
        <f>SUM(C94:C97)</f>
        <v>7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8</v>
      </c>
      <c r="W31" s="34">
        <f t="shared" si="23"/>
        <v>1</v>
      </c>
      <c r="X31" s="34">
        <f t="shared" si="23"/>
        <v>6</v>
      </c>
      <c r="Y31" s="34">
        <f t="shared" si="23"/>
        <v>23</v>
      </c>
      <c r="Z31" s="34">
        <f t="shared" si="23"/>
        <v>22</v>
      </c>
      <c r="AA31" s="34">
        <f t="shared" si="23"/>
        <v>0</v>
      </c>
      <c r="AB31" s="34">
        <f t="shared" si="23"/>
        <v>12</v>
      </c>
      <c r="AC31" s="34">
        <f t="shared" si="23"/>
        <v>2</v>
      </c>
      <c r="AD31" s="34">
        <f t="shared" si="23"/>
        <v>0</v>
      </c>
      <c r="AE31" s="31">
        <f t="shared" si="23"/>
        <v>80</v>
      </c>
      <c r="AF31" s="31">
        <f t="shared" si="23"/>
        <v>82</v>
      </c>
    </row>
    <row r="32" spans="2:32" ht="23.1" customHeight="1" x14ac:dyDescent="0.25">
      <c r="B32" s="46" t="s">
        <v>59</v>
      </c>
      <c r="C32" s="50">
        <v>25</v>
      </c>
      <c r="D32" s="50">
        <v>3</v>
      </c>
      <c r="E32" s="50">
        <v>4</v>
      </c>
      <c r="F32" s="50">
        <v>26</v>
      </c>
      <c r="G32" s="50">
        <v>1</v>
      </c>
      <c r="H32" s="50">
        <v>12</v>
      </c>
      <c r="I32" s="50">
        <v>0</v>
      </c>
      <c r="J32" s="50">
        <v>1</v>
      </c>
      <c r="K32" s="50">
        <v>0</v>
      </c>
      <c r="L32" s="50">
        <v>0</v>
      </c>
      <c r="M32" s="50">
        <v>23</v>
      </c>
      <c r="N32" s="50">
        <v>0</v>
      </c>
      <c r="O32" s="15">
        <f t="shared" si="0"/>
        <v>72</v>
      </c>
      <c r="P32" s="15">
        <f t="shared" si="1"/>
        <v>95</v>
      </c>
      <c r="R32" s="33" t="s">
        <v>156</v>
      </c>
      <c r="S32" s="34">
        <f>SUM(C98:C101)</f>
        <v>19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21</v>
      </c>
      <c r="W32" s="34">
        <f t="shared" si="24"/>
        <v>1</v>
      </c>
      <c r="X32" s="34">
        <f t="shared" si="24"/>
        <v>9</v>
      </c>
      <c r="Y32" s="34">
        <f t="shared" si="24"/>
        <v>25</v>
      </c>
      <c r="Z32" s="34">
        <f t="shared" si="24"/>
        <v>21</v>
      </c>
      <c r="AA32" s="34">
        <f t="shared" si="24"/>
        <v>1</v>
      </c>
      <c r="AB32" s="34">
        <f t="shared" si="24"/>
        <v>13</v>
      </c>
      <c r="AC32" s="34">
        <f t="shared" si="24"/>
        <v>5</v>
      </c>
      <c r="AD32" s="34">
        <f t="shared" si="24"/>
        <v>0</v>
      </c>
      <c r="AE32" s="31">
        <f t="shared" si="24"/>
        <v>114</v>
      </c>
      <c r="AF32" s="31">
        <f t="shared" si="24"/>
        <v>119</v>
      </c>
    </row>
    <row r="33" spans="2:32" ht="23.1" customHeight="1" x14ac:dyDescent="0.25">
      <c r="B33" s="45" t="s">
        <v>60</v>
      </c>
      <c r="C33" s="50">
        <v>30</v>
      </c>
      <c r="D33" s="50">
        <v>5</v>
      </c>
      <c r="E33" s="50">
        <v>2</v>
      </c>
      <c r="F33" s="50">
        <v>23</v>
      </c>
      <c r="G33" s="50">
        <v>0</v>
      </c>
      <c r="H33" s="50">
        <v>1</v>
      </c>
      <c r="I33" s="50">
        <v>11</v>
      </c>
      <c r="J33" s="50">
        <v>1</v>
      </c>
      <c r="K33" s="50">
        <v>1</v>
      </c>
      <c r="L33" s="50">
        <v>3</v>
      </c>
      <c r="M33" s="50">
        <v>17</v>
      </c>
      <c r="N33" s="50">
        <v>0</v>
      </c>
      <c r="O33" s="15">
        <f t="shared" si="0"/>
        <v>77</v>
      </c>
      <c r="P33" s="15">
        <f t="shared" si="1"/>
        <v>94</v>
      </c>
      <c r="R33" s="33" t="s">
        <v>157</v>
      </c>
      <c r="S33" s="34">
        <f>SUM(C102:C105)</f>
        <v>27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54</v>
      </c>
      <c r="W33" s="34">
        <f t="shared" si="25"/>
        <v>0</v>
      </c>
      <c r="X33" s="34">
        <f t="shared" si="25"/>
        <v>5</v>
      </c>
      <c r="Y33" s="34">
        <f t="shared" si="25"/>
        <v>30</v>
      </c>
      <c r="Z33" s="34">
        <f t="shared" si="25"/>
        <v>19</v>
      </c>
      <c r="AA33" s="34">
        <f t="shared" si="25"/>
        <v>1</v>
      </c>
      <c r="AB33" s="34">
        <f t="shared" si="25"/>
        <v>9</v>
      </c>
      <c r="AC33" s="34">
        <f t="shared" si="25"/>
        <v>31</v>
      </c>
      <c r="AD33" s="34">
        <f t="shared" si="25"/>
        <v>0</v>
      </c>
      <c r="AE33" s="31">
        <f t="shared" si="25"/>
        <v>152</v>
      </c>
      <c r="AF33" s="31">
        <f t="shared" si="25"/>
        <v>183</v>
      </c>
    </row>
    <row r="34" spans="2:32" ht="23.1" customHeight="1" x14ac:dyDescent="0.25">
      <c r="B34" s="46" t="s">
        <v>61</v>
      </c>
      <c r="C34" s="50">
        <v>32</v>
      </c>
      <c r="D34" s="50">
        <v>6</v>
      </c>
      <c r="E34" s="50">
        <v>5</v>
      </c>
      <c r="F34" s="50">
        <v>28</v>
      </c>
      <c r="G34" s="50">
        <v>1</v>
      </c>
      <c r="H34" s="50">
        <v>2</v>
      </c>
      <c r="I34" s="50">
        <v>17</v>
      </c>
      <c r="J34" s="50">
        <v>0</v>
      </c>
      <c r="K34" s="50">
        <v>0</v>
      </c>
      <c r="L34" s="50">
        <v>1</v>
      </c>
      <c r="M34" s="50">
        <v>25</v>
      </c>
      <c r="N34" s="50">
        <v>0</v>
      </c>
      <c r="O34" s="15">
        <f t="shared" si="0"/>
        <v>92</v>
      </c>
      <c r="P34" s="15">
        <f t="shared" si="1"/>
        <v>117</v>
      </c>
      <c r="R34" s="38" t="s">
        <v>90</v>
      </c>
      <c r="S34" s="39">
        <f t="shared" ref="S34:AF34" si="26">MAX(S10:S12)</f>
        <v>106</v>
      </c>
      <c r="T34" s="39">
        <f t="shared" si="26"/>
        <v>15</v>
      </c>
      <c r="U34" s="39">
        <f t="shared" si="26"/>
        <v>10</v>
      </c>
      <c r="V34" s="39">
        <f t="shared" si="26"/>
        <v>106</v>
      </c>
      <c r="W34" s="39">
        <f t="shared" si="26"/>
        <v>4</v>
      </c>
      <c r="X34" s="39">
        <f t="shared" si="26"/>
        <v>4</v>
      </c>
      <c r="Y34" s="39">
        <f t="shared" si="26"/>
        <v>39</v>
      </c>
      <c r="Z34" s="39">
        <f t="shared" si="26"/>
        <v>11</v>
      </c>
      <c r="AA34" s="39">
        <f t="shared" si="26"/>
        <v>3</v>
      </c>
      <c r="AB34" s="39">
        <f t="shared" si="26"/>
        <v>4</v>
      </c>
      <c r="AC34" s="39">
        <f t="shared" si="26"/>
        <v>123</v>
      </c>
      <c r="AD34" s="39">
        <f t="shared" si="26"/>
        <v>0</v>
      </c>
      <c r="AE34" s="40">
        <f t="shared" si="26"/>
        <v>297</v>
      </c>
      <c r="AF34" s="40">
        <f t="shared" si="26"/>
        <v>401</v>
      </c>
    </row>
    <row r="35" spans="2:32" ht="23.1" customHeight="1" x14ac:dyDescent="0.25">
      <c r="B35" s="46" t="s">
        <v>62</v>
      </c>
      <c r="C35" s="50">
        <v>24</v>
      </c>
      <c r="D35" s="50">
        <v>5</v>
      </c>
      <c r="E35" s="50">
        <v>9</v>
      </c>
      <c r="F35" s="50">
        <v>22</v>
      </c>
      <c r="G35" s="50">
        <v>0</v>
      </c>
      <c r="H35" s="50">
        <v>0</v>
      </c>
      <c r="I35" s="50">
        <v>11</v>
      </c>
      <c r="J35" s="50">
        <v>0</v>
      </c>
      <c r="K35" s="50">
        <v>2</v>
      </c>
      <c r="L35" s="50">
        <v>0</v>
      </c>
      <c r="M35" s="50">
        <v>23</v>
      </c>
      <c r="N35" s="50">
        <v>0</v>
      </c>
      <c r="O35" s="15">
        <f t="shared" si="0"/>
        <v>73</v>
      </c>
      <c r="P35" s="15">
        <f t="shared" si="1"/>
        <v>96</v>
      </c>
      <c r="R35" s="38" t="s">
        <v>91</v>
      </c>
      <c r="S35" s="39">
        <f t="shared" ref="S35:AF35" si="27">MAX(S13:S18)</f>
        <v>138</v>
      </c>
      <c r="T35" s="39">
        <f t="shared" si="27"/>
        <v>19</v>
      </c>
      <c r="U35" s="39">
        <f t="shared" si="27"/>
        <v>27</v>
      </c>
      <c r="V35" s="39">
        <f t="shared" si="27"/>
        <v>110</v>
      </c>
      <c r="W35" s="39">
        <f t="shared" si="27"/>
        <v>5</v>
      </c>
      <c r="X35" s="39">
        <f t="shared" si="27"/>
        <v>15</v>
      </c>
      <c r="Y35" s="39">
        <f t="shared" si="27"/>
        <v>61</v>
      </c>
      <c r="Z35" s="39">
        <f t="shared" si="27"/>
        <v>12</v>
      </c>
      <c r="AA35" s="39">
        <f t="shared" si="27"/>
        <v>7</v>
      </c>
      <c r="AB35" s="39">
        <f t="shared" si="27"/>
        <v>8</v>
      </c>
      <c r="AC35" s="39">
        <f t="shared" si="27"/>
        <v>95</v>
      </c>
      <c r="AD35" s="39">
        <f t="shared" si="27"/>
        <v>1</v>
      </c>
      <c r="AE35" s="40">
        <f t="shared" si="27"/>
        <v>350</v>
      </c>
      <c r="AF35" s="40">
        <f t="shared" si="27"/>
        <v>437</v>
      </c>
    </row>
    <row r="36" spans="2:32" ht="23.1" customHeight="1" x14ac:dyDescent="0.25">
      <c r="B36" s="46" t="s">
        <v>63</v>
      </c>
      <c r="C36" s="50">
        <v>24</v>
      </c>
      <c r="D36" s="50">
        <v>4</v>
      </c>
      <c r="E36" s="50">
        <v>4</v>
      </c>
      <c r="F36" s="50">
        <v>18</v>
      </c>
      <c r="G36" s="50">
        <v>0</v>
      </c>
      <c r="H36" s="50">
        <v>1</v>
      </c>
      <c r="I36" s="50">
        <v>9</v>
      </c>
      <c r="J36" s="50">
        <v>0</v>
      </c>
      <c r="K36" s="50">
        <v>0</v>
      </c>
      <c r="L36" s="50">
        <v>1</v>
      </c>
      <c r="M36" s="50">
        <v>14</v>
      </c>
      <c r="N36" s="50">
        <v>0</v>
      </c>
      <c r="O36" s="15">
        <f t="shared" si="0"/>
        <v>61</v>
      </c>
      <c r="P36" s="15">
        <f t="shared" si="1"/>
        <v>75</v>
      </c>
      <c r="R36" s="38" t="s">
        <v>92</v>
      </c>
      <c r="S36" s="39">
        <f t="shared" ref="S36:AF36" si="28">MAX(S19:S21)</f>
        <v>279</v>
      </c>
      <c r="T36" s="39">
        <f t="shared" si="28"/>
        <v>46</v>
      </c>
      <c r="U36" s="39">
        <f t="shared" si="28"/>
        <v>38</v>
      </c>
      <c r="V36" s="39">
        <f t="shared" si="28"/>
        <v>145</v>
      </c>
      <c r="W36" s="39">
        <f t="shared" si="28"/>
        <v>18</v>
      </c>
      <c r="X36" s="39">
        <f t="shared" si="28"/>
        <v>9</v>
      </c>
      <c r="Y36" s="39">
        <f t="shared" si="28"/>
        <v>64</v>
      </c>
      <c r="Z36" s="39">
        <f t="shared" si="28"/>
        <v>16</v>
      </c>
      <c r="AA36" s="39">
        <f t="shared" si="28"/>
        <v>15</v>
      </c>
      <c r="AB36" s="39">
        <f t="shared" si="28"/>
        <v>13</v>
      </c>
      <c r="AC36" s="39">
        <f t="shared" si="28"/>
        <v>132</v>
      </c>
      <c r="AD36" s="39">
        <f t="shared" si="28"/>
        <v>0</v>
      </c>
      <c r="AE36" s="40">
        <f t="shared" si="28"/>
        <v>597</v>
      </c>
      <c r="AF36" s="40">
        <f t="shared" si="28"/>
        <v>694</v>
      </c>
    </row>
    <row r="37" spans="2:32" ht="23.1" customHeight="1" x14ac:dyDescent="0.25">
      <c r="B37" s="45" t="s">
        <v>64</v>
      </c>
      <c r="C37" s="50">
        <v>29</v>
      </c>
      <c r="D37" s="50">
        <v>4</v>
      </c>
      <c r="E37" s="50">
        <v>6</v>
      </c>
      <c r="F37" s="50">
        <v>15</v>
      </c>
      <c r="G37" s="50">
        <v>1</v>
      </c>
      <c r="H37" s="50">
        <v>3</v>
      </c>
      <c r="I37" s="50">
        <v>16</v>
      </c>
      <c r="J37" s="50">
        <v>0</v>
      </c>
      <c r="K37" s="50">
        <v>1</v>
      </c>
      <c r="L37" s="50">
        <v>0</v>
      </c>
      <c r="M37" s="50">
        <v>12</v>
      </c>
      <c r="N37" s="50">
        <v>0</v>
      </c>
      <c r="O37" s="15">
        <f t="shared" si="0"/>
        <v>75</v>
      </c>
      <c r="P37" s="15">
        <f t="shared" si="1"/>
        <v>87</v>
      </c>
      <c r="R37" s="37" t="s">
        <v>85</v>
      </c>
      <c r="S37" s="35">
        <f t="shared" ref="S37:AF37" si="29">SUM(S10:S12)</f>
        <v>242</v>
      </c>
      <c r="T37" s="16">
        <f t="shared" si="29"/>
        <v>32</v>
      </c>
      <c r="U37" s="16">
        <f t="shared" si="29"/>
        <v>20</v>
      </c>
      <c r="V37" s="16">
        <f t="shared" si="29"/>
        <v>285</v>
      </c>
      <c r="W37" s="16">
        <f t="shared" si="29"/>
        <v>7</v>
      </c>
      <c r="X37" s="16">
        <f t="shared" si="29"/>
        <v>9</v>
      </c>
      <c r="Y37" s="16">
        <f t="shared" si="29"/>
        <v>103</v>
      </c>
      <c r="Z37" s="16">
        <f t="shared" si="29"/>
        <v>26</v>
      </c>
      <c r="AA37" s="16">
        <f t="shared" si="29"/>
        <v>8</v>
      </c>
      <c r="AB37" s="16">
        <f t="shared" si="29"/>
        <v>5</v>
      </c>
      <c r="AC37" s="16">
        <f t="shared" si="29"/>
        <v>333</v>
      </c>
      <c r="AD37" s="16">
        <f t="shared" si="29"/>
        <v>0</v>
      </c>
      <c r="AE37" s="32">
        <f t="shared" si="29"/>
        <v>737</v>
      </c>
      <c r="AF37" s="32">
        <f t="shared" si="29"/>
        <v>1070</v>
      </c>
    </row>
    <row r="38" spans="2:32" ht="23.1" customHeight="1" x14ac:dyDescent="0.25">
      <c r="B38" s="46" t="s">
        <v>65</v>
      </c>
      <c r="C38" s="50">
        <v>31</v>
      </c>
      <c r="D38" s="50">
        <v>3</v>
      </c>
      <c r="E38" s="50">
        <v>2</v>
      </c>
      <c r="F38" s="50">
        <v>21</v>
      </c>
      <c r="G38" s="50">
        <v>0</v>
      </c>
      <c r="H38" s="50">
        <v>1</v>
      </c>
      <c r="I38" s="50">
        <v>16</v>
      </c>
      <c r="J38" s="50">
        <v>2</v>
      </c>
      <c r="K38" s="50">
        <v>1</v>
      </c>
      <c r="L38" s="50">
        <v>0</v>
      </c>
      <c r="M38" s="50">
        <v>13</v>
      </c>
      <c r="N38" s="50">
        <v>0</v>
      </c>
      <c r="O38" s="15">
        <f t="shared" si="0"/>
        <v>77</v>
      </c>
      <c r="P38" s="15">
        <f t="shared" si="1"/>
        <v>90</v>
      </c>
      <c r="R38" s="28" t="s">
        <v>86</v>
      </c>
      <c r="S38" s="16">
        <f t="shared" ref="S38:AF38" si="30">SUM(S13:S18)</f>
        <v>680</v>
      </c>
      <c r="T38" s="16">
        <f t="shared" si="30"/>
        <v>81</v>
      </c>
      <c r="U38" s="16">
        <f t="shared" si="30"/>
        <v>118</v>
      </c>
      <c r="V38" s="16">
        <f t="shared" si="30"/>
        <v>562</v>
      </c>
      <c r="W38" s="16">
        <f t="shared" si="30"/>
        <v>13</v>
      </c>
      <c r="X38" s="16">
        <f t="shared" si="30"/>
        <v>37</v>
      </c>
      <c r="Y38" s="16">
        <f t="shared" si="30"/>
        <v>307</v>
      </c>
      <c r="Z38" s="16">
        <f t="shared" si="30"/>
        <v>46</v>
      </c>
      <c r="AA38" s="16">
        <f t="shared" si="30"/>
        <v>30</v>
      </c>
      <c r="AB38" s="16">
        <f t="shared" si="30"/>
        <v>35</v>
      </c>
      <c r="AC38" s="16">
        <f t="shared" si="30"/>
        <v>518</v>
      </c>
      <c r="AD38" s="16">
        <f t="shared" si="30"/>
        <v>1</v>
      </c>
      <c r="AE38" s="32">
        <f t="shared" si="30"/>
        <v>1910</v>
      </c>
      <c r="AF38" s="32">
        <f t="shared" si="30"/>
        <v>2428</v>
      </c>
    </row>
    <row r="39" spans="2:32" ht="23.1" customHeight="1" x14ac:dyDescent="0.25">
      <c r="B39" s="46" t="s">
        <v>66</v>
      </c>
      <c r="C39" s="50">
        <v>39</v>
      </c>
      <c r="D39" s="50">
        <v>4</v>
      </c>
      <c r="E39" s="50">
        <v>4</v>
      </c>
      <c r="F39" s="50">
        <v>20</v>
      </c>
      <c r="G39" s="50">
        <v>0</v>
      </c>
      <c r="H39" s="50">
        <v>0</v>
      </c>
      <c r="I39" s="50">
        <v>20</v>
      </c>
      <c r="J39" s="50">
        <v>3</v>
      </c>
      <c r="K39" s="50">
        <v>3</v>
      </c>
      <c r="L39" s="50">
        <v>3</v>
      </c>
      <c r="M39" s="50">
        <v>18</v>
      </c>
      <c r="N39" s="50">
        <v>0</v>
      </c>
      <c r="O39" s="15">
        <f t="shared" si="0"/>
        <v>96</v>
      </c>
      <c r="P39" s="15">
        <f t="shared" si="1"/>
        <v>114</v>
      </c>
      <c r="R39" s="29" t="s">
        <v>87</v>
      </c>
      <c r="S39" s="16">
        <f t="shared" ref="S39:AF39" si="31">SUM(S19:S21)</f>
        <v>686</v>
      </c>
      <c r="T39" s="16">
        <f t="shared" si="31"/>
        <v>107</v>
      </c>
      <c r="U39" s="16">
        <f t="shared" si="31"/>
        <v>97</v>
      </c>
      <c r="V39" s="16">
        <f t="shared" si="31"/>
        <v>362</v>
      </c>
      <c r="W39" s="16">
        <f t="shared" si="31"/>
        <v>32</v>
      </c>
      <c r="X39" s="16">
        <f t="shared" si="31"/>
        <v>21</v>
      </c>
      <c r="Y39" s="16">
        <f t="shared" si="31"/>
        <v>175</v>
      </c>
      <c r="Z39" s="16">
        <f t="shared" si="31"/>
        <v>38</v>
      </c>
      <c r="AA39" s="16">
        <f t="shared" si="31"/>
        <v>27</v>
      </c>
      <c r="AB39" s="16">
        <f t="shared" si="31"/>
        <v>30</v>
      </c>
      <c r="AC39" s="16">
        <f t="shared" si="31"/>
        <v>321</v>
      </c>
      <c r="AD39" s="16">
        <f t="shared" si="31"/>
        <v>0</v>
      </c>
      <c r="AE39" s="32">
        <f t="shared" si="31"/>
        <v>1575</v>
      </c>
      <c r="AF39" s="32">
        <f t="shared" si="31"/>
        <v>1896</v>
      </c>
    </row>
    <row r="40" spans="2:32" ht="23.1" customHeight="1" x14ac:dyDescent="0.25">
      <c r="B40" s="46" t="s">
        <v>67</v>
      </c>
      <c r="C40" s="50">
        <v>30</v>
      </c>
      <c r="D40" s="50">
        <v>4</v>
      </c>
      <c r="E40" s="50">
        <v>4</v>
      </c>
      <c r="F40" s="50">
        <v>19</v>
      </c>
      <c r="G40" s="50">
        <v>0</v>
      </c>
      <c r="H40" s="50">
        <v>0</v>
      </c>
      <c r="I40" s="50">
        <v>12</v>
      </c>
      <c r="J40" s="50">
        <v>3</v>
      </c>
      <c r="K40" s="50">
        <v>2</v>
      </c>
      <c r="L40" s="50">
        <v>1</v>
      </c>
      <c r="M40" s="50">
        <v>17</v>
      </c>
      <c r="N40" s="50">
        <v>1</v>
      </c>
      <c r="O40" s="15">
        <f t="shared" si="0"/>
        <v>76</v>
      </c>
      <c r="P40" s="15">
        <f t="shared" si="1"/>
        <v>93</v>
      </c>
      <c r="R40" s="5" t="s">
        <v>17</v>
      </c>
      <c r="S40" s="16">
        <f t="shared" ref="S40:AF40" si="32">SUM(S10:S21)</f>
        <v>1608</v>
      </c>
      <c r="T40" s="16">
        <f t="shared" si="32"/>
        <v>220</v>
      </c>
      <c r="U40" s="16">
        <f t="shared" si="32"/>
        <v>235</v>
      </c>
      <c r="V40" s="16">
        <f t="shared" si="32"/>
        <v>1209</v>
      </c>
      <c r="W40" s="16">
        <f t="shared" si="32"/>
        <v>52</v>
      </c>
      <c r="X40" s="16">
        <f t="shared" si="32"/>
        <v>67</v>
      </c>
      <c r="Y40" s="16">
        <f t="shared" si="32"/>
        <v>585</v>
      </c>
      <c r="Z40" s="16">
        <f t="shared" si="32"/>
        <v>110</v>
      </c>
      <c r="AA40" s="16">
        <f t="shared" si="32"/>
        <v>65</v>
      </c>
      <c r="AB40" s="16">
        <f t="shared" si="32"/>
        <v>70</v>
      </c>
      <c r="AC40" s="16">
        <f t="shared" si="32"/>
        <v>1172</v>
      </c>
      <c r="AD40" s="16">
        <f t="shared" si="32"/>
        <v>1</v>
      </c>
      <c r="AE40" s="32">
        <f t="shared" si="32"/>
        <v>4222</v>
      </c>
      <c r="AF40" s="32">
        <f t="shared" si="32"/>
        <v>5394</v>
      </c>
    </row>
    <row r="41" spans="2:32" ht="23.1" customHeight="1" x14ac:dyDescent="0.25">
      <c r="B41" s="45" t="s">
        <v>68</v>
      </c>
      <c r="C41" s="50">
        <v>38</v>
      </c>
      <c r="D41" s="50">
        <v>2</v>
      </c>
      <c r="E41" s="50">
        <v>7</v>
      </c>
      <c r="F41" s="50">
        <v>33</v>
      </c>
      <c r="G41" s="50">
        <v>0</v>
      </c>
      <c r="H41" s="50">
        <v>4</v>
      </c>
      <c r="I41" s="50">
        <v>13</v>
      </c>
      <c r="J41" s="50">
        <v>0</v>
      </c>
      <c r="K41" s="50">
        <v>0</v>
      </c>
      <c r="L41" s="50">
        <v>4</v>
      </c>
      <c r="M41" s="50">
        <v>27</v>
      </c>
      <c r="N41" s="50">
        <v>0</v>
      </c>
      <c r="O41" s="15">
        <f t="shared" si="0"/>
        <v>101</v>
      </c>
      <c r="P41" s="15">
        <f t="shared" si="1"/>
        <v>128</v>
      </c>
      <c r="R41" s="5" t="s">
        <v>159</v>
      </c>
      <c r="S41" s="16">
        <f>SUM(S10:S33)</f>
        <v>2461</v>
      </c>
      <c r="T41" s="16">
        <f t="shared" ref="T41:AF41" si="33">SUM(T10:T33)</f>
        <v>370</v>
      </c>
      <c r="U41" s="16">
        <f t="shared" si="33"/>
        <v>367</v>
      </c>
      <c r="V41" s="16">
        <f t="shared" si="33"/>
        <v>1834</v>
      </c>
      <c r="W41" s="16">
        <f t="shared" si="33"/>
        <v>101</v>
      </c>
      <c r="X41" s="16">
        <f t="shared" si="33"/>
        <v>146</v>
      </c>
      <c r="Y41" s="16">
        <f t="shared" si="33"/>
        <v>1172</v>
      </c>
      <c r="Z41" s="16">
        <f t="shared" si="33"/>
        <v>322</v>
      </c>
      <c r="AA41" s="16">
        <f t="shared" si="33"/>
        <v>113</v>
      </c>
      <c r="AB41" s="16">
        <f t="shared" si="33"/>
        <v>259</v>
      </c>
      <c r="AC41" s="16">
        <f t="shared" si="33"/>
        <v>1510</v>
      </c>
      <c r="AD41" s="16">
        <f t="shared" si="33"/>
        <v>1</v>
      </c>
      <c r="AE41" s="32">
        <f t="shared" si="33"/>
        <v>7146</v>
      </c>
      <c r="AF41" s="32">
        <f t="shared" si="33"/>
        <v>8656</v>
      </c>
    </row>
    <row r="42" spans="2:32" ht="23.1" customHeight="1" x14ac:dyDescent="0.25">
      <c r="B42" s="46" t="s">
        <v>69</v>
      </c>
      <c r="C42" s="50">
        <v>27</v>
      </c>
      <c r="D42" s="50">
        <v>3</v>
      </c>
      <c r="E42" s="50">
        <v>3</v>
      </c>
      <c r="F42" s="50">
        <v>15</v>
      </c>
      <c r="G42" s="50">
        <v>0</v>
      </c>
      <c r="H42" s="50">
        <v>2</v>
      </c>
      <c r="I42" s="50">
        <v>9</v>
      </c>
      <c r="J42" s="50">
        <v>4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63</v>
      </c>
      <c r="P42" s="15">
        <f t="shared" si="1"/>
        <v>91</v>
      </c>
      <c r="R42" s="5" t="s">
        <v>160</v>
      </c>
      <c r="S42" s="48">
        <f>S41/S40</f>
        <v>1.5304726368159205</v>
      </c>
      <c r="T42" s="48">
        <f t="shared" ref="T42:AF42" si="34">T41/T40</f>
        <v>1.6818181818181819</v>
      </c>
      <c r="U42" s="48">
        <f t="shared" si="34"/>
        <v>1.5617021276595744</v>
      </c>
      <c r="V42" s="48">
        <f t="shared" si="34"/>
        <v>1.5169561621174525</v>
      </c>
      <c r="W42" s="48">
        <f t="shared" si="34"/>
        <v>1.9423076923076923</v>
      </c>
      <c r="X42" s="48">
        <f t="shared" si="34"/>
        <v>2.1791044776119404</v>
      </c>
      <c r="Y42" s="48">
        <f t="shared" si="34"/>
        <v>2.0034188034188034</v>
      </c>
      <c r="Z42" s="48">
        <f t="shared" si="34"/>
        <v>2.9272727272727272</v>
      </c>
      <c r="AA42" s="48">
        <f t="shared" si="34"/>
        <v>1.7384615384615385</v>
      </c>
      <c r="AB42" s="48">
        <f t="shared" si="34"/>
        <v>3.7</v>
      </c>
      <c r="AC42" s="48">
        <f t="shared" si="34"/>
        <v>1.28839590443686</v>
      </c>
      <c r="AD42" s="48">
        <f t="shared" si="34"/>
        <v>1</v>
      </c>
      <c r="AE42" s="48">
        <f t="shared" si="34"/>
        <v>1.6925627664613927</v>
      </c>
      <c r="AF42" s="48">
        <f t="shared" si="34"/>
        <v>1.6047460140897294</v>
      </c>
    </row>
    <row r="43" spans="2:32" ht="23.1" customHeight="1" x14ac:dyDescent="0.25">
      <c r="B43" s="45" t="s">
        <v>70</v>
      </c>
      <c r="C43" s="50">
        <v>23</v>
      </c>
      <c r="D43" s="50">
        <v>1</v>
      </c>
      <c r="E43" s="50">
        <v>7</v>
      </c>
      <c r="F43" s="50">
        <v>16</v>
      </c>
      <c r="G43" s="50">
        <v>1</v>
      </c>
      <c r="H43" s="50">
        <v>1</v>
      </c>
      <c r="I43" s="50">
        <v>10</v>
      </c>
      <c r="J43" s="50">
        <v>3</v>
      </c>
      <c r="K43" s="50">
        <v>1</v>
      </c>
      <c r="L43" s="50">
        <v>5</v>
      </c>
      <c r="M43" s="50">
        <v>18</v>
      </c>
      <c r="N43" s="50">
        <v>0</v>
      </c>
      <c r="O43" s="15">
        <f t="shared" si="0"/>
        <v>68</v>
      </c>
      <c r="P43" s="15">
        <f t="shared" si="1"/>
        <v>86</v>
      </c>
    </row>
    <row r="44" spans="2:32" ht="23.1" customHeight="1" x14ac:dyDescent="0.25">
      <c r="B44" s="47" t="s">
        <v>71</v>
      </c>
      <c r="C44" s="50">
        <v>32</v>
      </c>
      <c r="D44" s="50">
        <v>5</v>
      </c>
      <c r="E44" s="50">
        <v>10</v>
      </c>
      <c r="F44" s="50">
        <v>23</v>
      </c>
      <c r="G44" s="50">
        <v>2</v>
      </c>
      <c r="H44" s="50">
        <v>1</v>
      </c>
      <c r="I44" s="50">
        <v>19</v>
      </c>
      <c r="J44" s="50">
        <v>1</v>
      </c>
      <c r="K44" s="50">
        <v>2</v>
      </c>
      <c r="L44" s="50">
        <v>0</v>
      </c>
      <c r="M44" s="50">
        <v>23</v>
      </c>
      <c r="N44" s="50">
        <v>0</v>
      </c>
      <c r="O44" s="15">
        <f t="shared" si="0"/>
        <v>95</v>
      </c>
      <c r="P44" s="15">
        <f t="shared" si="1"/>
        <v>118</v>
      </c>
    </row>
    <row r="45" spans="2:32" ht="23.1" customHeight="1" x14ac:dyDescent="0.25">
      <c r="B45" s="45" t="s">
        <v>72</v>
      </c>
      <c r="C45" s="50">
        <v>42</v>
      </c>
      <c r="D45" s="50">
        <v>9</v>
      </c>
      <c r="E45" s="50">
        <v>7</v>
      </c>
      <c r="F45" s="50">
        <v>29</v>
      </c>
      <c r="G45" s="50">
        <v>2</v>
      </c>
      <c r="H45" s="50">
        <v>3</v>
      </c>
      <c r="I45" s="50">
        <v>17</v>
      </c>
      <c r="J45" s="50">
        <v>2</v>
      </c>
      <c r="K45" s="50">
        <v>3</v>
      </c>
      <c r="L45" s="50">
        <v>3</v>
      </c>
      <c r="M45" s="50">
        <v>25</v>
      </c>
      <c r="N45" s="50">
        <v>0</v>
      </c>
      <c r="O45" s="15">
        <f t="shared" si="0"/>
        <v>117</v>
      </c>
      <c r="P45" s="15">
        <f t="shared" si="1"/>
        <v>142</v>
      </c>
    </row>
    <row r="46" spans="2:32" ht="23.1" customHeight="1" x14ac:dyDescent="0.25">
      <c r="B46" s="46" t="s">
        <v>73</v>
      </c>
      <c r="C46" s="50">
        <v>40</v>
      </c>
      <c r="D46" s="50">
        <v>7</v>
      </c>
      <c r="E46" s="50">
        <v>11</v>
      </c>
      <c r="F46" s="50">
        <v>22</v>
      </c>
      <c r="G46" s="50">
        <v>0</v>
      </c>
      <c r="H46" s="50">
        <v>4</v>
      </c>
      <c r="I46" s="50">
        <v>14</v>
      </c>
      <c r="J46" s="50">
        <v>3</v>
      </c>
      <c r="K46" s="50">
        <v>4</v>
      </c>
      <c r="L46" s="50">
        <v>3</v>
      </c>
      <c r="M46" s="50">
        <v>20</v>
      </c>
      <c r="N46" s="50">
        <v>0</v>
      </c>
      <c r="O46" s="15">
        <f t="shared" si="0"/>
        <v>108</v>
      </c>
      <c r="P46" s="15">
        <f t="shared" si="1"/>
        <v>128</v>
      </c>
      <c r="R46" s="8"/>
      <c r="T46"/>
    </row>
    <row r="47" spans="2:32" ht="23.1" customHeight="1" x14ac:dyDescent="0.25">
      <c r="B47" s="46" t="s">
        <v>74</v>
      </c>
      <c r="C47" s="50">
        <v>50</v>
      </c>
      <c r="D47" s="50">
        <v>2</v>
      </c>
      <c r="E47" s="50">
        <v>7</v>
      </c>
      <c r="F47" s="50">
        <v>25</v>
      </c>
      <c r="G47" s="50">
        <v>2</v>
      </c>
      <c r="H47" s="50">
        <v>1</v>
      </c>
      <c r="I47" s="50">
        <v>14</v>
      </c>
      <c r="J47" s="50">
        <v>2</v>
      </c>
      <c r="K47" s="50">
        <v>3</v>
      </c>
      <c r="L47" s="50">
        <v>4</v>
      </c>
      <c r="M47" s="50">
        <v>30</v>
      </c>
      <c r="N47" s="50">
        <v>0</v>
      </c>
      <c r="O47" s="15">
        <f t="shared" si="0"/>
        <v>110</v>
      </c>
      <c r="P47" s="15">
        <f t="shared" si="1"/>
        <v>140</v>
      </c>
      <c r="R47" s="8"/>
      <c r="T47"/>
    </row>
    <row r="48" spans="2:32" ht="23.1" customHeight="1" x14ac:dyDescent="0.25">
      <c r="B48" s="46" t="s">
        <v>75</v>
      </c>
      <c r="C48" s="50">
        <v>37</v>
      </c>
      <c r="D48" s="50">
        <v>11</v>
      </c>
      <c r="E48" s="50">
        <v>5</v>
      </c>
      <c r="F48" s="50">
        <v>29</v>
      </c>
      <c r="G48" s="50">
        <v>1</v>
      </c>
      <c r="H48" s="50">
        <v>3</v>
      </c>
      <c r="I48" s="50">
        <v>17</v>
      </c>
      <c r="J48" s="50">
        <v>3</v>
      </c>
      <c r="K48" s="50">
        <v>5</v>
      </c>
      <c r="L48" s="50">
        <v>3</v>
      </c>
      <c r="M48" s="50">
        <v>23</v>
      </c>
      <c r="N48" s="50">
        <v>0</v>
      </c>
      <c r="O48" s="15">
        <f t="shared" si="0"/>
        <v>114</v>
      </c>
      <c r="P48" s="15">
        <f t="shared" si="1"/>
        <v>137</v>
      </c>
      <c r="R48" s="8"/>
      <c r="T48"/>
    </row>
    <row r="49" spans="2:20" ht="23.1" customHeight="1" x14ac:dyDescent="0.25">
      <c r="B49" s="45" t="s">
        <v>76</v>
      </c>
      <c r="C49" s="50">
        <v>32</v>
      </c>
      <c r="D49" s="50">
        <v>11</v>
      </c>
      <c r="E49" s="50">
        <v>10</v>
      </c>
      <c r="F49" s="50">
        <v>22</v>
      </c>
      <c r="G49" s="50">
        <v>0</v>
      </c>
      <c r="H49" s="50">
        <v>1</v>
      </c>
      <c r="I49" s="50">
        <v>8</v>
      </c>
      <c r="J49" s="50">
        <v>8</v>
      </c>
      <c r="K49" s="50">
        <v>3</v>
      </c>
      <c r="L49" s="50">
        <v>3</v>
      </c>
      <c r="M49" s="50">
        <v>19</v>
      </c>
      <c r="N49" s="50">
        <v>0</v>
      </c>
      <c r="O49" s="15">
        <f t="shared" si="0"/>
        <v>98</v>
      </c>
      <c r="P49" s="15">
        <f t="shared" si="1"/>
        <v>117</v>
      </c>
      <c r="R49" s="8"/>
      <c r="T49"/>
    </row>
    <row r="50" spans="2:20" ht="23.1" customHeight="1" x14ac:dyDescent="0.25">
      <c r="B50" s="46" t="s">
        <v>77</v>
      </c>
      <c r="C50" s="50">
        <v>45</v>
      </c>
      <c r="D50" s="50">
        <v>10</v>
      </c>
      <c r="E50" s="50">
        <v>10</v>
      </c>
      <c r="F50" s="50">
        <v>29</v>
      </c>
      <c r="G50" s="50">
        <v>2</v>
      </c>
      <c r="H50" s="50">
        <v>5</v>
      </c>
      <c r="I50" s="50">
        <v>19</v>
      </c>
      <c r="J50" s="50">
        <v>0</v>
      </c>
      <c r="K50" s="50">
        <v>2</v>
      </c>
      <c r="L50" s="50">
        <v>3</v>
      </c>
      <c r="M50" s="50">
        <v>29</v>
      </c>
      <c r="N50" s="50">
        <v>0</v>
      </c>
      <c r="O50" s="15">
        <f t="shared" si="0"/>
        <v>125</v>
      </c>
      <c r="P50" s="15">
        <f t="shared" si="1"/>
        <v>154</v>
      </c>
      <c r="R50" s="8"/>
      <c r="T50"/>
    </row>
    <row r="51" spans="2:20" ht="23.1" customHeight="1" x14ac:dyDescent="0.25">
      <c r="B51" s="46" t="s">
        <v>78</v>
      </c>
      <c r="C51" s="50">
        <v>70</v>
      </c>
      <c r="D51" s="50">
        <v>17</v>
      </c>
      <c r="E51" s="50">
        <v>9</v>
      </c>
      <c r="F51" s="50">
        <v>21</v>
      </c>
      <c r="G51" s="50">
        <v>0</v>
      </c>
      <c r="H51" s="50">
        <v>2</v>
      </c>
      <c r="I51" s="50">
        <v>6</v>
      </c>
      <c r="J51" s="50">
        <v>2</v>
      </c>
      <c r="K51" s="50">
        <v>0</v>
      </c>
      <c r="L51" s="50">
        <v>3</v>
      </c>
      <c r="M51" s="50">
        <v>23</v>
      </c>
      <c r="N51" s="50">
        <v>0</v>
      </c>
      <c r="O51" s="15">
        <f t="shared" si="0"/>
        <v>130</v>
      </c>
      <c r="P51" s="15">
        <f t="shared" si="1"/>
        <v>153</v>
      </c>
      <c r="R51" s="8"/>
      <c r="T51"/>
    </row>
    <row r="52" spans="2:20" ht="23.1" customHeight="1" x14ac:dyDescent="0.25">
      <c r="B52" s="46" t="s">
        <v>79</v>
      </c>
      <c r="C52" s="50">
        <v>63</v>
      </c>
      <c r="D52" s="50">
        <v>14</v>
      </c>
      <c r="E52" s="50">
        <v>10</v>
      </c>
      <c r="F52" s="50">
        <v>40</v>
      </c>
      <c r="G52" s="50">
        <v>3</v>
      </c>
      <c r="H52" s="50">
        <v>1</v>
      </c>
      <c r="I52" s="50">
        <v>17</v>
      </c>
      <c r="J52" s="50">
        <v>2</v>
      </c>
      <c r="K52" s="50">
        <v>3</v>
      </c>
      <c r="L52" s="50">
        <v>1</v>
      </c>
      <c r="M52" s="50">
        <v>40</v>
      </c>
      <c r="N52" s="50">
        <v>0</v>
      </c>
      <c r="O52" s="15">
        <f t="shared" si="0"/>
        <v>154</v>
      </c>
      <c r="P52" s="15">
        <f t="shared" si="1"/>
        <v>194</v>
      </c>
      <c r="R52" s="8"/>
      <c r="T52"/>
    </row>
    <row r="53" spans="2:20" ht="23.1" customHeight="1" x14ac:dyDescent="0.25">
      <c r="B53" s="45" t="s">
        <v>80</v>
      </c>
      <c r="C53" s="50">
        <v>70</v>
      </c>
      <c r="D53" s="50">
        <v>5</v>
      </c>
      <c r="E53" s="50">
        <v>9</v>
      </c>
      <c r="F53" s="50">
        <v>29</v>
      </c>
      <c r="G53" s="50">
        <v>6</v>
      </c>
      <c r="H53" s="50">
        <v>1</v>
      </c>
      <c r="I53" s="50">
        <v>16</v>
      </c>
      <c r="J53" s="50">
        <v>2</v>
      </c>
      <c r="K53" s="50">
        <v>0</v>
      </c>
      <c r="L53" s="50">
        <v>1</v>
      </c>
      <c r="M53" s="50">
        <v>40</v>
      </c>
      <c r="N53" s="50">
        <v>0</v>
      </c>
      <c r="O53" s="15">
        <f t="shared" si="0"/>
        <v>139</v>
      </c>
      <c r="P53" s="15">
        <f t="shared" si="1"/>
        <v>179</v>
      </c>
      <c r="R53" s="8"/>
      <c r="T53"/>
    </row>
    <row r="54" spans="2:20" ht="23.1" customHeight="1" x14ac:dyDescent="0.25">
      <c r="B54" s="45" t="s">
        <v>81</v>
      </c>
      <c r="C54" s="50">
        <v>82</v>
      </c>
      <c r="D54" s="50">
        <v>10</v>
      </c>
      <c r="E54" s="50">
        <v>8</v>
      </c>
      <c r="F54" s="50">
        <v>50</v>
      </c>
      <c r="G54" s="50">
        <v>13</v>
      </c>
      <c r="H54" s="50">
        <v>0</v>
      </c>
      <c r="I54" s="50">
        <v>16</v>
      </c>
      <c r="J54" s="50">
        <v>7</v>
      </c>
      <c r="K54" s="50">
        <v>3</v>
      </c>
      <c r="L54" s="50">
        <v>3</v>
      </c>
      <c r="M54" s="50">
        <v>31</v>
      </c>
      <c r="N54" s="50">
        <v>0</v>
      </c>
      <c r="O54" s="15">
        <f t="shared" si="0"/>
        <v>192</v>
      </c>
      <c r="P54" s="15">
        <f t="shared" si="1"/>
        <v>223</v>
      </c>
      <c r="R54" s="8"/>
      <c r="T54"/>
    </row>
    <row r="55" spans="2:20" ht="23.1" customHeight="1" x14ac:dyDescent="0.25">
      <c r="B55" s="45" t="s">
        <v>82</v>
      </c>
      <c r="C55" s="50">
        <v>62</v>
      </c>
      <c r="D55" s="50">
        <v>7</v>
      </c>
      <c r="E55" s="50">
        <v>5</v>
      </c>
      <c r="F55" s="50">
        <v>35</v>
      </c>
      <c r="G55" s="50">
        <v>5</v>
      </c>
      <c r="H55" s="50">
        <v>1</v>
      </c>
      <c r="I55" s="50">
        <v>13</v>
      </c>
      <c r="J55" s="50">
        <v>2</v>
      </c>
      <c r="K55" s="50">
        <v>3</v>
      </c>
      <c r="L55" s="50">
        <v>3</v>
      </c>
      <c r="M55" s="50">
        <v>22</v>
      </c>
      <c r="N55" s="50">
        <v>0</v>
      </c>
      <c r="O55" s="15">
        <f t="shared" si="0"/>
        <v>136</v>
      </c>
      <c r="P55" s="15">
        <f t="shared" si="1"/>
        <v>158</v>
      </c>
      <c r="R55" s="8"/>
      <c r="T55"/>
    </row>
    <row r="56" spans="2:20" ht="23.1" customHeight="1" x14ac:dyDescent="0.25">
      <c r="B56" s="45" t="s">
        <v>83</v>
      </c>
      <c r="C56" s="50">
        <v>75</v>
      </c>
      <c r="D56" s="50">
        <v>8</v>
      </c>
      <c r="E56" s="50">
        <v>7</v>
      </c>
      <c r="F56" s="50">
        <v>36</v>
      </c>
      <c r="G56" s="50">
        <v>0</v>
      </c>
      <c r="H56" s="50">
        <v>2</v>
      </c>
      <c r="I56" s="50">
        <v>25</v>
      </c>
      <c r="J56" s="50">
        <v>2</v>
      </c>
      <c r="K56" s="50">
        <v>1</v>
      </c>
      <c r="L56" s="50">
        <v>1</v>
      </c>
      <c r="M56" s="50">
        <v>19</v>
      </c>
      <c r="N56" s="50">
        <v>0</v>
      </c>
      <c r="O56" s="15">
        <f t="shared" si="0"/>
        <v>157</v>
      </c>
      <c r="P56" s="15">
        <f t="shared" si="1"/>
        <v>176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5</v>
      </c>
      <c r="E57" s="50">
        <v>6</v>
      </c>
      <c r="F57" s="50">
        <v>24</v>
      </c>
      <c r="G57" s="50">
        <v>0</v>
      </c>
      <c r="H57" s="50">
        <v>0</v>
      </c>
      <c r="I57" s="50">
        <v>10</v>
      </c>
      <c r="J57" s="50">
        <v>5</v>
      </c>
      <c r="K57" s="50">
        <v>0</v>
      </c>
      <c r="L57" s="50">
        <v>2</v>
      </c>
      <c r="M57" s="50">
        <v>25</v>
      </c>
      <c r="N57" s="50">
        <v>0</v>
      </c>
      <c r="O57" s="15">
        <f t="shared" si="0"/>
        <v>112</v>
      </c>
      <c r="P57" s="15">
        <f t="shared" si="1"/>
        <v>137</v>
      </c>
      <c r="R57" s="8"/>
      <c r="T57"/>
    </row>
    <row r="58" spans="2:20" ht="23.1" customHeight="1" x14ac:dyDescent="0.25">
      <c r="B58" s="45" t="s">
        <v>99</v>
      </c>
      <c r="C58" s="50">
        <v>28</v>
      </c>
      <c r="D58" s="50">
        <v>7</v>
      </c>
      <c r="E58" s="50">
        <v>9</v>
      </c>
      <c r="F58" s="50">
        <v>28</v>
      </c>
      <c r="G58" s="50">
        <v>0</v>
      </c>
      <c r="H58" s="50">
        <v>2</v>
      </c>
      <c r="I58" s="50">
        <v>14</v>
      </c>
      <c r="J58" s="50">
        <v>1</v>
      </c>
      <c r="K58" s="50">
        <v>0</v>
      </c>
      <c r="L58" s="50">
        <v>1</v>
      </c>
      <c r="M58" s="50">
        <v>17</v>
      </c>
      <c r="N58" s="50">
        <v>0</v>
      </c>
      <c r="O58" s="15">
        <f t="shared" si="0"/>
        <v>90</v>
      </c>
      <c r="P58" s="15">
        <f t="shared" si="1"/>
        <v>107</v>
      </c>
      <c r="R58" s="8"/>
      <c r="T58"/>
    </row>
    <row r="59" spans="2:20" ht="23.1" customHeight="1" x14ac:dyDescent="0.25">
      <c r="B59" s="45" t="s">
        <v>100</v>
      </c>
      <c r="C59" s="50">
        <v>80</v>
      </c>
      <c r="D59" s="50">
        <v>7</v>
      </c>
      <c r="E59" s="50">
        <v>3</v>
      </c>
      <c r="F59" s="50">
        <v>75</v>
      </c>
      <c r="G59" s="50">
        <v>7</v>
      </c>
      <c r="H59" s="50">
        <v>2</v>
      </c>
      <c r="I59" s="50">
        <v>30</v>
      </c>
      <c r="J59" s="50">
        <v>3</v>
      </c>
      <c r="K59" s="50">
        <v>0</v>
      </c>
      <c r="L59" s="50">
        <v>6</v>
      </c>
      <c r="M59" s="50">
        <v>34</v>
      </c>
      <c r="N59" s="50">
        <v>0</v>
      </c>
      <c r="O59" s="15">
        <f t="shared" si="0"/>
        <v>213</v>
      </c>
      <c r="P59" s="15">
        <f t="shared" si="1"/>
        <v>247</v>
      </c>
      <c r="R59" s="8"/>
      <c r="T59"/>
    </row>
    <row r="60" spans="2:20" ht="23.1" customHeight="1" x14ac:dyDescent="0.25">
      <c r="B60" s="45" t="s">
        <v>101</v>
      </c>
      <c r="C60" s="50">
        <v>60</v>
      </c>
      <c r="D60" s="50">
        <v>12</v>
      </c>
      <c r="E60" s="50">
        <v>22</v>
      </c>
      <c r="F60" s="50">
        <v>75</v>
      </c>
      <c r="G60" s="50">
        <v>8</v>
      </c>
      <c r="H60" s="50">
        <v>8</v>
      </c>
      <c r="I60" s="50">
        <v>22</v>
      </c>
      <c r="J60" s="50">
        <v>5</v>
      </c>
      <c r="K60" s="50">
        <v>4</v>
      </c>
      <c r="L60" s="50">
        <v>3</v>
      </c>
      <c r="M60" s="50">
        <v>35</v>
      </c>
      <c r="N60" s="50">
        <v>0</v>
      </c>
      <c r="O60" s="15">
        <f t="shared" si="0"/>
        <v>219</v>
      </c>
      <c r="P60" s="15">
        <f t="shared" si="1"/>
        <v>254</v>
      </c>
      <c r="R60" s="8"/>
      <c r="T60"/>
    </row>
    <row r="61" spans="2:20" ht="23.1" customHeight="1" x14ac:dyDescent="0.25">
      <c r="B61" s="45" t="s">
        <v>102</v>
      </c>
      <c r="C61" s="50">
        <v>38</v>
      </c>
      <c r="D61" s="50">
        <v>8</v>
      </c>
      <c r="E61" s="50">
        <v>13</v>
      </c>
      <c r="F61" s="50">
        <v>65</v>
      </c>
      <c r="G61" s="50">
        <v>7</v>
      </c>
      <c r="H61" s="50">
        <v>5</v>
      </c>
      <c r="I61" s="50">
        <v>45</v>
      </c>
      <c r="J61" s="50">
        <v>5</v>
      </c>
      <c r="K61" s="50">
        <v>5</v>
      </c>
      <c r="L61" s="50">
        <v>15</v>
      </c>
      <c r="M61" s="50">
        <v>28</v>
      </c>
      <c r="N61" s="50">
        <v>0</v>
      </c>
      <c r="O61" s="15">
        <f t="shared" si="0"/>
        <v>206</v>
      </c>
      <c r="P61" s="15">
        <f t="shared" si="1"/>
        <v>234</v>
      </c>
      <c r="R61" s="8"/>
      <c r="T61"/>
    </row>
    <row r="62" spans="2:20" ht="23.1" customHeight="1" x14ac:dyDescent="0.25">
      <c r="B62" s="45" t="s">
        <v>107</v>
      </c>
      <c r="C62" s="50">
        <v>28</v>
      </c>
      <c r="D62" s="50">
        <v>4</v>
      </c>
      <c r="E62" s="50">
        <v>2</v>
      </c>
      <c r="F62" s="50">
        <v>27</v>
      </c>
      <c r="G62" s="50">
        <v>0</v>
      </c>
      <c r="H62" s="50">
        <v>0</v>
      </c>
      <c r="I62" s="50">
        <v>17</v>
      </c>
      <c r="J62" s="50">
        <v>1</v>
      </c>
      <c r="K62" s="50">
        <v>3</v>
      </c>
      <c r="L62" s="50">
        <v>3</v>
      </c>
      <c r="M62" s="50">
        <v>18</v>
      </c>
      <c r="N62" s="50">
        <v>0</v>
      </c>
      <c r="O62" s="15">
        <f t="shared" si="0"/>
        <v>85</v>
      </c>
      <c r="P62" s="15">
        <f t="shared" si="1"/>
        <v>103</v>
      </c>
      <c r="R62" s="8"/>
      <c r="T62"/>
    </row>
    <row r="63" spans="2:20" ht="23.1" customHeight="1" x14ac:dyDescent="0.25">
      <c r="B63" s="45" t="s">
        <v>108</v>
      </c>
      <c r="C63" s="50">
        <v>37</v>
      </c>
      <c r="D63" s="50">
        <v>13</v>
      </c>
      <c r="E63" s="50">
        <v>3</v>
      </c>
      <c r="F63" s="50">
        <v>31</v>
      </c>
      <c r="G63" s="50">
        <v>3</v>
      </c>
      <c r="H63" s="50">
        <v>1</v>
      </c>
      <c r="I63" s="50">
        <v>27</v>
      </c>
      <c r="J63" s="50">
        <v>1</v>
      </c>
      <c r="K63" s="50">
        <v>1</v>
      </c>
      <c r="L63" s="50">
        <v>1</v>
      </c>
      <c r="M63" s="50">
        <v>20</v>
      </c>
      <c r="N63" s="50">
        <v>0</v>
      </c>
      <c r="O63" s="15">
        <f t="shared" si="0"/>
        <v>118</v>
      </c>
      <c r="P63" s="15">
        <f t="shared" si="1"/>
        <v>138</v>
      </c>
      <c r="R63" s="8"/>
      <c r="T63"/>
    </row>
    <row r="64" spans="2:20" ht="23.1" customHeight="1" x14ac:dyDescent="0.25">
      <c r="B64" s="45" t="s">
        <v>109</v>
      </c>
      <c r="C64" s="50">
        <v>44</v>
      </c>
      <c r="D64" s="50">
        <v>6</v>
      </c>
      <c r="E64" s="50">
        <v>5</v>
      </c>
      <c r="F64" s="50">
        <v>14</v>
      </c>
      <c r="G64" s="50">
        <v>1</v>
      </c>
      <c r="H64" s="50">
        <v>1</v>
      </c>
      <c r="I64" s="50">
        <v>13</v>
      </c>
      <c r="J64" s="50">
        <v>0</v>
      </c>
      <c r="K64" s="50">
        <v>1</v>
      </c>
      <c r="L64" s="50">
        <v>2</v>
      </c>
      <c r="M64" s="50">
        <v>17</v>
      </c>
      <c r="N64" s="50">
        <v>0</v>
      </c>
      <c r="O64" s="15">
        <f t="shared" si="0"/>
        <v>87</v>
      </c>
      <c r="P64" s="15">
        <f t="shared" si="1"/>
        <v>104</v>
      </c>
      <c r="R64" s="8"/>
      <c r="T64"/>
    </row>
    <row r="65" spans="2:20" ht="23.1" customHeight="1" x14ac:dyDescent="0.25">
      <c r="B65" s="45" t="s">
        <v>158</v>
      </c>
      <c r="C65" s="50">
        <v>47</v>
      </c>
      <c r="D65" s="50">
        <v>3</v>
      </c>
      <c r="E65" s="50">
        <v>5</v>
      </c>
      <c r="F65" s="50">
        <v>18</v>
      </c>
      <c r="G65" s="50">
        <v>3</v>
      </c>
      <c r="H65" s="50">
        <v>0</v>
      </c>
      <c r="I65" s="50">
        <v>20</v>
      </c>
      <c r="J65" s="50">
        <v>3</v>
      </c>
      <c r="K65" s="50">
        <v>2</v>
      </c>
      <c r="L65" s="50">
        <v>2</v>
      </c>
      <c r="M65" s="50">
        <v>18</v>
      </c>
      <c r="N65" s="50">
        <v>0</v>
      </c>
      <c r="O65" s="15">
        <f t="shared" si="0"/>
        <v>103</v>
      </c>
      <c r="P65" s="15">
        <f t="shared" si="1"/>
        <v>121</v>
      </c>
      <c r="R65" s="8"/>
      <c r="T65"/>
    </row>
    <row r="66" spans="2:20" ht="23.1" customHeight="1" x14ac:dyDescent="0.25">
      <c r="B66" s="45" t="s">
        <v>103</v>
      </c>
      <c r="C66" s="50">
        <v>57</v>
      </c>
      <c r="D66" s="50">
        <v>7</v>
      </c>
      <c r="E66" s="50">
        <v>5</v>
      </c>
      <c r="F66" s="50">
        <v>23</v>
      </c>
      <c r="G66" s="50">
        <v>1</v>
      </c>
      <c r="H66" s="50">
        <v>2</v>
      </c>
      <c r="I66" s="50">
        <v>22</v>
      </c>
      <c r="J66" s="50">
        <v>2</v>
      </c>
      <c r="K66" s="50">
        <v>0</v>
      </c>
      <c r="L66" s="50">
        <v>6</v>
      </c>
      <c r="M66" s="50">
        <v>16</v>
      </c>
      <c r="N66" s="50">
        <v>0</v>
      </c>
      <c r="O66" s="15">
        <f t="shared" si="0"/>
        <v>125</v>
      </c>
      <c r="P66" s="15">
        <f t="shared" si="1"/>
        <v>141</v>
      </c>
      <c r="R66" s="8"/>
      <c r="T66"/>
    </row>
    <row r="67" spans="2:20" ht="23.1" customHeight="1" x14ac:dyDescent="0.25">
      <c r="B67" s="45" t="s">
        <v>104</v>
      </c>
      <c r="C67" s="50">
        <v>39</v>
      </c>
      <c r="D67" s="50">
        <v>7</v>
      </c>
      <c r="E67" s="50">
        <v>3</v>
      </c>
      <c r="F67" s="50">
        <v>21</v>
      </c>
      <c r="G67" s="50">
        <v>3</v>
      </c>
      <c r="H67" s="50">
        <v>3</v>
      </c>
      <c r="I67" s="50">
        <v>13</v>
      </c>
      <c r="J67" s="50">
        <v>2</v>
      </c>
      <c r="K67" s="50">
        <v>0</v>
      </c>
      <c r="L67" s="50">
        <v>4</v>
      </c>
      <c r="M67" s="50">
        <v>13</v>
      </c>
      <c r="N67" s="50">
        <v>0</v>
      </c>
      <c r="O67" s="15">
        <f t="shared" si="0"/>
        <v>95</v>
      </c>
      <c r="P67" s="15">
        <f t="shared" si="1"/>
        <v>108</v>
      </c>
      <c r="R67" s="8"/>
      <c r="T67"/>
    </row>
    <row r="68" spans="2:20" ht="23.1" customHeight="1" x14ac:dyDescent="0.25">
      <c r="B68" s="45" t="s">
        <v>105</v>
      </c>
      <c r="C68" s="50">
        <v>59</v>
      </c>
      <c r="D68" s="50">
        <v>9</v>
      </c>
      <c r="E68" s="50">
        <v>15</v>
      </c>
      <c r="F68" s="50">
        <v>26</v>
      </c>
      <c r="G68" s="50">
        <v>2</v>
      </c>
      <c r="H68" s="50">
        <v>3</v>
      </c>
      <c r="I68" s="50">
        <v>14</v>
      </c>
      <c r="J68" s="50">
        <v>2</v>
      </c>
      <c r="K68" s="50">
        <v>2</v>
      </c>
      <c r="L68" s="50">
        <v>5</v>
      </c>
      <c r="M68" s="50">
        <v>9</v>
      </c>
      <c r="N68" s="50">
        <v>0</v>
      </c>
      <c r="O68" s="15">
        <f t="shared" si="0"/>
        <v>137</v>
      </c>
      <c r="P68" s="15">
        <f t="shared" si="1"/>
        <v>146</v>
      </c>
      <c r="R68" s="8"/>
      <c r="T68"/>
    </row>
    <row r="69" spans="2:20" ht="23.1" customHeight="1" x14ac:dyDescent="0.25">
      <c r="B69" s="45" t="s">
        <v>106</v>
      </c>
      <c r="C69" s="50">
        <v>42</v>
      </c>
      <c r="D69" s="50">
        <v>10</v>
      </c>
      <c r="E69" s="50">
        <v>5</v>
      </c>
      <c r="F69" s="50">
        <v>25</v>
      </c>
      <c r="G69" s="50">
        <v>3</v>
      </c>
      <c r="H69" s="50">
        <v>3</v>
      </c>
      <c r="I69" s="50">
        <v>27</v>
      </c>
      <c r="J69" s="50">
        <v>3</v>
      </c>
      <c r="K69" s="50">
        <v>0</v>
      </c>
      <c r="L69" s="50">
        <v>1</v>
      </c>
      <c r="M69" s="50">
        <v>11</v>
      </c>
      <c r="N69" s="50">
        <v>0</v>
      </c>
      <c r="O69" s="15">
        <f t="shared" si="0"/>
        <v>119</v>
      </c>
      <c r="P69" s="15">
        <f t="shared" si="1"/>
        <v>130</v>
      </c>
      <c r="R69" s="8"/>
      <c r="T69"/>
    </row>
    <row r="70" spans="2:20" ht="23.1" customHeight="1" x14ac:dyDescent="0.25">
      <c r="B70" s="45" t="s">
        <v>110</v>
      </c>
      <c r="C70" s="50">
        <v>29</v>
      </c>
      <c r="D70" s="50">
        <v>3</v>
      </c>
      <c r="E70" s="50">
        <v>3</v>
      </c>
      <c r="F70" s="50">
        <v>16</v>
      </c>
      <c r="G70" s="50">
        <v>1</v>
      </c>
      <c r="H70" s="50">
        <v>2</v>
      </c>
      <c r="I70" s="50">
        <v>17</v>
      </c>
      <c r="J70" s="50">
        <v>2</v>
      </c>
      <c r="K70" s="50">
        <v>0</v>
      </c>
      <c r="L70" s="50">
        <v>11</v>
      </c>
      <c r="M70" s="50">
        <v>11</v>
      </c>
      <c r="N70" s="50">
        <v>0</v>
      </c>
      <c r="O70" s="15">
        <f t="shared" si="0"/>
        <v>84</v>
      </c>
      <c r="P70" s="15">
        <f t="shared" si="1"/>
        <v>95</v>
      </c>
      <c r="R70" s="8"/>
      <c r="T70"/>
    </row>
    <row r="71" spans="2:20" ht="23.1" customHeight="1" x14ac:dyDescent="0.25">
      <c r="B71" s="45" t="s">
        <v>111</v>
      </c>
      <c r="C71" s="50">
        <v>24</v>
      </c>
      <c r="D71" s="50">
        <v>2</v>
      </c>
      <c r="E71" s="50">
        <v>4</v>
      </c>
      <c r="F71" s="50">
        <v>12</v>
      </c>
      <c r="G71" s="50">
        <v>0</v>
      </c>
      <c r="H71" s="50">
        <v>0</v>
      </c>
      <c r="I71" s="50">
        <v>19</v>
      </c>
      <c r="J71" s="50">
        <v>2</v>
      </c>
      <c r="K71" s="50">
        <v>3</v>
      </c>
      <c r="L71" s="50">
        <v>5</v>
      </c>
      <c r="M71" s="50">
        <v>6</v>
      </c>
      <c r="N71" s="50">
        <v>0</v>
      </c>
      <c r="O71" s="15">
        <f t="shared" si="0"/>
        <v>71</v>
      </c>
      <c r="P71" s="15">
        <f t="shared" si="1"/>
        <v>77</v>
      </c>
      <c r="R71" s="8"/>
      <c r="T71"/>
    </row>
    <row r="72" spans="2:20" ht="23.1" customHeight="1" x14ac:dyDescent="0.25">
      <c r="B72" s="45" t="s">
        <v>112</v>
      </c>
      <c r="C72" s="50">
        <v>24</v>
      </c>
      <c r="D72" s="50">
        <v>9</v>
      </c>
      <c r="E72" s="50">
        <v>5</v>
      </c>
      <c r="F72" s="50">
        <v>13</v>
      </c>
      <c r="G72" s="50">
        <v>2</v>
      </c>
      <c r="H72" s="50">
        <v>1</v>
      </c>
      <c r="I72" s="50">
        <v>18</v>
      </c>
      <c r="J72" s="50">
        <v>1</v>
      </c>
      <c r="K72" s="50">
        <v>3</v>
      </c>
      <c r="L72" s="50">
        <v>8</v>
      </c>
      <c r="M72" s="50">
        <v>11</v>
      </c>
      <c r="N72" s="50">
        <v>0</v>
      </c>
      <c r="O72" s="15">
        <f t="shared" si="0"/>
        <v>84</v>
      </c>
      <c r="P72" s="15">
        <f t="shared" si="1"/>
        <v>95</v>
      </c>
      <c r="R72" s="8"/>
      <c r="T72"/>
    </row>
    <row r="73" spans="2:20" ht="23.1" customHeight="1" x14ac:dyDescent="0.25">
      <c r="B73" s="45" t="s">
        <v>113</v>
      </c>
      <c r="C73" s="50">
        <v>13</v>
      </c>
      <c r="D73" s="50">
        <v>7</v>
      </c>
      <c r="E73" s="50">
        <v>3</v>
      </c>
      <c r="F73" s="50">
        <v>8</v>
      </c>
      <c r="G73" s="50">
        <v>0</v>
      </c>
      <c r="H73" s="50">
        <v>1</v>
      </c>
      <c r="I73" s="50">
        <v>16</v>
      </c>
      <c r="J73" s="50">
        <v>2</v>
      </c>
      <c r="K73" s="50">
        <v>1</v>
      </c>
      <c r="L73" s="50">
        <v>3</v>
      </c>
      <c r="M73" s="50">
        <v>8</v>
      </c>
      <c r="N73" s="50">
        <v>0</v>
      </c>
      <c r="O73" s="15">
        <f t="shared" si="0"/>
        <v>54</v>
      </c>
      <c r="P73" s="15">
        <f t="shared" si="1"/>
        <v>62</v>
      </c>
      <c r="R73" s="8"/>
      <c r="T73"/>
    </row>
    <row r="74" spans="2:20" ht="23.1" customHeight="1" x14ac:dyDescent="0.25">
      <c r="B74" s="45" t="s">
        <v>114</v>
      </c>
      <c r="C74" s="50">
        <v>22</v>
      </c>
      <c r="D74" s="50">
        <v>4</v>
      </c>
      <c r="E74" s="50">
        <v>2</v>
      </c>
      <c r="F74" s="50">
        <v>12</v>
      </c>
      <c r="G74" s="50">
        <v>0</v>
      </c>
      <c r="H74" s="50">
        <v>0</v>
      </c>
      <c r="I74" s="50">
        <v>13</v>
      </c>
      <c r="J74" s="50">
        <v>9</v>
      </c>
      <c r="K74" s="50">
        <v>2</v>
      </c>
      <c r="L74" s="50">
        <v>3</v>
      </c>
      <c r="M74" s="50">
        <v>8</v>
      </c>
      <c r="N74" s="50">
        <v>0</v>
      </c>
      <c r="O74" s="15">
        <f t="shared" ref="O74:O105" si="35">SUM(C74:L74,N74)</f>
        <v>67</v>
      </c>
      <c r="P74" s="15">
        <f t="shared" ref="P74:P105" si="36">SUM(C74:N74)</f>
        <v>75</v>
      </c>
      <c r="R74" s="8"/>
      <c r="T74"/>
    </row>
    <row r="75" spans="2:20" ht="23.1" customHeight="1" x14ac:dyDescent="0.25">
      <c r="B75" s="45" t="s">
        <v>115</v>
      </c>
      <c r="C75" s="50">
        <v>21</v>
      </c>
      <c r="D75" s="50">
        <v>3</v>
      </c>
      <c r="E75" s="50">
        <v>4</v>
      </c>
      <c r="F75" s="50">
        <v>11</v>
      </c>
      <c r="G75" s="50">
        <v>1</v>
      </c>
      <c r="H75" s="50">
        <v>0</v>
      </c>
      <c r="I75" s="50">
        <v>11</v>
      </c>
      <c r="J75" s="50">
        <v>3</v>
      </c>
      <c r="K75" s="50">
        <v>0</v>
      </c>
      <c r="L75" s="50">
        <v>2</v>
      </c>
      <c r="M75" s="50">
        <v>4</v>
      </c>
      <c r="N75" s="50">
        <v>0</v>
      </c>
      <c r="O75" s="15">
        <f t="shared" si="35"/>
        <v>56</v>
      </c>
      <c r="P75" s="15">
        <f t="shared" si="36"/>
        <v>60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3</v>
      </c>
      <c r="E76" s="50">
        <v>1</v>
      </c>
      <c r="F76" s="50">
        <v>8</v>
      </c>
      <c r="G76" s="50">
        <v>0</v>
      </c>
      <c r="H76" s="50">
        <v>1</v>
      </c>
      <c r="I76" s="50">
        <v>20</v>
      </c>
      <c r="J76" s="50">
        <v>6</v>
      </c>
      <c r="K76" s="50">
        <v>0</v>
      </c>
      <c r="L76" s="50">
        <v>1</v>
      </c>
      <c r="M76" s="50">
        <v>5</v>
      </c>
      <c r="N76" s="50">
        <v>0</v>
      </c>
      <c r="O76" s="15">
        <f t="shared" si="35"/>
        <v>52</v>
      </c>
      <c r="P76" s="15">
        <f t="shared" si="36"/>
        <v>57</v>
      </c>
      <c r="R76" s="8"/>
      <c r="T76"/>
    </row>
    <row r="77" spans="2:20" ht="23.1" customHeight="1" x14ac:dyDescent="0.25">
      <c r="B77" s="45" t="s">
        <v>117</v>
      </c>
      <c r="C77" s="50">
        <v>20</v>
      </c>
      <c r="D77" s="50">
        <v>2</v>
      </c>
      <c r="E77" s="50">
        <v>3</v>
      </c>
      <c r="F77" s="50">
        <v>6</v>
      </c>
      <c r="G77" s="50">
        <v>1</v>
      </c>
      <c r="H77" s="50">
        <v>2</v>
      </c>
      <c r="I77" s="50">
        <v>14</v>
      </c>
      <c r="J77" s="50">
        <v>4</v>
      </c>
      <c r="K77" s="50">
        <v>2</v>
      </c>
      <c r="L77" s="50">
        <v>1</v>
      </c>
      <c r="M77" s="50">
        <v>1</v>
      </c>
      <c r="N77" s="50">
        <v>0</v>
      </c>
      <c r="O77" s="15">
        <f t="shared" si="35"/>
        <v>55</v>
      </c>
      <c r="P77" s="15">
        <f t="shared" si="36"/>
        <v>56</v>
      </c>
      <c r="R77" s="8"/>
      <c r="T77"/>
    </row>
    <row r="78" spans="2:20" ht="23.1" customHeight="1" x14ac:dyDescent="0.25">
      <c r="B78" s="46" t="s">
        <v>118</v>
      </c>
      <c r="C78" s="50">
        <v>16</v>
      </c>
      <c r="D78" s="50">
        <v>5</v>
      </c>
      <c r="E78" s="50">
        <v>1</v>
      </c>
      <c r="F78" s="50">
        <v>5</v>
      </c>
      <c r="G78" s="50">
        <v>0</v>
      </c>
      <c r="H78" s="50">
        <v>1</v>
      </c>
      <c r="I78" s="50">
        <v>11</v>
      </c>
      <c r="J78" s="50">
        <v>11</v>
      </c>
      <c r="K78" s="50">
        <v>4</v>
      </c>
      <c r="L78" s="50">
        <v>5</v>
      </c>
      <c r="M78" s="50">
        <v>1</v>
      </c>
      <c r="N78" s="50">
        <v>0</v>
      </c>
      <c r="O78" s="15">
        <f t="shared" si="35"/>
        <v>59</v>
      </c>
      <c r="P78" s="15">
        <f t="shared" si="36"/>
        <v>60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2</v>
      </c>
      <c r="E79" s="50">
        <v>1</v>
      </c>
      <c r="F79" s="50">
        <v>5</v>
      </c>
      <c r="G79" s="50">
        <v>0</v>
      </c>
      <c r="H79" s="50">
        <v>1</v>
      </c>
      <c r="I79" s="50">
        <v>9</v>
      </c>
      <c r="J79" s="50">
        <v>3</v>
      </c>
      <c r="K79" s="50">
        <v>1</v>
      </c>
      <c r="L79" s="50">
        <v>3</v>
      </c>
      <c r="M79" s="50">
        <v>3</v>
      </c>
      <c r="N79" s="50">
        <v>0</v>
      </c>
      <c r="O79" s="15">
        <f t="shared" si="35"/>
        <v>33</v>
      </c>
      <c r="P79" s="15">
        <f t="shared" si="36"/>
        <v>36</v>
      </c>
      <c r="R79" s="8"/>
      <c r="T79"/>
    </row>
    <row r="80" spans="2:20" ht="23.1" customHeight="1" x14ac:dyDescent="0.25">
      <c r="B80" s="47" t="s">
        <v>120</v>
      </c>
      <c r="C80" s="50">
        <v>11</v>
      </c>
      <c r="D80" s="50">
        <v>2</v>
      </c>
      <c r="E80" s="50">
        <v>2</v>
      </c>
      <c r="F80" s="50">
        <v>6</v>
      </c>
      <c r="G80" s="50">
        <v>1</v>
      </c>
      <c r="H80" s="50">
        <v>0</v>
      </c>
      <c r="I80" s="50">
        <v>5</v>
      </c>
      <c r="J80" s="50">
        <v>3</v>
      </c>
      <c r="K80" s="50">
        <v>0</v>
      </c>
      <c r="L80" s="50">
        <v>4</v>
      </c>
      <c r="M80" s="50">
        <v>0</v>
      </c>
      <c r="N80" s="50">
        <v>0</v>
      </c>
      <c r="O80" s="15">
        <f t="shared" si="35"/>
        <v>34</v>
      </c>
      <c r="P80" s="15">
        <f t="shared" si="36"/>
        <v>34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3</v>
      </c>
      <c r="E81" s="50">
        <v>0</v>
      </c>
      <c r="F81" s="50">
        <v>1</v>
      </c>
      <c r="G81" s="50">
        <v>0</v>
      </c>
      <c r="H81" s="50">
        <v>1</v>
      </c>
      <c r="I81" s="50">
        <v>10</v>
      </c>
      <c r="J81" s="50">
        <v>4</v>
      </c>
      <c r="K81" s="50">
        <v>0</v>
      </c>
      <c r="L81" s="50">
        <v>2</v>
      </c>
      <c r="M81" s="50">
        <v>0</v>
      </c>
      <c r="N81" s="50">
        <v>0</v>
      </c>
      <c r="O81" s="15">
        <f t="shared" si="35"/>
        <v>27</v>
      </c>
      <c r="P81" s="15">
        <f t="shared" si="36"/>
        <v>27</v>
      </c>
      <c r="R81" s="8"/>
      <c r="T81"/>
    </row>
    <row r="82" spans="2:20" ht="23.1" customHeight="1" x14ac:dyDescent="0.25">
      <c r="B82" s="46" t="s">
        <v>122</v>
      </c>
      <c r="C82" s="50">
        <v>10</v>
      </c>
      <c r="D82" s="50">
        <v>2</v>
      </c>
      <c r="E82" s="50">
        <v>0</v>
      </c>
      <c r="F82" s="50">
        <v>4</v>
      </c>
      <c r="G82" s="50">
        <v>0</v>
      </c>
      <c r="H82" s="50">
        <v>0</v>
      </c>
      <c r="I82" s="50">
        <v>12</v>
      </c>
      <c r="J82" s="50">
        <v>10</v>
      </c>
      <c r="K82" s="50">
        <v>4</v>
      </c>
      <c r="L82" s="50">
        <v>7</v>
      </c>
      <c r="M82" s="50">
        <v>2</v>
      </c>
      <c r="N82" s="50">
        <v>0</v>
      </c>
      <c r="O82" s="15">
        <f t="shared" si="35"/>
        <v>49</v>
      </c>
      <c r="P82" s="15">
        <f t="shared" si="36"/>
        <v>51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0</v>
      </c>
      <c r="F83" s="50">
        <v>2</v>
      </c>
      <c r="G83" s="50">
        <v>0</v>
      </c>
      <c r="H83" s="50">
        <v>1</v>
      </c>
      <c r="I83" s="50">
        <v>11</v>
      </c>
      <c r="J83" s="50">
        <v>9</v>
      </c>
      <c r="K83" s="50">
        <v>1</v>
      </c>
      <c r="L83" s="50">
        <v>9</v>
      </c>
      <c r="M83" s="50">
        <v>1</v>
      </c>
      <c r="N83" s="50">
        <v>0</v>
      </c>
      <c r="O83" s="15">
        <f t="shared" si="35"/>
        <v>36</v>
      </c>
      <c r="P83" s="15">
        <f t="shared" si="36"/>
        <v>37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1</v>
      </c>
      <c r="E84" s="50">
        <v>0</v>
      </c>
      <c r="F84" s="50">
        <v>2</v>
      </c>
      <c r="G84" s="50">
        <v>0</v>
      </c>
      <c r="H84" s="50">
        <v>0</v>
      </c>
      <c r="I84" s="50">
        <v>5</v>
      </c>
      <c r="J84" s="50">
        <v>5</v>
      </c>
      <c r="K84" s="50">
        <v>0</v>
      </c>
      <c r="L84" s="50">
        <v>3</v>
      </c>
      <c r="M84" s="50">
        <v>0</v>
      </c>
      <c r="N84" s="50">
        <v>0</v>
      </c>
      <c r="O84" s="15">
        <f t="shared" si="35"/>
        <v>19</v>
      </c>
      <c r="P84" s="15">
        <f t="shared" si="36"/>
        <v>19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2</v>
      </c>
      <c r="E85" s="50">
        <v>0</v>
      </c>
      <c r="F85" s="50">
        <v>1</v>
      </c>
      <c r="G85" s="50">
        <v>0</v>
      </c>
      <c r="H85" s="50">
        <v>0</v>
      </c>
      <c r="I85" s="50">
        <v>7</v>
      </c>
      <c r="J85" s="50">
        <v>2</v>
      </c>
      <c r="K85" s="50">
        <v>0</v>
      </c>
      <c r="L85" s="50">
        <v>5</v>
      </c>
      <c r="M85" s="50">
        <v>1</v>
      </c>
      <c r="N85" s="50">
        <v>0</v>
      </c>
      <c r="O85" s="15">
        <f t="shared" si="35"/>
        <v>18</v>
      </c>
      <c r="P85" s="15">
        <f t="shared" si="36"/>
        <v>19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1</v>
      </c>
      <c r="E86" s="50">
        <v>1</v>
      </c>
      <c r="F86" s="50">
        <v>0</v>
      </c>
      <c r="G86" s="50">
        <v>0</v>
      </c>
      <c r="H86" s="50">
        <v>5</v>
      </c>
      <c r="I86" s="50">
        <v>5</v>
      </c>
      <c r="J86" s="50">
        <v>3</v>
      </c>
      <c r="K86" s="50">
        <v>0</v>
      </c>
      <c r="L86" s="50">
        <v>3</v>
      </c>
      <c r="M86" s="50">
        <v>0</v>
      </c>
      <c r="N86" s="50">
        <v>0</v>
      </c>
      <c r="O86" s="15">
        <f t="shared" si="35"/>
        <v>21</v>
      </c>
      <c r="P86" s="15">
        <f t="shared" si="36"/>
        <v>21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0</v>
      </c>
      <c r="E87" s="50">
        <v>3</v>
      </c>
      <c r="F87" s="50">
        <v>0</v>
      </c>
      <c r="G87" s="50">
        <v>0</v>
      </c>
      <c r="H87" s="50">
        <v>1</v>
      </c>
      <c r="I87" s="50">
        <v>4</v>
      </c>
      <c r="J87" s="50">
        <v>3</v>
      </c>
      <c r="K87" s="50">
        <v>0</v>
      </c>
      <c r="L87" s="50">
        <v>2</v>
      </c>
      <c r="M87" s="50">
        <v>1</v>
      </c>
      <c r="N87" s="50">
        <v>0</v>
      </c>
      <c r="O87" s="15">
        <f t="shared" si="35"/>
        <v>19</v>
      </c>
      <c r="P87" s="15">
        <f t="shared" si="36"/>
        <v>20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2</v>
      </c>
      <c r="G88" s="50">
        <v>0</v>
      </c>
      <c r="H88" s="50">
        <v>1</v>
      </c>
      <c r="I88" s="50">
        <v>7</v>
      </c>
      <c r="J88" s="50">
        <v>5</v>
      </c>
      <c r="K88" s="50">
        <v>1</v>
      </c>
      <c r="L88" s="50">
        <v>5</v>
      </c>
      <c r="M88" s="50">
        <v>0</v>
      </c>
      <c r="N88" s="50">
        <v>0</v>
      </c>
      <c r="O88" s="15">
        <f t="shared" si="35"/>
        <v>24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6</v>
      </c>
      <c r="J89" s="50">
        <v>5</v>
      </c>
      <c r="K89" s="50">
        <v>0</v>
      </c>
      <c r="L89" s="50">
        <v>3</v>
      </c>
      <c r="M89" s="50">
        <v>0</v>
      </c>
      <c r="N89" s="50">
        <v>0</v>
      </c>
      <c r="O89" s="15">
        <f t="shared" si="35"/>
        <v>14</v>
      </c>
      <c r="P89" s="15">
        <f t="shared" si="36"/>
        <v>14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0</v>
      </c>
      <c r="F90" s="50">
        <v>0</v>
      </c>
      <c r="G90" s="50">
        <v>2</v>
      </c>
      <c r="H90" s="50">
        <v>4</v>
      </c>
      <c r="I90" s="50">
        <v>10</v>
      </c>
      <c r="J90" s="50">
        <v>8</v>
      </c>
      <c r="K90" s="50">
        <v>0</v>
      </c>
      <c r="L90" s="50">
        <v>5</v>
      </c>
      <c r="M90" s="50">
        <v>0</v>
      </c>
      <c r="N90" s="50">
        <v>0</v>
      </c>
      <c r="O90" s="15">
        <f t="shared" si="35"/>
        <v>32</v>
      </c>
      <c r="P90" s="15">
        <f t="shared" si="36"/>
        <v>32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3</v>
      </c>
      <c r="I91" s="50">
        <v>3</v>
      </c>
      <c r="J91" s="50">
        <v>5</v>
      </c>
      <c r="K91" s="50">
        <v>0</v>
      </c>
      <c r="L91" s="50">
        <v>8</v>
      </c>
      <c r="M91" s="50">
        <v>0</v>
      </c>
      <c r="N91" s="50">
        <v>0</v>
      </c>
      <c r="O91" s="15">
        <f t="shared" si="35"/>
        <v>21</v>
      </c>
      <c r="P91" s="15">
        <f t="shared" si="36"/>
        <v>21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1</v>
      </c>
      <c r="F92" s="50">
        <v>0</v>
      </c>
      <c r="G92" s="50">
        <v>1</v>
      </c>
      <c r="H92" s="50">
        <v>1</v>
      </c>
      <c r="I92" s="50">
        <v>6</v>
      </c>
      <c r="J92" s="50">
        <v>7</v>
      </c>
      <c r="K92" s="50">
        <v>5</v>
      </c>
      <c r="L92" s="50">
        <v>3</v>
      </c>
      <c r="M92" s="50">
        <v>1</v>
      </c>
      <c r="N92" s="50">
        <v>0</v>
      </c>
      <c r="O92" s="15">
        <f t="shared" si="35"/>
        <v>25</v>
      </c>
      <c r="P92" s="15">
        <f t="shared" si="36"/>
        <v>26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1</v>
      </c>
      <c r="F93" s="50">
        <v>0</v>
      </c>
      <c r="G93" s="50">
        <v>0</v>
      </c>
      <c r="H93" s="50">
        <v>3</v>
      </c>
      <c r="I93" s="50">
        <v>6</v>
      </c>
      <c r="J93" s="50">
        <v>10</v>
      </c>
      <c r="K93" s="50">
        <v>1</v>
      </c>
      <c r="L93" s="50">
        <v>5</v>
      </c>
      <c r="M93" s="50">
        <v>0</v>
      </c>
      <c r="N93" s="50">
        <v>0</v>
      </c>
      <c r="O93" s="15">
        <f t="shared" si="35"/>
        <v>27</v>
      </c>
      <c r="P93" s="15">
        <f t="shared" si="36"/>
        <v>27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1</v>
      </c>
      <c r="G94" s="50">
        <v>1</v>
      </c>
      <c r="H94" s="50">
        <v>4</v>
      </c>
      <c r="I94" s="50">
        <v>8</v>
      </c>
      <c r="J94" s="50">
        <v>6</v>
      </c>
      <c r="K94" s="50">
        <v>0</v>
      </c>
      <c r="L94" s="50">
        <v>2</v>
      </c>
      <c r="M94" s="50">
        <v>0</v>
      </c>
      <c r="N94" s="50">
        <v>0</v>
      </c>
      <c r="O94" s="15">
        <f t="shared" si="35"/>
        <v>25</v>
      </c>
      <c r="P94" s="15">
        <f t="shared" si="36"/>
        <v>25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1</v>
      </c>
      <c r="G95" s="50">
        <v>0</v>
      </c>
      <c r="H95" s="50">
        <v>1</v>
      </c>
      <c r="I95" s="50">
        <v>6</v>
      </c>
      <c r="J95" s="50">
        <v>8</v>
      </c>
      <c r="K95" s="50">
        <v>0</v>
      </c>
      <c r="L95" s="50">
        <v>3</v>
      </c>
      <c r="M95" s="50">
        <v>0</v>
      </c>
      <c r="N95" s="50">
        <v>0</v>
      </c>
      <c r="O95" s="15">
        <f t="shared" si="35"/>
        <v>20</v>
      </c>
      <c r="P95" s="15">
        <f t="shared" si="36"/>
        <v>20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6</v>
      </c>
      <c r="J96" s="50">
        <v>2</v>
      </c>
      <c r="K96" s="50">
        <v>0</v>
      </c>
      <c r="L96" s="50">
        <v>4</v>
      </c>
      <c r="M96" s="50">
        <v>0</v>
      </c>
      <c r="N96" s="50">
        <v>0</v>
      </c>
      <c r="O96" s="15">
        <f t="shared" si="35"/>
        <v>14</v>
      </c>
      <c r="P96" s="15">
        <f t="shared" si="36"/>
        <v>14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6</v>
      </c>
      <c r="G97" s="50">
        <v>0</v>
      </c>
      <c r="H97" s="50">
        <v>1</v>
      </c>
      <c r="I97" s="50">
        <v>3</v>
      </c>
      <c r="J97" s="50">
        <v>6</v>
      </c>
      <c r="K97" s="50">
        <v>0</v>
      </c>
      <c r="L97" s="50">
        <v>3</v>
      </c>
      <c r="M97" s="50">
        <v>2</v>
      </c>
      <c r="N97" s="50">
        <v>0</v>
      </c>
      <c r="O97" s="15">
        <f t="shared" si="35"/>
        <v>21</v>
      </c>
      <c r="P97" s="15">
        <f t="shared" si="36"/>
        <v>23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0</v>
      </c>
      <c r="E98" s="50">
        <v>1</v>
      </c>
      <c r="F98" s="50">
        <v>3</v>
      </c>
      <c r="G98" s="50">
        <v>0</v>
      </c>
      <c r="H98" s="50">
        <v>0</v>
      </c>
      <c r="I98" s="50">
        <v>4</v>
      </c>
      <c r="J98" s="50">
        <v>4</v>
      </c>
      <c r="K98" s="50">
        <v>0</v>
      </c>
      <c r="L98" s="50">
        <v>3</v>
      </c>
      <c r="M98" s="50">
        <v>1</v>
      </c>
      <c r="N98" s="50">
        <v>0</v>
      </c>
      <c r="O98" s="15">
        <f t="shared" si="35"/>
        <v>22</v>
      </c>
      <c r="P98" s="15">
        <f t="shared" si="36"/>
        <v>23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1</v>
      </c>
      <c r="E99" s="50">
        <v>2</v>
      </c>
      <c r="F99" s="50">
        <v>9</v>
      </c>
      <c r="G99" s="50">
        <v>0</v>
      </c>
      <c r="H99" s="50">
        <v>1</v>
      </c>
      <c r="I99" s="50">
        <v>5</v>
      </c>
      <c r="J99" s="50">
        <v>3</v>
      </c>
      <c r="K99" s="50">
        <v>0</v>
      </c>
      <c r="L99" s="50">
        <v>5</v>
      </c>
      <c r="M99" s="50">
        <v>0</v>
      </c>
      <c r="N99" s="50">
        <v>0</v>
      </c>
      <c r="O99" s="15">
        <f t="shared" si="35"/>
        <v>29</v>
      </c>
      <c r="P99" s="15">
        <f t="shared" si="36"/>
        <v>29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0</v>
      </c>
      <c r="E100" s="50">
        <v>0</v>
      </c>
      <c r="F100" s="50">
        <v>5</v>
      </c>
      <c r="G100" s="50">
        <v>0</v>
      </c>
      <c r="H100" s="50">
        <v>4</v>
      </c>
      <c r="I100" s="50">
        <v>11</v>
      </c>
      <c r="J100" s="50">
        <v>6</v>
      </c>
      <c r="K100" s="50">
        <v>0</v>
      </c>
      <c r="L100" s="50">
        <v>4</v>
      </c>
      <c r="M100" s="50">
        <v>2</v>
      </c>
      <c r="N100" s="50">
        <v>0</v>
      </c>
      <c r="O100" s="15">
        <f t="shared" si="35"/>
        <v>35</v>
      </c>
      <c r="P100" s="15">
        <f t="shared" si="36"/>
        <v>37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0</v>
      </c>
      <c r="E101" s="50">
        <v>0</v>
      </c>
      <c r="F101" s="50">
        <v>4</v>
      </c>
      <c r="G101" s="50">
        <v>1</v>
      </c>
      <c r="H101" s="50">
        <v>4</v>
      </c>
      <c r="I101" s="50">
        <v>5</v>
      </c>
      <c r="J101" s="50">
        <v>8</v>
      </c>
      <c r="K101" s="50">
        <v>1</v>
      </c>
      <c r="L101" s="50">
        <v>1</v>
      </c>
      <c r="M101" s="50">
        <v>2</v>
      </c>
      <c r="N101" s="50">
        <v>0</v>
      </c>
      <c r="O101" s="15">
        <f t="shared" si="35"/>
        <v>28</v>
      </c>
      <c r="P101" s="15">
        <f t="shared" si="36"/>
        <v>30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1</v>
      </c>
      <c r="E102" s="50">
        <v>0</v>
      </c>
      <c r="F102" s="50">
        <v>11</v>
      </c>
      <c r="G102" s="50">
        <v>0</v>
      </c>
      <c r="H102" s="50">
        <v>0</v>
      </c>
      <c r="I102" s="50">
        <v>6</v>
      </c>
      <c r="J102" s="50">
        <v>3</v>
      </c>
      <c r="K102" s="50">
        <v>0</v>
      </c>
      <c r="L102" s="50">
        <v>5</v>
      </c>
      <c r="M102" s="50">
        <v>3</v>
      </c>
      <c r="N102" s="50">
        <v>0</v>
      </c>
      <c r="O102" s="15">
        <f t="shared" si="35"/>
        <v>33</v>
      </c>
      <c r="P102" s="15">
        <f t="shared" si="36"/>
        <v>36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0</v>
      </c>
      <c r="E103" s="50">
        <v>2</v>
      </c>
      <c r="F103" s="50">
        <v>15</v>
      </c>
      <c r="G103" s="50">
        <v>0</v>
      </c>
      <c r="H103" s="50">
        <v>3</v>
      </c>
      <c r="I103" s="50">
        <v>12</v>
      </c>
      <c r="J103" s="50">
        <v>5</v>
      </c>
      <c r="K103" s="50">
        <v>1</v>
      </c>
      <c r="L103" s="50">
        <v>1</v>
      </c>
      <c r="M103" s="50">
        <v>5</v>
      </c>
      <c r="N103" s="50">
        <v>0</v>
      </c>
      <c r="O103" s="15">
        <f t="shared" si="35"/>
        <v>44</v>
      </c>
      <c r="P103" s="15">
        <f t="shared" si="36"/>
        <v>49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2</v>
      </c>
      <c r="E104" s="50">
        <v>1</v>
      </c>
      <c r="F104" s="50">
        <v>11</v>
      </c>
      <c r="G104" s="50">
        <v>0</v>
      </c>
      <c r="H104" s="50">
        <v>0</v>
      </c>
      <c r="I104" s="50">
        <v>3</v>
      </c>
      <c r="J104" s="50">
        <v>8</v>
      </c>
      <c r="K104" s="50">
        <v>0</v>
      </c>
      <c r="L104" s="50">
        <v>2</v>
      </c>
      <c r="M104" s="50">
        <v>10</v>
      </c>
      <c r="N104" s="50">
        <v>0</v>
      </c>
      <c r="O104" s="15">
        <f t="shared" si="35"/>
        <v>32</v>
      </c>
      <c r="P104" s="15">
        <f t="shared" si="36"/>
        <v>42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0</v>
      </c>
      <c r="E105" s="50">
        <v>1</v>
      </c>
      <c r="F105" s="50">
        <v>17</v>
      </c>
      <c r="G105" s="50">
        <v>0</v>
      </c>
      <c r="H105" s="50">
        <v>2</v>
      </c>
      <c r="I105" s="50">
        <v>9</v>
      </c>
      <c r="J105" s="50">
        <v>3</v>
      </c>
      <c r="K105" s="50">
        <v>0</v>
      </c>
      <c r="L105" s="50">
        <v>1</v>
      </c>
      <c r="M105" s="50">
        <v>13</v>
      </c>
      <c r="N105" s="50">
        <v>0</v>
      </c>
      <c r="O105" s="15">
        <f t="shared" si="35"/>
        <v>43</v>
      </c>
      <c r="P105" s="15">
        <f t="shared" si="36"/>
        <v>56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2461</v>
      </c>
      <c r="D106" s="16">
        <f t="shared" ref="D106:P106" si="37">SUM(D10:D105)</f>
        <v>370</v>
      </c>
      <c r="E106" s="16">
        <f t="shared" si="37"/>
        <v>367</v>
      </c>
      <c r="F106" s="16">
        <f t="shared" si="37"/>
        <v>1834</v>
      </c>
      <c r="G106" s="16">
        <f t="shared" si="37"/>
        <v>101</v>
      </c>
      <c r="H106" s="16">
        <f t="shared" si="37"/>
        <v>146</v>
      </c>
      <c r="I106" s="16">
        <f t="shared" si="37"/>
        <v>1172</v>
      </c>
      <c r="J106" s="16">
        <f t="shared" si="37"/>
        <v>322</v>
      </c>
      <c r="K106" s="16">
        <f t="shared" si="37"/>
        <v>113</v>
      </c>
      <c r="L106" s="16">
        <f t="shared" si="37"/>
        <v>259</v>
      </c>
      <c r="M106" s="16">
        <f t="shared" si="37"/>
        <v>1510</v>
      </c>
      <c r="N106" s="16">
        <f t="shared" si="37"/>
        <v>1</v>
      </c>
      <c r="O106" s="16">
        <f t="shared" si="37"/>
        <v>7146</v>
      </c>
      <c r="P106" s="16">
        <f t="shared" si="37"/>
        <v>8656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0.28431146025878001</v>
      </c>
      <c r="D107" s="43">
        <f t="shared" si="38"/>
        <v>4.2744916820702403E-2</v>
      </c>
      <c r="E107" s="43">
        <f t="shared" si="38"/>
        <v>4.2398336414048061E-2</v>
      </c>
      <c r="F107" s="43">
        <f t="shared" si="38"/>
        <v>0.21187615526802217</v>
      </c>
      <c r="G107" s="43">
        <f t="shared" si="38"/>
        <v>1.1668207024029575E-2</v>
      </c>
      <c r="H107" s="43">
        <f t="shared" si="38"/>
        <v>1.686691312384473E-2</v>
      </c>
      <c r="I107" s="43">
        <f t="shared" si="38"/>
        <v>0.13539741219963031</v>
      </c>
      <c r="J107" s="43">
        <f t="shared" si="38"/>
        <v>3.7199630314232901E-2</v>
      </c>
      <c r="K107" s="43">
        <f t="shared" si="38"/>
        <v>1.3054528650646951E-2</v>
      </c>
      <c r="L107" s="43">
        <f t="shared" si="38"/>
        <v>2.9921441774491683E-2</v>
      </c>
      <c r="M107" s="43">
        <f t="shared" si="38"/>
        <v>0.17444547134935304</v>
      </c>
      <c r="N107" s="43">
        <f t="shared" si="38"/>
        <v>1.155268022181146E-4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0.34438846907360759</v>
      </c>
      <c r="D108" s="44">
        <f t="shared" ref="D108:N108" si="39">D106/$O$106</f>
        <v>5.1777218024069406E-2</v>
      </c>
      <c r="E108" s="44">
        <f t="shared" si="39"/>
        <v>5.1357402742793171E-2</v>
      </c>
      <c r="F108" s="44">
        <f t="shared" si="39"/>
        <v>0.25664707528687375</v>
      </c>
      <c r="G108" s="44">
        <f t="shared" si="39"/>
        <v>1.4133781136300028E-2</v>
      </c>
      <c r="H108" s="44">
        <f t="shared" si="39"/>
        <v>2.0431010355443605E-2</v>
      </c>
      <c r="I108" s="44">
        <f t="shared" si="39"/>
        <v>0.16400783655191717</v>
      </c>
      <c r="J108" s="44">
        <f t="shared" si="39"/>
        <v>4.5060173523649591E-2</v>
      </c>
      <c r="K108" s="44">
        <f t="shared" si="39"/>
        <v>1.581304226140498E-2</v>
      </c>
      <c r="L108" s="44">
        <f t="shared" si="39"/>
        <v>3.6244052616848585E-2</v>
      </c>
      <c r="M108" s="44"/>
      <c r="N108" s="44">
        <f t="shared" si="39"/>
        <v>1.3993842709207949E-4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3" zoomScale="60" workbookViewId="0">
      <selection activeCell="M106" sqref="M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'02.11 Masaka-Maya-24h'!D5</f>
        <v>02.11.19</v>
      </c>
      <c r="E5" s="3"/>
      <c r="F5" s="41" t="s">
        <v>1</v>
      </c>
      <c r="G5" s="66" t="str">
        <f>'02.11 Masaka-Maya-24h'!G5:H5</f>
        <v>Maya</v>
      </c>
      <c r="H5" s="67"/>
      <c r="I5" s="14"/>
      <c r="J5" s="2" t="s">
        <v>5</v>
      </c>
      <c r="K5" s="66" t="str">
        <f>'02.11 Masaka-Maya-24h'!K5:L5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'28.10 Maya-Masaka'!G6:H6</f>
        <v>Masaka</v>
      </c>
      <c r="H6" s="67"/>
      <c r="J6" s="2" t="s">
        <v>21</v>
      </c>
      <c r="K6" s="66" t="str">
        <f>'02.11 Masaka-Maya-24h'!K6:L6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7</v>
      </c>
      <c r="E10" s="50">
        <v>5</v>
      </c>
      <c r="F10" s="50">
        <v>16</v>
      </c>
      <c r="G10" s="50">
        <v>1</v>
      </c>
      <c r="H10" s="50">
        <v>0</v>
      </c>
      <c r="I10" s="50">
        <v>10</v>
      </c>
      <c r="J10" s="50">
        <v>0</v>
      </c>
      <c r="K10" s="50">
        <v>2</v>
      </c>
      <c r="L10" s="50">
        <v>0</v>
      </c>
      <c r="M10" s="50">
        <v>19</v>
      </c>
      <c r="N10" s="50">
        <v>0</v>
      </c>
      <c r="O10" s="15">
        <f t="shared" ref="O10:O73" si="0">SUM(C10:L10,N10)</f>
        <v>68</v>
      </c>
      <c r="P10" s="15">
        <f t="shared" ref="P10:P73" si="1">SUM(C10:N10)</f>
        <v>87</v>
      </c>
      <c r="R10" s="1" t="s">
        <v>6</v>
      </c>
      <c r="S10" s="17">
        <f t="shared" ref="S10:AF10" si="2">SUM(C10:C13)</f>
        <v>181</v>
      </c>
      <c r="T10" s="17">
        <f t="shared" si="2"/>
        <v>42</v>
      </c>
      <c r="U10" s="17">
        <f t="shared" si="2"/>
        <v>29</v>
      </c>
      <c r="V10" s="17">
        <f t="shared" si="2"/>
        <v>80</v>
      </c>
      <c r="W10" s="17">
        <f t="shared" si="2"/>
        <v>5</v>
      </c>
      <c r="X10" s="17">
        <f t="shared" si="2"/>
        <v>5</v>
      </c>
      <c r="Y10" s="17">
        <f t="shared" si="2"/>
        <v>60</v>
      </c>
      <c r="Z10" s="17">
        <f t="shared" si="2"/>
        <v>5</v>
      </c>
      <c r="AA10" s="17">
        <f t="shared" si="2"/>
        <v>5</v>
      </c>
      <c r="AB10" s="17">
        <f t="shared" si="2"/>
        <v>9</v>
      </c>
      <c r="AC10" s="17">
        <f t="shared" si="2"/>
        <v>84</v>
      </c>
      <c r="AD10" s="17">
        <f t="shared" si="2"/>
        <v>0</v>
      </c>
      <c r="AE10" s="31">
        <f t="shared" si="2"/>
        <v>421</v>
      </c>
      <c r="AF10" s="31">
        <f t="shared" si="2"/>
        <v>505</v>
      </c>
    </row>
    <row r="11" spans="2:32" s="6" customFormat="1" ht="23.1" customHeight="1" x14ac:dyDescent="0.25">
      <c r="B11" s="45" t="s">
        <v>38</v>
      </c>
      <c r="C11" s="50">
        <v>51</v>
      </c>
      <c r="D11" s="50">
        <v>11</v>
      </c>
      <c r="E11" s="50">
        <v>8</v>
      </c>
      <c r="F11" s="50">
        <v>18</v>
      </c>
      <c r="G11" s="50">
        <v>2</v>
      </c>
      <c r="H11" s="50">
        <v>3</v>
      </c>
      <c r="I11" s="50">
        <v>19</v>
      </c>
      <c r="J11" s="50">
        <v>1</v>
      </c>
      <c r="K11" s="50">
        <v>2</v>
      </c>
      <c r="L11" s="50">
        <v>6</v>
      </c>
      <c r="M11" s="50">
        <v>23</v>
      </c>
      <c r="N11" s="50">
        <v>0</v>
      </c>
      <c r="O11" s="15">
        <f t="shared" si="0"/>
        <v>121</v>
      </c>
      <c r="P11" s="15">
        <f t="shared" si="1"/>
        <v>144</v>
      </c>
      <c r="R11" s="1" t="s">
        <v>7</v>
      </c>
      <c r="S11" s="17">
        <f t="shared" ref="S11:AF11" si="3">SUM(C14:C17)</f>
        <v>216</v>
      </c>
      <c r="T11" s="17">
        <f t="shared" si="3"/>
        <v>42</v>
      </c>
      <c r="U11" s="17">
        <f t="shared" si="3"/>
        <v>35</v>
      </c>
      <c r="V11" s="17">
        <f t="shared" si="3"/>
        <v>99</v>
      </c>
      <c r="W11" s="17">
        <f t="shared" si="3"/>
        <v>8</v>
      </c>
      <c r="X11" s="17">
        <f t="shared" si="3"/>
        <v>4</v>
      </c>
      <c r="Y11" s="17">
        <f t="shared" si="3"/>
        <v>42</v>
      </c>
      <c r="Z11" s="17">
        <f t="shared" si="3"/>
        <v>6</v>
      </c>
      <c r="AA11" s="17">
        <f t="shared" si="3"/>
        <v>7</v>
      </c>
      <c r="AB11" s="17">
        <f t="shared" si="3"/>
        <v>5</v>
      </c>
      <c r="AC11" s="17">
        <f t="shared" si="3"/>
        <v>108</v>
      </c>
      <c r="AD11" s="17">
        <f t="shared" si="3"/>
        <v>0</v>
      </c>
      <c r="AE11" s="31">
        <f t="shared" si="3"/>
        <v>464</v>
      </c>
      <c r="AF11" s="31">
        <f t="shared" si="3"/>
        <v>572</v>
      </c>
    </row>
    <row r="12" spans="2:32" ht="23.1" customHeight="1" x14ac:dyDescent="0.25">
      <c r="B12" s="45" t="s">
        <v>39</v>
      </c>
      <c r="C12" s="50">
        <v>58</v>
      </c>
      <c r="D12" s="50">
        <v>17</v>
      </c>
      <c r="E12" s="50">
        <v>11</v>
      </c>
      <c r="F12" s="50">
        <v>27</v>
      </c>
      <c r="G12" s="50">
        <v>1</v>
      </c>
      <c r="H12" s="50">
        <v>1</v>
      </c>
      <c r="I12" s="50">
        <v>18</v>
      </c>
      <c r="J12" s="50">
        <v>1</v>
      </c>
      <c r="K12" s="50">
        <v>0</v>
      </c>
      <c r="L12" s="50">
        <v>0</v>
      </c>
      <c r="M12" s="50">
        <v>22</v>
      </c>
      <c r="N12" s="50">
        <v>0</v>
      </c>
      <c r="O12" s="15">
        <f t="shared" si="0"/>
        <v>134</v>
      </c>
      <c r="P12" s="15">
        <f t="shared" si="1"/>
        <v>156</v>
      </c>
      <c r="R12" s="1" t="s">
        <v>8</v>
      </c>
      <c r="S12" s="17">
        <f t="shared" ref="S12:AF12" si="4">SUM(C18:C21)</f>
        <v>172</v>
      </c>
      <c r="T12" s="17">
        <f t="shared" si="4"/>
        <v>33</v>
      </c>
      <c r="U12" s="17">
        <f t="shared" si="4"/>
        <v>30</v>
      </c>
      <c r="V12" s="17">
        <f t="shared" si="4"/>
        <v>107</v>
      </c>
      <c r="W12" s="17">
        <f t="shared" si="4"/>
        <v>2</v>
      </c>
      <c r="X12" s="17">
        <f t="shared" si="4"/>
        <v>8</v>
      </c>
      <c r="Y12" s="17">
        <f t="shared" si="4"/>
        <v>56</v>
      </c>
      <c r="Z12" s="17">
        <f t="shared" si="4"/>
        <v>3</v>
      </c>
      <c r="AA12" s="17">
        <f t="shared" si="4"/>
        <v>4</v>
      </c>
      <c r="AB12" s="17">
        <f t="shared" si="4"/>
        <v>7</v>
      </c>
      <c r="AC12" s="17">
        <f t="shared" si="4"/>
        <v>116</v>
      </c>
      <c r="AD12" s="17">
        <f t="shared" si="4"/>
        <v>0</v>
      </c>
      <c r="AE12" s="31">
        <f t="shared" si="4"/>
        <v>422</v>
      </c>
      <c r="AF12" s="31">
        <f t="shared" si="4"/>
        <v>538</v>
      </c>
    </row>
    <row r="13" spans="2:32" ht="23.1" customHeight="1" x14ac:dyDescent="0.25">
      <c r="B13" s="45" t="s">
        <v>40</v>
      </c>
      <c r="C13" s="50">
        <v>45</v>
      </c>
      <c r="D13" s="50">
        <v>7</v>
      </c>
      <c r="E13" s="50">
        <v>5</v>
      </c>
      <c r="F13" s="50">
        <v>19</v>
      </c>
      <c r="G13" s="50">
        <v>1</v>
      </c>
      <c r="H13" s="50">
        <v>1</v>
      </c>
      <c r="I13" s="50">
        <v>13</v>
      </c>
      <c r="J13" s="50">
        <v>3</v>
      </c>
      <c r="K13" s="50">
        <v>1</v>
      </c>
      <c r="L13" s="50">
        <v>3</v>
      </c>
      <c r="M13" s="50">
        <v>20</v>
      </c>
      <c r="N13" s="50">
        <v>0</v>
      </c>
      <c r="O13" s="15">
        <f t="shared" si="0"/>
        <v>98</v>
      </c>
      <c r="P13" s="15">
        <f t="shared" si="1"/>
        <v>118</v>
      </c>
      <c r="R13" s="1" t="s">
        <v>9</v>
      </c>
      <c r="S13" s="17">
        <f t="shared" ref="S13:AF13" si="5">SUM(C22:C25)</f>
        <v>239</v>
      </c>
      <c r="T13" s="17">
        <f t="shared" si="5"/>
        <v>34</v>
      </c>
      <c r="U13" s="17">
        <f t="shared" si="5"/>
        <v>37</v>
      </c>
      <c r="V13" s="17">
        <f t="shared" si="5"/>
        <v>144</v>
      </c>
      <c r="W13" s="17">
        <f t="shared" si="5"/>
        <v>14</v>
      </c>
      <c r="X13" s="17">
        <f t="shared" si="5"/>
        <v>7</v>
      </c>
      <c r="Y13" s="17">
        <f t="shared" si="5"/>
        <v>91</v>
      </c>
      <c r="Z13" s="17">
        <f t="shared" si="5"/>
        <v>11</v>
      </c>
      <c r="AA13" s="17">
        <f t="shared" si="5"/>
        <v>15</v>
      </c>
      <c r="AB13" s="17">
        <f t="shared" si="5"/>
        <v>10</v>
      </c>
      <c r="AC13" s="17">
        <f t="shared" si="5"/>
        <v>149</v>
      </c>
      <c r="AD13" s="17">
        <f t="shared" si="5"/>
        <v>0</v>
      </c>
      <c r="AE13" s="31">
        <f t="shared" si="5"/>
        <v>602</v>
      </c>
      <c r="AF13" s="31">
        <f t="shared" si="5"/>
        <v>751</v>
      </c>
    </row>
    <row r="14" spans="2:32" ht="23.1" customHeight="1" x14ac:dyDescent="0.25">
      <c r="B14" s="45" t="s">
        <v>41</v>
      </c>
      <c r="C14" s="50">
        <v>42</v>
      </c>
      <c r="D14" s="50">
        <v>9</v>
      </c>
      <c r="E14" s="50">
        <v>8</v>
      </c>
      <c r="F14" s="50">
        <v>13</v>
      </c>
      <c r="G14" s="50">
        <v>1</v>
      </c>
      <c r="H14" s="50">
        <v>2</v>
      </c>
      <c r="I14" s="50">
        <v>15</v>
      </c>
      <c r="J14" s="50">
        <v>2</v>
      </c>
      <c r="K14" s="50">
        <v>1</v>
      </c>
      <c r="L14" s="50">
        <v>3</v>
      </c>
      <c r="M14" s="50">
        <v>20</v>
      </c>
      <c r="N14" s="50">
        <v>0</v>
      </c>
      <c r="O14" s="15">
        <f t="shared" si="0"/>
        <v>96</v>
      </c>
      <c r="P14" s="15">
        <f t="shared" si="1"/>
        <v>116</v>
      </c>
      <c r="R14" s="1" t="s">
        <v>10</v>
      </c>
      <c r="S14" s="17">
        <f t="shared" ref="S14:AF14" si="6">SUM(C26:C29)</f>
        <v>262</v>
      </c>
      <c r="T14" s="17">
        <f t="shared" si="6"/>
        <v>47</v>
      </c>
      <c r="U14" s="17">
        <f t="shared" si="6"/>
        <v>45</v>
      </c>
      <c r="V14" s="17">
        <f t="shared" si="6"/>
        <v>189</v>
      </c>
      <c r="W14" s="17">
        <f t="shared" si="6"/>
        <v>21</v>
      </c>
      <c r="X14" s="17">
        <f t="shared" si="6"/>
        <v>7</v>
      </c>
      <c r="Y14" s="17">
        <f t="shared" si="6"/>
        <v>93</v>
      </c>
      <c r="Z14" s="17">
        <f t="shared" si="6"/>
        <v>11</v>
      </c>
      <c r="AA14" s="17">
        <f t="shared" si="6"/>
        <v>10</v>
      </c>
      <c r="AB14" s="17">
        <f t="shared" si="6"/>
        <v>12</v>
      </c>
      <c r="AC14" s="17">
        <f t="shared" si="6"/>
        <v>142</v>
      </c>
      <c r="AD14" s="17">
        <f t="shared" si="6"/>
        <v>0</v>
      </c>
      <c r="AE14" s="31">
        <f t="shared" si="6"/>
        <v>697</v>
      </c>
      <c r="AF14" s="31">
        <f t="shared" si="6"/>
        <v>839</v>
      </c>
    </row>
    <row r="15" spans="2:32" ht="23.1" customHeight="1" x14ac:dyDescent="0.25">
      <c r="B15" s="45" t="s">
        <v>42</v>
      </c>
      <c r="C15" s="50">
        <v>56</v>
      </c>
      <c r="D15" s="50">
        <v>14</v>
      </c>
      <c r="E15" s="50">
        <v>13</v>
      </c>
      <c r="F15" s="50">
        <v>43</v>
      </c>
      <c r="G15" s="50">
        <v>2</v>
      </c>
      <c r="H15" s="50">
        <v>1</v>
      </c>
      <c r="I15" s="50">
        <v>10</v>
      </c>
      <c r="J15" s="50">
        <v>1</v>
      </c>
      <c r="K15" s="50">
        <v>3</v>
      </c>
      <c r="L15" s="50">
        <v>0</v>
      </c>
      <c r="M15" s="50">
        <v>34</v>
      </c>
      <c r="N15" s="50">
        <v>0</v>
      </c>
      <c r="O15" s="15">
        <f t="shared" si="0"/>
        <v>143</v>
      </c>
      <c r="P15" s="15">
        <f t="shared" si="1"/>
        <v>177</v>
      </c>
      <c r="R15" s="1" t="s">
        <v>11</v>
      </c>
      <c r="S15" s="17">
        <f t="shared" ref="S15:AF15" si="7">SUM(C30:C33)</f>
        <v>302</v>
      </c>
      <c r="T15" s="17">
        <f t="shared" si="7"/>
        <v>44</v>
      </c>
      <c r="U15" s="17">
        <f t="shared" si="7"/>
        <v>29</v>
      </c>
      <c r="V15" s="17">
        <f t="shared" si="7"/>
        <v>145</v>
      </c>
      <c r="W15" s="17">
        <f t="shared" si="7"/>
        <v>10</v>
      </c>
      <c r="X15" s="17">
        <f t="shared" si="7"/>
        <v>10</v>
      </c>
      <c r="Y15" s="17">
        <f t="shared" si="7"/>
        <v>107</v>
      </c>
      <c r="Z15" s="17">
        <f t="shared" si="7"/>
        <v>16</v>
      </c>
      <c r="AA15" s="17">
        <f t="shared" si="7"/>
        <v>8</v>
      </c>
      <c r="AB15" s="17">
        <f t="shared" si="7"/>
        <v>5</v>
      </c>
      <c r="AC15" s="17">
        <f t="shared" si="7"/>
        <v>169</v>
      </c>
      <c r="AD15" s="17">
        <f t="shared" si="7"/>
        <v>0</v>
      </c>
      <c r="AE15" s="31">
        <f t="shared" si="7"/>
        <v>676</v>
      </c>
      <c r="AF15" s="31">
        <f t="shared" si="7"/>
        <v>845</v>
      </c>
    </row>
    <row r="16" spans="2:32" ht="23.1" customHeight="1" x14ac:dyDescent="0.25">
      <c r="B16" s="45" t="s">
        <v>43</v>
      </c>
      <c r="C16" s="50">
        <v>56</v>
      </c>
      <c r="D16" s="50">
        <v>10</v>
      </c>
      <c r="E16" s="50">
        <v>7</v>
      </c>
      <c r="F16" s="50">
        <v>24</v>
      </c>
      <c r="G16" s="50">
        <v>3</v>
      </c>
      <c r="H16" s="50">
        <v>1</v>
      </c>
      <c r="I16" s="50">
        <v>13</v>
      </c>
      <c r="J16" s="50">
        <v>2</v>
      </c>
      <c r="K16" s="50">
        <v>1</v>
      </c>
      <c r="L16" s="50">
        <v>1</v>
      </c>
      <c r="M16" s="50">
        <v>25</v>
      </c>
      <c r="N16" s="50">
        <v>0</v>
      </c>
      <c r="O16" s="15">
        <f t="shared" si="0"/>
        <v>118</v>
      </c>
      <c r="P16" s="15">
        <f t="shared" si="1"/>
        <v>143</v>
      </c>
      <c r="R16" s="1" t="s">
        <v>12</v>
      </c>
      <c r="S16" s="17">
        <f t="shared" ref="S16:AF16" si="8">SUM(C34:C37)</f>
        <v>260</v>
      </c>
      <c r="T16" s="17">
        <f t="shared" si="8"/>
        <v>37</v>
      </c>
      <c r="U16" s="17">
        <f t="shared" si="8"/>
        <v>35</v>
      </c>
      <c r="V16" s="17">
        <f t="shared" si="8"/>
        <v>147</v>
      </c>
      <c r="W16" s="17">
        <f t="shared" si="8"/>
        <v>7</v>
      </c>
      <c r="X16" s="17">
        <f t="shared" si="8"/>
        <v>8</v>
      </c>
      <c r="Y16" s="17">
        <f t="shared" si="8"/>
        <v>90</v>
      </c>
      <c r="Z16" s="17">
        <f t="shared" si="8"/>
        <v>12</v>
      </c>
      <c r="AA16" s="17">
        <f t="shared" si="8"/>
        <v>19</v>
      </c>
      <c r="AB16" s="17">
        <f t="shared" si="8"/>
        <v>14</v>
      </c>
      <c r="AC16" s="17">
        <f t="shared" si="8"/>
        <v>117</v>
      </c>
      <c r="AD16" s="17">
        <f t="shared" si="8"/>
        <v>0</v>
      </c>
      <c r="AE16" s="31">
        <f t="shared" si="8"/>
        <v>629</v>
      </c>
      <c r="AF16" s="31">
        <f t="shared" si="8"/>
        <v>746</v>
      </c>
    </row>
    <row r="17" spans="2:32" ht="23.1" customHeight="1" x14ac:dyDescent="0.25">
      <c r="B17" s="45" t="s">
        <v>44</v>
      </c>
      <c r="C17" s="50">
        <v>62</v>
      </c>
      <c r="D17" s="50">
        <v>9</v>
      </c>
      <c r="E17" s="50">
        <v>7</v>
      </c>
      <c r="F17" s="50">
        <v>19</v>
      </c>
      <c r="G17" s="50">
        <v>2</v>
      </c>
      <c r="H17" s="50">
        <v>0</v>
      </c>
      <c r="I17" s="50">
        <v>4</v>
      </c>
      <c r="J17" s="50">
        <v>1</v>
      </c>
      <c r="K17" s="50">
        <v>2</v>
      </c>
      <c r="L17" s="50">
        <v>1</v>
      </c>
      <c r="M17" s="50">
        <v>29</v>
      </c>
      <c r="N17" s="50">
        <v>0</v>
      </c>
      <c r="O17" s="15">
        <f t="shared" si="0"/>
        <v>107</v>
      </c>
      <c r="P17" s="15">
        <f t="shared" si="1"/>
        <v>136</v>
      </c>
      <c r="R17" s="1" t="s">
        <v>13</v>
      </c>
      <c r="S17" s="17">
        <f t="shared" ref="S17:AF17" si="9">SUM(C38:C41)</f>
        <v>182</v>
      </c>
      <c r="T17" s="17">
        <f t="shared" si="9"/>
        <v>22</v>
      </c>
      <c r="U17" s="17">
        <f t="shared" si="9"/>
        <v>28</v>
      </c>
      <c r="V17" s="17">
        <f t="shared" si="9"/>
        <v>120</v>
      </c>
      <c r="W17" s="17">
        <f t="shared" si="9"/>
        <v>5</v>
      </c>
      <c r="X17" s="17">
        <f t="shared" si="9"/>
        <v>9</v>
      </c>
      <c r="Y17" s="17">
        <f t="shared" si="9"/>
        <v>69</v>
      </c>
      <c r="Z17" s="17">
        <f t="shared" si="9"/>
        <v>24</v>
      </c>
      <c r="AA17" s="17">
        <f t="shared" si="9"/>
        <v>15</v>
      </c>
      <c r="AB17" s="17">
        <f t="shared" si="9"/>
        <v>10</v>
      </c>
      <c r="AC17" s="17">
        <f t="shared" si="9"/>
        <v>72</v>
      </c>
      <c r="AD17" s="17">
        <f t="shared" si="9"/>
        <v>0</v>
      </c>
      <c r="AE17" s="31">
        <f t="shared" si="9"/>
        <v>484</v>
      </c>
      <c r="AF17" s="31">
        <f t="shared" si="9"/>
        <v>556</v>
      </c>
    </row>
    <row r="18" spans="2:32" ht="23.1" customHeight="1" x14ac:dyDescent="0.25">
      <c r="B18" s="45" t="s">
        <v>45</v>
      </c>
      <c r="C18" s="50">
        <v>50</v>
      </c>
      <c r="D18" s="50">
        <v>10</v>
      </c>
      <c r="E18" s="50">
        <v>8</v>
      </c>
      <c r="F18" s="50">
        <v>25</v>
      </c>
      <c r="G18" s="50">
        <v>0</v>
      </c>
      <c r="H18" s="50">
        <v>1</v>
      </c>
      <c r="I18" s="50">
        <v>10</v>
      </c>
      <c r="J18" s="50">
        <v>1</v>
      </c>
      <c r="K18" s="50">
        <v>2</v>
      </c>
      <c r="L18" s="50">
        <v>2</v>
      </c>
      <c r="M18" s="50">
        <v>24</v>
      </c>
      <c r="N18" s="50">
        <v>0</v>
      </c>
      <c r="O18" s="15">
        <f t="shared" si="0"/>
        <v>109</v>
      </c>
      <c r="P18" s="15">
        <f t="shared" si="1"/>
        <v>133</v>
      </c>
      <c r="R18" s="1" t="s">
        <v>14</v>
      </c>
      <c r="S18" s="17">
        <f t="shared" ref="S18:AF18" si="10">SUM(C42:C45)</f>
        <v>164</v>
      </c>
      <c r="T18" s="17">
        <f t="shared" si="10"/>
        <v>9</v>
      </c>
      <c r="U18" s="17">
        <f t="shared" si="10"/>
        <v>26</v>
      </c>
      <c r="V18" s="17">
        <f t="shared" si="10"/>
        <v>79</v>
      </c>
      <c r="W18" s="17">
        <f t="shared" si="10"/>
        <v>3</v>
      </c>
      <c r="X18" s="17">
        <f t="shared" si="10"/>
        <v>4</v>
      </c>
      <c r="Y18" s="17">
        <f t="shared" si="10"/>
        <v>59</v>
      </c>
      <c r="Z18" s="17">
        <f t="shared" si="10"/>
        <v>28</v>
      </c>
      <c r="AA18" s="17">
        <f t="shared" si="10"/>
        <v>8</v>
      </c>
      <c r="AB18" s="17">
        <f t="shared" si="10"/>
        <v>6</v>
      </c>
      <c r="AC18" s="17">
        <f t="shared" si="10"/>
        <v>66</v>
      </c>
      <c r="AD18" s="17">
        <f t="shared" si="10"/>
        <v>0</v>
      </c>
      <c r="AE18" s="31">
        <f t="shared" si="10"/>
        <v>386</v>
      </c>
      <c r="AF18" s="31">
        <f t="shared" si="10"/>
        <v>452</v>
      </c>
    </row>
    <row r="19" spans="2:32" ht="23.1" customHeight="1" x14ac:dyDescent="0.25">
      <c r="B19" s="45" t="s">
        <v>46</v>
      </c>
      <c r="C19" s="50">
        <v>50</v>
      </c>
      <c r="D19" s="50">
        <v>9</v>
      </c>
      <c r="E19" s="50">
        <v>2</v>
      </c>
      <c r="F19" s="50">
        <v>30</v>
      </c>
      <c r="G19" s="50">
        <v>2</v>
      </c>
      <c r="H19" s="50">
        <v>2</v>
      </c>
      <c r="I19" s="50">
        <v>15</v>
      </c>
      <c r="J19" s="50">
        <v>1</v>
      </c>
      <c r="K19" s="50">
        <v>0</v>
      </c>
      <c r="L19" s="50">
        <v>1</v>
      </c>
      <c r="M19" s="50">
        <v>33</v>
      </c>
      <c r="N19" s="50">
        <v>0</v>
      </c>
      <c r="O19" s="15">
        <f t="shared" si="0"/>
        <v>112</v>
      </c>
      <c r="P19" s="15">
        <f t="shared" si="1"/>
        <v>145</v>
      </c>
      <c r="R19" s="1" t="s">
        <v>15</v>
      </c>
      <c r="S19" s="17">
        <f t="shared" ref="S19:AF19" si="11">SUM(C46:C49)</f>
        <v>139</v>
      </c>
      <c r="T19" s="17">
        <f t="shared" si="11"/>
        <v>17</v>
      </c>
      <c r="U19" s="17">
        <f t="shared" si="11"/>
        <v>17</v>
      </c>
      <c r="V19" s="17">
        <f t="shared" si="11"/>
        <v>123</v>
      </c>
      <c r="W19" s="17">
        <f t="shared" si="11"/>
        <v>7</v>
      </c>
      <c r="X19" s="17">
        <f t="shared" si="11"/>
        <v>8</v>
      </c>
      <c r="Y19" s="17">
        <f t="shared" si="11"/>
        <v>70</v>
      </c>
      <c r="Z19" s="17">
        <f t="shared" si="11"/>
        <v>27</v>
      </c>
      <c r="AA19" s="17">
        <f t="shared" si="11"/>
        <v>8</v>
      </c>
      <c r="AB19" s="17">
        <f t="shared" si="11"/>
        <v>7</v>
      </c>
      <c r="AC19" s="17">
        <f t="shared" si="11"/>
        <v>85</v>
      </c>
      <c r="AD19" s="17">
        <f t="shared" si="11"/>
        <v>0</v>
      </c>
      <c r="AE19" s="31">
        <f t="shared" si="11"/>
        <v>423</v>
      </c>
      <c r="AF19" s="31">
        <f t="shared" si="11"/>
        <v>508</v>
      </c>
    </row>
    <row r="20" spans="2:32" ht="23.1" customHeight="1" x14ac:dyDescent="0.25">
      <c r="B20" s="45" t="s">
        <v>47</v>
      </c>
      <c r="C20" s="50">
        <v>37</v>
      </c>
      <c r="D20" s="50">
        <v>8</v>
      </c>
      <c r="E20" s="50">
        <v>8</v>
      </c>
      <c r="F20" s="50">
        <v>17</v>
      </c>
      <c r="G20" s="50">
        <v>0</v>
      </c>
      <c r="H20" s="50">
        <v>2</v>
      </c>
      <c r="I20" s="50">
        <v>15</v>
      </c>
      <c r="J20" s="50">
        <v>1</v>
      </c>
      <c r="K20" s="50">
        <v>0</v>
      </c>
      <c r="L20" s="50">
        <v>1</v>
      </c>
      <c r="M20" s="50">
        <v>25</v>
      </c>
      <c r="N20" s="50">
        <v>0</v>
      </c>
      <c r="O20" s="15">
        <f t="shared" si="0"/>
        <v>89</v>
      </c>
      <c r="P20" s="15">
        <f t="shared" si="1"/>
        <v>114</v>
      </c>
      <c r="R20" s="1" t="s">
        <v>16</v>
      </c>
      <c r="S20" s="17">
        <f t="shared" ref="S20:AF20" si="12">SUM(C50:C53)</f>
        <v>144</v>
      </c>
      <c r="T20" s="17">
        <f t="shared" si="12"/>
        <v>15</v>
      </c>
      <c r="U20" s="17">
        <f t="shared" si="12"/>
        <v>8</v>
      </c>
      <c r="V20" s="17">
        <f t="shared" si="12"/>
        <v>148</v>
      </c>
      <c r="W20" s="17">
        <f t="shared" si="12"/>
        <v>5</v>
      </c>
      <c r="X20" s="17">
        <f t="shared" si="12"/>
        <v>12</v>
      </c>
      <c r="Y20" s="17">
        <f t="shared" si="12"/>
        <v>67</v>
      </c>
      <c r="Z20" s="17">
        <f t="shared" si="12"/>
        <v>6</v>
      </c>
      <c r="AA20" s="17">
        <f t="shared" si="12"/>
        <v>23</v>
      </c>
      <c r="AB20" s="17">
        <f t="shared" si="12"/>
        <v>18</v>
      </c>
      <c r="AC20" s="17">
        <f t="shared" si="12"/>
        <v>111</v>
      </c>
      <c r="AD20" s="17">
        <f t="shared" si="12"/>
        <v>0</v>
      </c>
      <c r="AE20" s="31">
        <f t="shared" si="12"/>
        <v>446</v>
      </c>
      <c r="AF20" s="31">
        <f t="shared" si="12"/>
        <v>557</v>
      </c>
    </row>
    <row r="21" spans="2:32" ht="23.1" customHeight="1" x14ac:dyDescent="0.25">
      <c r="B21" s="45" t="s">
        <v>48</v>
      </c>
      <c r="C21" s="50">
        <v>35</v>
      </c>
      <c r="D21" s="50">
        <v>6</v>
      </c>
      <c r="E21" s="50">
        <v>12</v>
      </c>
      <c r="F21" s="50">
        <v>35</v>
      </c>
      <c r="G21" s="50">
        <v>0</v>
      </c>
      <c r="H21" s="50">
        <v>3</v>
      </c>
      <c r="I21" s="50">
        <v>16</v>
      </c>
      <c r="J21" s="50">
        <v>0</v>
      </c>
      <c r="K21" s="50">
        <v>2</v>
      </c>
      <c r="L21" s="50">
        <v>3</v>
      </c>
      <c r="M21" s="50">
        <v>34</v>
      </c>
      <c r="N21" s="50">
        <v>0</v>
      </c>
      <c r="O21" s="15">
        <f t="shared" si="0"/>
        <v>112</v>
      </c>
      <c r="P21" s="15">
        <f t="shared" si="1"/>
        <v>146</v>
      </c>
      <c r="R21" s="36" t="s">
        <v>20</v>
      </c>
      <c r="S21" s="34">
        <f t="shared" ref="S21:AF21" si="13">SUM(C54:C57)</f>
        <v>162</v>
      </c>
      <c r="T21" s="17">
        <f t="shared" si="13"/>
        <v>23</v>
      </c>
      <c r="U21" s="17">
        <f t="shared" si="13"/>
        <v>26</v>
      </c>
      <c r="V21" s="17">
        <f t="shared" si="13"/>
        <v>183</v>
      </c>
      <c r="W21" s="17">
        <f t="shared" si="13"/>
        <v>9</v>
      </c>
      <c r="X21" s="17">
        <f t="shared" si="13"/>
        <v>6</v>
      </c>
      <c r="Y21" s="17">
        <f t="shared" si="13"/>
        <v>119</v>
      </c>
      <c r="Z21" s="17">
        <f t="shared" si="13"/>
        <v>35</v>
      </c>
      <c r="AA21" s="17">
        <f t="shared" si="13"/>
        <v>28</v>
      </c>
      <c r="AB21" s="17">
        <f t="shared" si="13"/>
        <v>10</v>
      </c>
      <c r="AC21" s="17">
        <f t="shared" si="13"/>
        <v>134</v>
      </c>
      <c r="AD21" s="17">
        <f t="shared" si="13"/>
        <v>0</v>
      </c>
      <c r="AE21" s="31">
        <f t="shared" si="13"/>
        <v>601</v>
      </c>
      <c r="AF21" s="31">
        <f t="shared" si="13"/>
        <v>735</v>
      </c>
    </row>
    <row r="22" spans="2:32" ht="23.1" customHeight="1" x14ac:dyDescent="0.25">
      <c r="B22" s="45" t="s">
        <v>49</v>
      </c>
      <c r="C22" s="50">
        <v>57</v>
      </c>
      <c r="D22" s="50">
        <v>10</v>
      </c>
      <c r="E22" s="50">
        <v>9</v>
      </c>
      <c r="F22" s="50">
        <v>23</v>
      </c>
      <c r="G22" s="50">
        <v>5</v>
      </c>
      <c r="H22" s="50">
        <v>1</v>
      </c>
      <c r="I22" s="50">
        <v>11</v>
      </c>
      <c r="J22" s="50">
        <v>3</v>
      </c>
      <c r="K22" s="50">
        <v>2</v>
      </c>
      <c r="L22" s="50">
        <v>4</v>
      </c>
      <c r="M22" s="50">
        <v>33</v>
      </c>
      <c r="N22" s="50">
        <v>0</v>
      </c>
      <c r="O22" s="15">
        <f t="shared" si="0"/>
        <v>125</v>
      </c>
      <c r="P22" s="15">
        <f t="shared" si="1"/>
        <v>158</v>
      </c>
      <c r="R22" s="36" t="s">
        <v>146</v>
      </c>
      <c r="S22" s="34">
        <f>SUM(C58:C61)</f>
        <v>61</v>
      </c>
      <c r="T22" s="34">
        <f t="shared" ref="T22:AF22" si="14">SUM(D58:D61)</f>
        <v>6</v>
      </c>
      <c r="U22" s="34">
        <f t="shared" si="14"/>
        <v>9</v>
      </c>
      <c r="V22" s="34">
        <f t="shared" si="14"/>
        <v>76</v>
      </c>
      <c r="W22" s="34">
        <f t="shared" si="14"/>
        <v>2</v>
      </c>
      <c r="X22" s="34">
        <f t="shared" si="14"/>
        <v>4</v>
      </c>
      <c r="Y22" s="34">
        <f t="shared" si="14"/>
        <v>64</v>
      </c>
      <c r="Z22" s="34">
        <f t="shared" si="14"/>
        <v>18</v>
      </c>
      <c r="AA22" s="34">
        <f t="shared" si="14"/>
        <v>13</v>
      </c>
      <c r="AB22" s="34">
        <f t="shared" si="14"/>
        <v>3</v>
      </c>
      <c r="AC22" s="34">
        <f t="shared" si="14"/>
        <v>73</v>
      </c>
      <c r="AD22" s="34">
        <f t="shared" si="14"/>
        <v>0</v>
      </c>
      <c r="AE22" s="31">
        <f t="shared" si="14"/>
        <v>256</v>
      </c>
      <c r="AF22" s="31">
        <f t="shared" si="14"/>
        <v>329</v>
      </c>
    </row>
    <row r="23" spans="2:32" ht="23.1" customHeight="1" x14ac:dyDescent="0.25">
      <c r="B23" s="45" t="s">
        <v>50</v>
      </c>
      <c r="C23" s="50">
        <v>60</v>
      </c>
      <c r="D23" s="50">
        <v>14</v>
      </c>
      <c r="E23" s="50">
        <v>14</v>
      </c>
      <c r="F23" s="50">
        <v>52</v>
      </c>
      <c r="G23" s="50">
        <v>2</v>
      </c>
      <c r="H23" s="50">
        <v>4</v>
      </c>
      <c r="I23" s="50">
        <v>28</v>
      </c>
      <c r="J23" s="50">
        <v>5</v>
      </c>
      <c r="K23" s="50">
        <v>6</v>
      </c>
      <c r="L23" s="50">
        <v>3</v>
      </c>
      <c r="M23" s="50">
        <v>43</v>
      </c>
      <c r="N23" s="50">
        <v>0</v>
      </c>
      <c r="O23" s="15">
        <f t="shared" si="0"/>
        <v>188</v>
      </c>
      <c r="P23" s="15">
        <f t="shared" si="1"/>
        <v>231</v>
      </c>
      <c r="R23" s="36" t="s">
        <v>147</v>
      </c>
      <c r="S23" s="34">
        <f>SUM(C62:C65)</f>
        <v>57</v>
      </c>
      <c r="T23" s="34">
        <f t="shared" ref="T23:AF23" si="15">SUM(D62:D65)</f>
        <v>5</v>
      </c>
      <c r="U23" s="34">
        <f t="shared" si="15"/>
        <v>10</v>
      </c>
      <c r="V23" s="34">
        <f t="shared" si="15"/>
        <v>78</v>
      </c>
      <c r="W23" s="34">
        <f t="shared" si="15"/>
        <v>3</v>
      </c>
      <c r="X23" s="34">
        <f t="shared" si="15"/>
        <v>4</v>
      </c>
      <c r="Y23" s="34">
        <f t="shared" si="15"/>
        <v>46</v>
      </c>
      <c r="Z23" s="34">
        <f t="shared" si="15"/>
        <v>28</v>
      </c>
      <c r="AA23" s="34">
        <f t="shared" si="15"/>
        <v>8</v>
      </c>
      <c r="AB23" s="34">
        <f t="shared" si="15"/>
        <v>0</v>
      </c>
      <c r="AC23" s="34">
        <f t="shared" si="15"/>
        <v>107</v>
      </c>
      <c r="AD23" s="34">
        <f t="shared" si="15"/>
        <v>0</v>
      </c>
      <c r="AE23" s="31">
        <f t="shared" si="15"/>
        <v>239</v>
      </c>
      <c r="AF23" s="31">
        <f t="shared" si="15"/>
        <v>346</v>
      </c>
    </row>
    <row r="24" spans="2:32" ht="23.1" customHeight="1" x14ac:dyDescent="0.25">
      <c r="B24" s="45" t="s">
        <v>51</v>
      </c>
      <c r="C24" s="50">
        <v>49</v>
      </c>
      <c r="D24" s="50">
        <v>6</v>
      </c>
      <c r="E24" s="50">
        <v>10</v>
      </c>
      <c r="F24" s="50">
        <v>29</v>
      </c>
      <c r="G24" s="50">
        <v>4</v>
      </c>
      <c r="H24" s="50">
        <v>1</v>
      </c>
      <c r="I24" s="50">
        <v>15</v>
      </c>
      <c r="J24" s="50">
        <v>3</v>
      </c>
      <c r="K24" s="50">
        <v>3</v>
      </c>
      <c r="L24" s="50">
        <v>2</v>
      </c>
      <c r="M24" s="50">
        <v>30</v>
      </c>
      <c r="N24" s="50">
        <v>0</v>
      </c>
      <c r="O24" s="15">
        <f t="shared" si="0"/>
        <v>122</v>
      </c>
      <c r="P24" s="15">
        <f t="shared" si="1"/>
        <v>152</v>
      </c>
      <c r="R24" s="36" t="s">
        <v>148</v>
      </c>
      <c r="S24" s="34">
        <f>SUM(C66:C69)</f>
        <v>78</v>
      </c>
      <c r="T24" s="34">
        <f t="shared" ref="T24:AF24" si="16">SUM(D66:D69)</f>
        <v>20</v>
      </c>
      <c r="U24" s="34">
        <f t="shared" si="16"/>
        <v>7</v>
      </c>
      <c r="V24" s="34">
        <f t="shared" si="16"/>
        <v>76</v>
      </c>
      <c r="W24" s="34">
        <f t="shared" si="16"/>
        <v>6</v>
      </c>
      <c r="X24" s="34">
        <f t="shared" si="16"/>
        <v>10</v>
      </c>
      <c r="Y24" s="34">
        <f t="shared" si="16"/>
        <v>48</v>
      </c>
      <c r="Z24" s="34">
        <f t="shared" si="16"/>
        <v>22</v>
      </c>
      <c r="AA24" s="34">
        <f t="shared" si="16"/>
        <v>8</v>
      </c>
      <c r="AB24" s="34">
        <f t="shared" si="16"/>
        <v>1</v>
      </c>
      <c r="AC24" s="34">
        <f t="shared" si="16"/>
        <v>84</v>
      </c>
      <c r="AD24" s="34">
        <f t="shared" si="16"/>
        <v>0</v>
      </c>
      <c r="AE24" s="31">
        <f t="shared" si="16"/>
        <v>276</v>
      </c>
      <c r="AF24" s="31">
        <f t="shared" si="16"/>
        <v>360</v>
      </c>
    </row>
    <row r="25" spans="2:32" ht="23.1" customHeight="1" x14ac:dyDescent="0.25">
      <c r="B25" s="45" t="s">
        <v>52</v>
      </c>
      <c r="C25" s="50">
        <v>73</v>
      </c>
      <c r="D25" s="50">
        <v>4</v>
      </c>
      <c r="E25" s="50">
        <v>4</v>
      </c>
      <c r="F25" s="50">
        <v>40</v>
      </c>
      <c r="G25" s="50">
        <v>3</v>
      </c>
      <c r="H25" s="50">
        <v>1</v>
      </c>
      <c r="I25" s="50">
        <v>37</v>
      </c>
      <c r="J25" s="50">
        <v>0</v>
      </c>
      <c r="K25" s="50">
        <v>4</v>
      </c>
      <c r="L25" s="50">
        <v>1</v>
      </c>
      <c r="M25" s="50">
        <v>43</v>
      </c>
      <c r="N25" s="50">
        <v>0</v>
      </c>
      <c r="O25" s="15">
        <f t="shared" si="0"/>
        <v>167</v>
      </c>
      <c r="P25" s="15">
        <f t="shared" si="1"/>
        <v>210</v>
      </c>
      <c r="R25" s="36" t="s">
        <v>149</v>
      </c>
      <c r="S25" s="34">
        <f>SUM(C70:C73)</f>
        <v>74</v>
      </c>
      <c r="T25" s="34">
        <f t="shared" ref="T25:AF25" si="17">SUM(D70:D73)</f>
        <v>9</v>
      </c>
      <c r="U25" s="34">
        <f t="shared" si="17"/>
        <v>12</v>
      </c>
      <c r="V25" s="34">
        <f t="shared" si="17"/>
        <v>72</v>
      </c>
      <c r="W25" s="34">
        <f t="shared" si="17"/>
        <v>4</v>
      </c>
      <c r="X25" s="34">
        <f t="shared" si="17"/>
        <v>8</v>
      </c>
      <c r="Y25" s="34">
        <f t="shared" si="17"/>
        <v>31</v>
      </c>
      <c r="Z25" s="34">
        <f t="shared" si="17"/>
        <v>22</v>
      </c>
      <c r="AA25" s="34">
        <f t="shared" si="17"/>
        <v>7</v>
      </c>
      <c r="AB25" s="34">
        <f t="shared" si="17"/>
        <v>2</v>
      </c>
      <c r="AC25" s="34">
        <f t="shared" si="17"/>
        <v>63</v>
      </c>
      <c r="AD25" s="34">
        <f t="shared" si="17"/>
        <v>0</v>
      </c>
      <c r="AE25" s="31">
        <f t="shared" si="17"/>
        <v>241</v>
      </c>
      <c r="AF25" s="31">
        <f t="shared" si="17"/>
        <v>304</v>
      </c>
    </row>
    <row r="26" spans="2:32" ht="23.1" customHeight="1" x14ac:dyDescent="0.25">
      <c r="B26" s="45" t="s">
        <v>53</v>
      </c>
      <c r="C26" s="50">
        <v>60</v>
      </c>
      <c r="D26" s="50">
        <v>10</v>
      </c>
      <c r="E26" s="50">
        <v>8</v>
      </c>
      <c r="F26" s="50">
        <v>40</v>
      </c>
      <c r="G26" s="50">
        <v>4</v>
      </c>
      <c r="H26" s="50">
        <v>1</v>
      </c>
      <c r="I26" s="50">
        <v>28</v>
      </c>
      <c r="J26" s="50">
        <v>5</v>
      </c>
      <c r="K26" s="50">
        <v>1</v>
      </c>
      <c r="L26" s="50">
        <v>4</v>
      </c>
      <c r="M26" s="50">
        <v>28</v>
      </c>
      <c r="N26" s="50">
        <v>0</v>
      </c>
      <c r="O26" s="15">
        <f t="shared" si="0"/>
        <v>161</v>
      </c>
      <c r="P26" s="15">
        <f t="shared" si="1"/>
        <v>189</v>
      </c>
      <c r="R26" s="36" t="s">
        <v>150</v>
      </c>
      <c r="S26" s="34">
        <f>SUM(C74:C77)</f>
        <v>81</v>
      </c>
      <c r="T26" s="34">
        <f t="shared" ref="T26:AF26" si="18">SUM(D74:D77)</f>
        <v>16</v>
      </c>
      <c r="U26" s="34">
        <f t="shared" si="18"/>
        <v>3</v>
      </c>
      <c r="V26" s="34">
        <f t="shared" si="18"/>
        <v>61</v>
      </c>
      <c r="W26" s="34">
        <f t="shared" si="18"/>
        <v>6</v>
      </c>
      <c r="X26" s="34">
        <f t="shared" si="18"/>
        <v>12</v>
      </c>
      <c r="Y26" s="34">
        <f t="shared" si="18"/>
        <v>60</v>
      </c>
      <c r="Z26" s="34">
        <f t="shared" si="18"/>
        <v>28</v>
      </c>
      <c r="AA26" s="34">
        <f t="shared" si="18"/>
        <v>12</v>
      </c>
      <c r="AB26" s="34">
        <f t="shared" si="18"/>
        <v>3</v>
      </c>
      <c r="AC26" s="34">
        <f t="shared" si="18"/>
        <v>46</v>
      </c>
      <c r="AD26" s="34">
        <f t="shared" si="18"/>
        <v>0</v>
      </c>
      <c r="AE26" s="31">
        <f t="shared" si="18"/>
        <v>282</v>
      </c>
      <c r="AF26" s="31">
        <f t="shared" si="18"/>
        <v>328</v>
      </c>
    </row>
    <row r="27" spans="2:32" ht="23.1" customHeight="1" x14ac:dyDescent="0.25">
      <c r="B27" s="45" t="s">
        <v>54</v>
      </c>
      <c r="C27" s="50">
        <v>82</v>
      </c>
      <c r="D27" s="50">
        <v>17</v>
      </c>
      <c r="E27" s="50">
        <v>14</v>
      </c>
      <c r="F27" s="50">
        <v>67</v>
      </c>
      <c r="G27" s="50">
        <v>4</v>
      </c>
      <c r="H27" s="50">
        <v>4</v>
      </c>
      <c r="I27" s="50">
        <v>28</v>
      </c>
      <c r="J27" s="50">
        <v>2</v>
      </c>
      <c r="K27" s="50">
        <v>4</v>
      </c>
      <c r="L27" s="50">
        <v>4</v>
      </c>
      <c r="M27" s="50">
        <v>47</v>
      </c>
      <c r="N27" s="50">
        <v>0</v>
      </c>
      <c r="O27" s="15">
        <f t="shared" si="0"/>
        <v>226</v>
      </c>
      <c r="P27" s="15">
        <f t="shared" si="1"/>
        <v>273</v>
      </c>
      <c r="R27" s="36" t="s">
        <v>151</v>
      </c>
      <c r="S27" s="34">
        <f>SUM(C78:C81)</f>
        <v>45</v>
      </c>
      <c r="T27" s="34">
        <f t="shared" ref="T27:AF27" si="19">SUM(D78:D81)</f>
        <v>6</v>
      </c>
      <c r="U27" s="34">
        <f t="shared" si="19"/>
        <v>5</v>
      </c>
      <c r="V27" s="34">
        <f t="shared" si="19"/>
        <v>26</v>
      </c>
      <c r="W27" s="34">
        <f t="shared" si="19"/>
        <v>2</v>
      </c>
      <c r="X27" s="34">
        <f t="shared" si="19"/>
        <v>13</v>
      </c>
      <c r="Y27" s="34">
        <f t="shared" si="19"/>
        <v>49</v>
      </c>
      <c r="Z27" s="34">
        <f t="shared" si="19"/>
        <v>27</v>
      </c>
      <c r="AA27" s="34">
        <f t="shared" si="19"/>
        <v>10</v>
      </c>
      <c r="AB27" s="34">
        <f t="shared" si="19"/>
        <v>3</v>
      </c>
      <c r="AC27" s="34">
        <f t="shared" si="19"/>
        <v>26</v>
      </c>
      <c r="AD27" s="34">
        <f t="shared" si="19"/>
        <v>0</v>
      </c>
      <c r="AE27" s="31">
        <f t="shared" si="19"/>
        <v>186</v>
      </c>
      <c r="AF27" s="31">
        <f t="shared" si="19"/>
        <v>212</v>
      </c>
    </row>
    <row r="28" spans="2:32" ht="23.1" customHeight="1" x14ac:dyDescent="0.25">
      <c r="B28" s="45" t="s">
        <v>55</v>
      </c>
      <c r="C28" s="50">
        <v>45</v>
      </c>
      <c r="D28" s="50">
        <v>9</v>
      </c>
      <c r="E28" s="50">
        <v>9</v>
      </c>
      <c r="F28" s="50">
        <v>22</v>
      </c>
      <c r="G28" s="50">
        <v>3</v>
      </c>
      <c r="H28" s="50">
        <v>0</v>
      </c>
      <c r="I28" s="50">
        <v>17</v>
      </c>
      <c r="J28" s="50">
        <v>0</v>
      </c>
      <c r="K28" s="50">
        <v>2</v>
      </c>
      <c r="L28" s="50">
        <v>1</v>
      </c>
      <c r="M28" s="50">
        <v>37</v>
      </c>
      <c r="N28" s="50">
        <v>0</v>
      </c>
      <c r="O28" s="15">
        <f t="shared" si="0"/>
        <v>108</v>
      </c>
      <c r="P28" s="15">
        <f t="shared" si="1"/>
        <v>145</v>
      </c>
      <c r="R28" s="36" t="s">
        <v>152</v>
      </c>
      <c r="S28" s="34">
        <f>SUM(C82:C85)</f>
        <v>18</v>
      </c>
      <c r="T28" s="34">
        <f t="shared" ref="T28:AF28" si="20">SUM(D82:D85)</f>
        <v>3</v>
      </c>
      <c r="U28" s="34">
        <f t="shared" si="20"/>
        <v>2</v>
      </c>
      <c r="V28" s="34">
        <f t="shared" si="20"/>
        <v>5</v>
      </c>
      <c r="W28" s="34">
        <f t="shared" si="20"/>
        <v>0</v>
      </c>
      <c r="X28" s="34">
        <f t="shared" si="20"/>
        <v>4</v>
      </c>
      <c r="Y28" s="34">
        <f t="shared" si="20"/>
        <v>35</v>
      </c>
      <c r="Z28" s="34">
        <f t="shared" si="20"/>
        <v>15</v>
      </c>
      <c r="AA28" s="34">
        <f t="shared" si="20"/>
        <v>5</v>
      </c>
      <c r="AB28" s="34">
        <f t="shared" si="20"/>
        <v>2</v>
      </c>
      <c r="AC28" s="34">
        <f t="shared" si="20"/>
        <v>6</v>
      </c>
      <c r="AD28" s="34">
        <f t="shared" si="20"/>
        <v>0</v>
      </c>
      <c r="AE28" s="31">
        <f t="shared" si="20"/>
        <v>89</v>
      </c>
      <c r="AF28" s="31">
        <f t="shared" si="20"/>
        <v>95</v>
      </c>
    </row>
    <row r="29" spans="2:32" ht="23.1" customHeight="1" x14ac:dyDescent="0.25">
      <c r="B29" s="45" t="s">
        <v>56</v>
      </c>
      <c r="C29" s="50">
        <v>75</v>
      </c>
      <c r="D29" s="50">
        <v>11</v>
      </c>
      <c r="E29" s="50">
        <v>14</v>
      </c>
      <c r="F29" s="50">
        <v>60</v>
      </c>
      <c r="G29" s="50">
        <v>10</v>
      </c>
      <c r="H29" s="50">
        <v>2</v>
      </c>
      <c r="I29" s="50">
        <v>20</v>
      </c>
      <c r="J29" s="50">
        <v>4</v>
      </c>
      <c r="K29" s="50">
        <v>3</v>
      </c>
      <c r="L29" s="50">
        <v>3</v>
      </c>
      <c r="M29" s="50">
        <v>30</v>
      </c>
      <c r="N29" s="50">
        <v>0</v>
      </c>
      <c r="O29" s="15">
        <f t="shared" si="0"/>
        <v>202</v>
      </c>
      <c r="P29" s="15">
        <f t="shared" si="1"/>
        <v>232</v>
      </c>
      <c r="R29" s="36" t="s">
        <v>153</v>
      </c>
      <c r="S29" s="34">
        <f>SUM(C86:C89)</f>
        <v>9</v>
      </c>
      <c r="T29" s="34">
        <f t="shared" ref="T29:AF29" si="21">SUM(D86:D89)</f>
        <v>1</v>
      </c>
      <c r="U29" s="34">
        <f t="shared" si="21"/>
        <v>2</v>
      </c>
      <c r="V29" s="34">
        <f t="shared" si="21"/>
        <v>4</v>
      </c>
      <c r="W29" s="34">
        <f t="shared" si="21"/>
        <v>0</v>
      </c>
      <c r="X29" s="34">
        <f t="shared" si="21"/>
        <v>2</v>
      </c>
      <c r="Y29" s="34">
        <f t="shared" si="21"/>
        <v>25</v>
      </c>
      <c r="Z29" s="34">
        <f t="shared" si="21"/>
        <v>11</v>
      </c>
      <c r="AA29" s="34">
        <f t="shared" si="21"/>
        <v>2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56</v>
      </c>
      <c r="AF29" s="31">
        <f t="shared" si="21"/>
        <v>62</v>
      </c>
    </row>
    <row r="30" spans="2:32" ht="23.1" customHeight="1" x14ac:dyDescent="0.25">
      <c r="B30" s="45" t="s">
        <v>57</v>
      </c>
      <c r="C30" s="50">
        <v>95</v>
      </c>
      <c r="D30" s="50">
        <v>10</v>
      </c>
      <c r="E30" s="50">
        <v>11</v>
      </c>
      <c r="F30" s="50">
        <v>48</v>
      </c>
      <c r="G30" s="50">
        <v>1</v>
      </c>
      <c r="H30" s="50">
        <v>2</v>
      </c>
      <c r="I30" s="50">
        <v>30</v>
      </c>
      <c r="J30" s="50">
        <v>4</v>
      </c>
      <c r="K30" s="50">
        <v>3</v>
      </c>
      <c r="L30" s="50">
        <v>2</v>
      </c>
      <c r="M30" s="50">
        <v>75</v>
      </c>
      <c r="N30" s="50">
        <v>0</v>
      </c>
      <c r="O30" s="15">
        <f t="shared" si="0"/>
        <v>206</v>
      </c>
      <c r="P30" s="15">
        <f t="shared" si="1"/>
        <v>281</v>
      </c>
      <c r="R30" s="36" t="s">
        <v>154</v>
      </c>
      <c r="S30" s="34">
        <f>SUM(C90:C93)</f>
        <v>8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23</v>
      </c>
      <c r="Z30" s="34">
        <f t="shared" si="22"/>
        <v>6</v>
      </c>
      <c r="AA30" s="34">
        <f t="shared" si="22"/>
        <v>5</v>
      </c>
      <c r="AB30" s="34">
        <f t="shared" si="22"/>
        <v>1</v>
      </c>
      <c r="AC30" s="34">
        <f t="shared" si="22"/>
        <v>6</v>
      </c>
      <c r="AD30" s="34">
        <f t="shared" si="22"/>
        <v>0</v>
      </c>
      <c r="AE30" s="31">
        <f t="shared" si="22"/>
        <v>48</v>
      </c>
      <c r="AF30" s="31">
        <f t="shared" si="22"/>
        <v>54</v>
      </c>
    </row>
    <row r="31" spans="2:32" ht="23.1" customHeight="1" x14ac:dyDescent="0.25">
      <c r="B31" s="46" t="s">
        <v>58</v>
      </c>
      <c r="C31" s="50">
        <v>60</v>
      </c>
      <c r="D31" s="50">
        <v>16</v>
      </c>
      <c r="E31" s="50">
        <v>5</v>
      </c>
      <c r="F31" s="50">
        <v>40</v>
      </c>
      <c r="G31" s="50">
        <v>4</v>
      </c>
      <c r="H31" s="50">
        <v>3</v>
      </c>
      <c r="I31" s="50">
        <v>31</v>
      </c>
      <c r="J31" s="50">
        <v>3</v>
      </c>
      <c r="K31" s="50">
        <v>1</v>
      </c>
      <c r="L31" s="50">
        <v>1</v>
      </c>
      <c r="M31" s="50">
        <v>35</v>
      </c>
      <c r="N31" s="50">
        <v>0</v>
      </c>
      <c r="O31" s="15">
        <f t="shared" si="0"/>
        <v>164</v>
      </c>
      <c r="P31" s="15">
        <f t="shared" si="1"/>
        <v>199</v>
      </c>
      <c r="R31" s="36" t="s">
        <v>155</v>
      </c>
      <c r="S31" s="34">
        <f>SUM(C94:C97)</f>
        <v>14</v>
      </c>
      <c r="T31" s="34">
        <f t="shared" ref="T31:AF31" si="23">SUM(D94:D97)</f>
        <v>4</v>
      </c>
      <c r="U31" s="34">
        <f t="shared" si="23"/>
        <v>1</v>
      </c>
      <c r="V31" s="34">
        <f t="shared" si="23"/>
        <v>4</v>
      </c>
      <c r="W31" s="34">
        <f t="shared" si="23"/>
        <v>0</v>
      </c>
      <c r="X31" s="34">
        <f t="shared" si="23"/>
        <v>1</v>
      </c>
      <c r="Y31" s="34">
        <f t="shared" si="23"/>
        <v>30</v>
      </c>
      <c r="Z31" s="34">
        <f t="shared" si="23"/>
        <v>6</v>
      </c>
      <c r="AA31" s="34">
        <f t="shared" si="23"/>
        <v>2</v>
      </c>
      <c r="AB31" s="34">
        <f t="shared" si="23"/>
        <v>3</v>
      </c>
      <c r="AC31" s="34">
        <f t="shared" si="23"/>
        <v>3</v>
      </c>
      <c r="AD31" s="34">
        <f t="shared" si="23"/>
        <v>0</v>
      </c>
      <c r="AE31" s="31">
        <f t="shared" si="23"/>
        <v>65</v>
      </c>
      <c r="AF31" s="31">
        <f t="shared" si="23"/>
        <v>68</v>
      </c>
    </row>
    <row r="32" spans="2:32" ht="23.1" customHeight="1" x14ac:dyDescent="0.25">
      <c r="B32" s="46" t="s">
        <v>59</v>
      </c>
      <c r="C32" s="50">
        <v>81</v>
      </c>
      <c r="D32" s="50">
        <v>8</v>
      </c>
      <c r="E32" s="50">
        <v>5</v>
      </c>
      <c r="F32" s="50">
        <v>31</v>
      </c>
      <c r="G32" s="50">
        <v>2</v>
      </c>
      <c r="H32" s="50">
        <v>3</v>
      </c>
      <c r="I32" s="50">
        <v>26</v>
      </c>
      <c r="J32" s="50">
        <v>4</v>
      </c>
      <c r="K32" s="50">
        <v>3</v>
      </c>
      <c r="L32" s="50">
        <v>0</v>
      </c>
      <c r="M32" s="50">
        <v>33</v>
      </c>
      <c r="N32" s="50">
        <v>0</v>
      </c>
      <c r="O32" s="15">
        <f t="shared" si="0"/>
        <v>163</v>
      </c>
      <c r="P32" s="15">
        <f t="shared" si="1"/>
        <v>196</v>
      </c>
      <c r="R32" s="33" t="s">
        <v>156</v>
      </c>
      <c r="S32" s="34">
        <f>SUM(C98:C101)</f>
        <v>31</v>
      </c>
      <c r="T32" s="34">
        <f t="shared" ref="T32:AF32" si="24">SUM(D98:D101)</f>
        <v>5</v>
      </c>
      <c r="U32" s="34">
        <f t="shared" si="24"/>
        <v>3</v>
      </c>
      <c r="V32" s="34">
        <f t="shared" si="24"/>
        <v>7</v>
      </c>
      <c r="W32" s="34">
        <f t="shared" si="24"/>
        <v>1</v>
      </c>
      <c r="X32" s="34">
        <f t="shared" si="24"/>
        <v>1</v>
      </c>
      <c r="Y32" s="34">
        <f t="shared" si="24"/>
        <v>40</v>
      </c>
      <c r="Z32" s="34">
        <f t="shared" si="24"/>
        <v>11</v>
      </c>
      <c r="AA32" s="34">
        <f t="shared" si="24"/>
        <v>4</v>
      </c>
      <c r="AB32" s="34">
        <f t="shared" si="24"/>
        <v>3</v>
      </c>
      <c r="AC32" s="34">
        <f t="shared" si="24"/>
        <v>24</v>
      </c>
      <c r="AD32" s="34">
        <f t="shared" si="24"/>
        <v>0</v>
      </c>
      <c r="AE32" s="31">
        <f t="shared" si="24"/>
        <v>106</v>
      </c>
      <c r="AF32" s="31">
        <f t="shared" si="24"/>
        <v>130</v>
      </c>
    </row>
    <row r="33" spans="2:32" ht="23.1" customHeight="1" x14ac:dyDescent="0.25">
      <c r="B33" s="45" t="s">
        <v>60</v>
      </c>
      <c r="C33" s="50">
        <v>66</v>
      </c>
      <c r="D33" s="50">
        <v>10</v>
      </c>
      <c r="E33" s="50">
        <v>8</v>
      </c>
      <c r="F33" s="50">
        <v>26</v>
      </c>
      <c r="G33" s="50">
        <v>3</v>
      </c>
      <c r="H33" s="50">
        <v>2</v>
      </c>
      <c r="I33" s="50">
        <v>20</v>
      </c>
      <c r="J33" s="50">
        <v>5</v>
      </c>
      <c r="K33" s="50">
        <v>1</v>
      </c>
      <c r="L33" s="50">
        <v>2</v>
      </c>
      <c r="M33" s="50">
        <v>26</v>
      </c>
      <c r="N33" s="50">
        <v>0</v>
      </c>
      <c r="O33" s="15">
        <f t="shared" si="0"/>
        <v>143</v>
      </c>
      <c r="P33" s="15">
        <f t="shared" si="1"/>
        <v>169</v>
      </c>
      <c r="R33" s="33" t="s">
        <v>157</v>
      </c>
      <c r="S33" s="34">
        <f>SUM(C102:C105)</f>
        <v>59</v>
      </c>
      <c r="T33" s="34">
        <f t="shared" ref="T33:AF33" si="25">SUM(D102:D105)</f>
        <v>23</v>
      </c>
      <c r="U33" s="34">
        <f t="shared" si="25"/>
        <v>10</v>
      </c>
      <c r="V33" s="34">
        <f t="shared" si="25"/>
        <v>31</v>
      </c>
      <c r="W33" s="34">
        <f t="shared" si="25"/>
        <v>3</v>
      </c>
      <c r="X33" s="34">
        <f t="shared" si="25"/>
        <v>3</v>
      </c>
      <c r="Y33" s="34">
        <f t="shared" si="25"/>
        <v>55</v>
      </c>
      <c r="Z33" s="34">
        <f t="shared" si="25"/>
        <v>12</v>
      </c>
      <c r="AA33" s="34">
        <f t="shared" si="25"/>
        <v>10</v>
      </c>
      <c r="AB33" s="34">
        <f t="shared" si="25"/>
        <v>3</v>
      </c>
      <c r="AC33" s="34">
        <f t="shared" si="25"/>
        <v>37</v>
      </c>
      <c r="AD33" s="34">
        <f t="shared" si="25"/>
        <v>0</v>
      </c>
      <c r="AE33" s="31">
        <f t="shared" si="25"/>
        <v>209</v>
      </c>
      <c r="AF33" s="31">
        <f t="shared" si="25"/>
        <v>246</v>
      </c>
    </row>
    <row r="34" spans="2:32" ht="23.1" customHeight="1" x14ac:dyDescent="0.25">
      <c r="B34" s="46" t="s">
        <v>61</v>
      </c>
      <c r="C34" s="50">
        <v>58</v>
      </c>
      <c r="D34" s="50">
        <v>9</v>
      </c>
      <c r="E34" s="50">
        <v>5</v>
      </c>
      <c r="F34" s="50">
        <v>37</v>
      </c>
      <c r="G34" s="50">
        <v>2</v>
      </c>
      <c r="H34" s="50">
        <v>2</v>
      </c>
      <c r="I34" s="50">
        <v>22</v>
      </c>
      <c r="J34" s="50">
        <v>3</v>
      </c>
      <c r="K34" s="50">
        <v>10</v>
      </c>
      <c r="L34" s="50">
        <v>4</v>
      </c>
      <c r="M34" s="50">
        <v>43</v>
      </c>
      <c r="N34" s="50">
        <v>0</v>
      </c>
      <c r="O34" s="15">
        <f t="shared" si="0"/>
        <v>152</v>
      </c>
      <c r="P34" s="15">
        <f t="shared" si="1"/>
        <v>195</v>
      </c>
      <c r="R34" s="38" t="s">
        <v>90</v>
      </c>
      <c r="S34" s="39">
        <f t="shared" ref="S34:AF34" si="26">MAX(S10:S12)</f>
        <v>216</v>
      </c>
      <c r="T34" s="39">
        <f t="shared" si="26"/>
        <v>42</v>
      </c>
      <c r="U34" s="39">
        <f t="shared" si="26"/>
        <v>35</v>
      </c>
      <c r="V34" s="39">
        <f t="shared" si="26"/>
        <v>107</v>
      </c>
      <c r="W34" s="39">
        <f t="shared" si="26"/>
        <v>8</v>
      </c>
      <c r="X34" s="39">
        <f t="shared" si="26"/>
        <v>8</v>
      </c>
      <c r="Y34" s="39">
        <f t="shared" si="26"/>
        <v>60</v>
      </c>
      <c r="Z34" s="39">
        <f t="shared" si="26"/>
        <v>6</v>
      </c>
      <c r="AA34" s="39">
        <f t="shared" si="26"/>
        <v>7</v>
      </c>
      <c r="AB34" s="39">
        <f t="shared" si="26"/>
        <v>9</v>
      </c>
      <c r="AC34" s="39">
        <f t="shared" si="26"/>
        <v>116</v>
      </c>
      <c r="AD34" s="39">
        <f t="shared" si="26"/>
        <v>0</v>
      </c>
      <c r="AE34" s="40">
        <f t="shared" si="26"/>
        <v>464</v>
      </c>
      <c r="AF34" s="40">
        <f t="shared" si="26"/>
        <v>572</v>
      </c>
    </row>
    <row r="35" spans="2:32" ht="23.1" customHeight="1" x14ac:dyDescent="0.25">
      <c r="B35" s="46" t="s">
        <v>62</v>
      </c>
      <c r="C35" s="50">
        <v>88</v>
      </c>
      <c r="D35" s="50">
        <v>11</v>
      </c>
      <c r="E35" s="50">
        <v>13</v>
      </c>
      <c r="F35" s="50">
        <v>51</v>
      </c>
      <c r="G35" s="50">
        <v>1</v>
      </c>
      <c r="H35" s="50">
        <v>3</v>
      </c>
      <c r="I35" s="50">
        <v>20</v>
      </c>
      <c r="J35" s="50">
        <v>3</v>
      </c>
      <c r="K35" s="50">
        <v>2</v>
      </c>
      <c r="L35" s="50">
        <v>2</v>
      </c>
      <c r="M35" s="50">
        <v>23</v>
      </c>
      <c r="N35" s="50">
        <v>0</v>
      </c>
      <c r="O35" s="15">
        <f t="shared" si="0"/>
        <v>194</v>
      </c>
      <c r="P35" s="15">
        <f t="shared" si="1"/>
        <v>217</v>
      </c>
      <c r="R35" s="38" t="s">
        <v>91</v>
      </c>
      <c r="S35" s="39">
        <f t="shared" ref="S35:AF35" si="27">MAX(S13:S18)</f>
        <v>302</v>
      </c>
      <c r="T35" s="39">
        <f t="shared" si="27"/>
        <v>47</v>
      </c>
      <c r="U35" s="39">
        <f t="shared" si="27"/>
        <v>45</v>
      </c>
      <c r="V35" s="39">
        <f t="shared" si="27"/>
        <v>189</v>
      </c>
      <c r="W35" s="39">
        <f t="shared" si="27"/>
        <v>21</v>
      </c>
      <c r="X35" s="39">
        <f t="shared" si="27"/>
        <v>10</v>
      </c>
      <c r="Y35" s="39">
        <f t="shared" si="27"/>
        <v>107</v>
      </c>
      <c r="Z35" s="39">
        <f t="shared" si="27"/>
        <v>28</v>
      </c>
      <c r="AA35" s="39">
        <f t="shared" si="27"/>
        <v>19</v>
      </c>
      <c r="AB35" s="39">
        <f t="shared" si="27"/>
        <v>14</v>
      </c>
      <c r="AC35" s="39">
        <f t="shared" si="27"/>
        <v>169</v>
      </c>
      <c r="AD35" s="39">
        <f t="shared" si="27"/>
        <v>0</v>
      </c>
      <c r="AE35" s="40">
        <f t="shared" si="27"/>
        <v>697</v>
      </c>
      <c r="AF35" s="40">
        <f t="shared" si="27"/>
        <v>845</v>
      </c>
    </row>
    <row r="36" spans="2:32" ht="23.1" customHeight="1" x14ac:dyDescent="0.25">
      <c r="B36" s="46" t="s">
        <v>63</v>
      </c>
      <c r="C36" s="50">
        <v>45</v>
      </c>
      <c r="D36" s="50">
        <v>10</v>
      </c>
      <c r="E36" s="50">
        <v>5</v>
      </c>
      <c r="F36" s="50">
        <v>27</v>
      </c>
      <c r="G36" s="50">
        <v>1</v>
      </c>
      <c r="H36" s="50">
        <v>0</v>
      </c>
      <c r="I36" s="50">
        <v>20</v>
      </c>
      <c r="J36" s="50">
        <v>1</v>
      </c>
      <c r="K36" s="50">
        <v>2</v>
      </c>
      <c r="L36" s="50">
        <v>4</v>
      </c>
      <c r="M36" s="50">
        <v>20</v>
      </c>
      <c r="N36" s="50">
        <v>0</v>
      </c>
      <c r="O36" s="15">
        <f t="shared" si="0"/>
        <v>115</v>
      </c>
      <c r="P36" s="15">
        <f t="shared" si="1"/>
        <v>135</v>
      </c>
      <c r="R36" s="38" t="s">
        <v>92</v>
      </c>
      <c r="S36" s="39">
        <f t="shared" ref="S36:AF36" si="28">MAX(S19:S21)</f>
        <v>162</v>
      </c>
      <c r="T36" s="39">
        <f t="shared" si="28"/>
        <v>23</v>
      </c>
      <c r="U36" s="39">
        <f t="shared" si="28"/>
        <v>26</v>
      </c>
      <c r="V36" s="39">
        <f t="shared" si="28"/>
        <v>183</v>
      </c>
      <c r="W36" s="39">
        <f t="shared" si="28"/>
        <v>9</v>
      </c>
      <c r="X36" s="39">
        <f t="shared" si="28"/>
        <v>12</v>
      </c>
      <c r="Y36" s="39">
        <f t="shared" si="28"/>
        <v>119</v>
      </c>
      <c r="Z36" s="39">
        <f t="shared" si="28"/>
        <v>35</v>
      </c>
      <c r="AA36" s="39">
        <f t="shared" si="28"/>
        <v>28</v>
      </c>
      <c r="AB36" s="39">
        <f t="shared" si="28"/>
        <v>18</v>
      </c>
      <c r="AC36" s="39">
        <f t="shared" si="28"/>
        <v>134</v>
      </c>
      <c r="AD36" s="39">
        <f t="shared" si="28"/>
        <v>0</v>
      </c>
      <c r="AE36" s="40">
        <f t="shared" si="28"/>
        <v>601</v>
      </c>
      <c r="AF36" s="40">
        <f t="shared" si="28"/>
        <v>735</v>
      </c>
    </row>
    <row r="37" spans="2:32" ht="23.1" customHeight="1" x14ac:dyDescent="0.25">
      <c r="B37" s="45" t="s">
        <v>64</v>
      </c>
      <c r="C37" s="50">
        <v>69</v>
      </c>
      <c r="D37" s="50">
        <v>7</v>
      </c>
      <c r="E37" s="50">
        <v>12</v>
      </c>
      <c r="F37" s="50">
        <v>32</v>
      </c>
      <c r="G37" s="50">
        <v>3</v>
      </c>
      <c r="H37" s="50">
        <v>3</v>
      </c>
      <c r="I37" s="50">
        <v>28</v>
      </c>
      <c r="J37" s="50">
        <v>5</v>
      </c>
      <c r="K37" s="50">
        <v>5</v>
      </c>
      <c r="L37" s="50">
        <v>4</v>
      </c>
      <c r="M37" s="50">
        <v>31</v>
      </c>
      <c r="N37" s="50">
        <v>0</v>
      </c>
      <c r="O37" s="15">
        <f t="shared" si="0"/>
        <v>168</v>
      </c>
      <c r="P37" s="15">
        <f t="shared" si="1"/>
        <v>199</v>
      </c>
      <c r="R37" s="37" t="s">
        <v>85</v>
      </c>
      <c r="S37" s="35">
        <f t="shared" ref="S37:AF37" si="29">SUM(S10:S12)</f>
        <v>569</v>
      </c>
      <c r="T37" s="16">
        <f t="shared" si="29"/>
        <v>117</v>
      </c>
      <c r="U37" s="16">
        <f t="shared" si="29"/>
        <v>94</v>
      </c>
      <c r="V37" s="16">
        <f t="shared" si="29"/>
        <v>286</v>
      </c>
      <c r="W37" s="16">
        <f t="shared" si="29"/>
        <v>15</v>
      </c>
      <c r="X37" s="16">
        <f t="shared" si="29"/>
        <v>17</v>
      </c>
      <c r="Y37" s="16">
        <f t="shared" si="29"/>
        <v>158</v>
      </c>
      <c r="Z37" s="16">
        <f t="shared" si="29"/>
        <v>14</v>
      </c>
      <c r="AA37" s="16">
        <f t="shared" si="29"/>
        <v>16</v>
      </c>
      <c r="AB37" s="16">
        <f t="shared" si="29"/>
        <v>21</v>
      </c>
      <c r="AC37" s="16">
        <f t="shared" si="29"/>
        <v>308</v>
      </c>
      <c r="AD37" s="16">
        <f t="shared" si="29"/>
        <v>0</v>
      </c>
      <c r="AE37" s="32">
        <f t="shared" si="29"/>
        <v>1307</v>
      </c>
      <c r="AF37" s="32">
        <f t="shared" si="29"/>
        <v>1615</v>
      </c>
    </row>
    <row r="38" spans="2:32" ht="23.1" customHeight="1" x14ac:dyDescent="0.25">
      <c r="B38" s="46" t="s">
        <v>65</v>
      </c>
      <c r="C38" s="50">
        <v>48</v>
      </c>
      <c r="D38" s="50">
        <v>9</v>
      </c>
      <c r="E38" s="50">
        <v>8</v>
      </c>
      <c r="F38" s="50">
        <v>31</v>
      </c>
      <c r="G38" s="50">
        <v>2</v>
      </c>
      <c r="H38" s="50">
        <v>3</v>
      </c>
      <c r="I38" s="50">
        <v>18</v>
      </c>
      <c r="J38" s="50">
        <v>5</v>
      </c>
      <c r="K38" s="50">
        <v>7</v>
      </c>
      <c r="L38" s="50">
        <v>2</v>
      </c>
      <c r="M38" s="50">
        <v>30</v>
      </c>
      <c r="N38" s="50">
        <v>0</v>
      </c>
      <c r="O38" s="15">
        <f t="shared" si="0"/>
        <v>133</v>
      </c>
      <c r="P38" s="15">
        <f t="shared" si="1"/>
        <v>163</v>
      </c>
      <c r="R38" s="28" t="s">
        <v>86</v>
      </c>
      <c r="S38" s="16">
        <f t="shared" ref="S38:AF38" si="30">SUM(S13:S18)</f>
        <v>1409</v>
      </c>
      <c r="T38" s="16">
        <f t="shared" si="30"/>
        <v>193</v>
      </c>
      <c r="U38" s="16">
        <f t="shared" si="30"/>
        <v>200</v>
      </c>
      <c r="V38" s="16">
        <f t="shared" si="30"/>
        <v>824</v>
      </c>
      <c r="W38" s="16">
        <f t="shared" si="30"/>
        <v>60</v>
      </c>
      <c r="X38" s="16">
        <f t="shared" si="30"/>
        <v>45</v>
      </c>
      <c r="Y38" s="16">
        <f t="shared" si="30"/>
        <v>509</v>
      </c>
      <c r="Z38" s="16">
        <f t="shared" si="30"/>
        <v>102</v>
      </c>
      <c r="AA38" s="16">
        <f t="shared" si="30"/>
        <v>75</v>
      </c>
      <c r="AB38" s="16">
        <f t="shared" si="30"/>
        <v>57</v>
      </c>
      <c r="AC38" s="16">
        <f t="shared" si="30"/>
        <v>715</v>
      </c>
      <c r="AD38" s="16">
        <f t="shared" si="30"/>
        <v>0</v>
      </c>
      <c r="AE38" s="32">
        <f t="shared" si="30"/>
        <v>3474</v>
      </c>
      <c r="AF38" s="32">
        <f t="shared" si="30"/>
        <v>4189</v>
      </c>
    </row>
    <row r="39" spans="2:32" ht="23.1" customHeight="1" x14ac:dyDescent="0.25">
      <c r="B39" s="46" t="s">
        <v>66</v>
      </c>
      <c r="C39" s="50">
        <v>44</v>
      </c>
      <c r="D39" s="50">
        <v>4</v>
      </c>
      <c r="E39" s="50">
        <v>6</v>
      </c>
      <c r="F39" s="50">
        <v>34</v>
      </c>
      <c r="G39" s="50">
        <v>1</v>
      </c>
      <c r="H39" s="50">
        <v>3</v>
      </c>
      <c r="I39" s="50">
        <v>13</v>
      </c>
      <c r="J39" s="50">
        <v>9</v>
      </c>
      <c r="K39" s="50">
        <v>0</v>
      </c>
      <c r="L39" s="50">
        <v>3</v>
      </c>
      <c r="M39" s="50">
        <v>20</v>
      </c>
      <c r="N39" s="50">
        <v>0</v>
      </c>
      <c r="O39" s="15">
        <f t="shared" si="0"/>
        <v>117</v>
      </c>
      <c r="P39" s="15">
        <f t="shared" si="1"/>
        <v>137</v>
      </c>
      <c r="R39" s="29" t="s">
        <v>87</v>
      </c>
      <c r="S39" s="16">
        <f t="shared" ref="S39:AF39" si="31">SUM(S19:S21)</f>
        <v>445</v>
      </c>
      <c r="T39" s="16">
        <f t="shared" si="31"/>
        <v>55</v>
      </c>
      <c r="U39" s="16">
        <f t="shared" si="31"/>
        <v>51</v>
      </c>
      <c r="V39" s="16">
        <f t="shared" si="31"/>
        <v>454</v>
      </c>
      <c r="W39" s="16">
        <f t="shared" si="31"/>
        <v>21</v>
      </c>
      <c r="X39" s="16">
        <f t="shared" si="31"/>
        <v>26</v>
      </c>
      <c r="Y39" s="16">
        <f t="shared" si="31"/>
        <v>256</v>
      </c>
      <c r="Z39" s="16">
        <f t="shared" si="31"/>
        <v>68</v>
      </c>
      <c r="AA39" s="16">
        <f t="shared" si="31"/>
        <v>59</v>
      </c>
      <c r="AB39" s="16">
        <f t="shared" si="31"/>
        <v>35</v>
      </c>
      <c r="AC39" s="16">
        <f t="shared" si="31"/>
        <v>330</v>
      </c>
      <c r="AD39" s="16">
        <f t="shared" si="31"/>
        <v>0</v>
      </c>
      <c r="AE39" s="32">
        <f t="shared" si="31"/>
        <v>1470</v>
      </c>
      <c r="AF39" s="32">
        <f t="shared" si="31"/>
        <v>1800</v>
      </c>
    </row>
    <row r="40" spans="2:32" ht="23.1" customHeight="1" x14ac:dyDescent="0.25">
      <c r="B40" s="46" t="s">
        <v>67</v>
      </c>
      <c r="C40" s="50">
        <v>49</v>
      </c>
      <c r="D40" s="50">
        <v>4</v>
      </c>
      <c r="E40" s="50">
        <v>6</v>
      </c>
      <c r="F40" s="50">
        <v>35</v>
      </c>
      <c r="G40" s="50">
        <v>1</v>
      </c>
      <c r="H40" s="50">
        <v>1</v>
      </c>
      <c r="I40" s="50">
        <v>23</v>
      </c>
      <c r="J40" s="50">
        <v>5</v>
      </c>
      <c r="K40" s="50">
        <v>4</v>
      </c>
      <c r="L40" s="50">
        <v>1</v>
      </c>
      <c r="M40" s="50">
        <v>10</v>
      </c>
      <c r="N40" s="50">
        <v>0</v>
      </c>
      <c r="O40" s="15">
        <f t="shared" si="0"/>
        <v>129</v>
      </c>
      <c r="P40" s="15">
        <f t="shared" si="1"/>
        <v>139</v>
      </c>
      <c r="R40" s="5" t="s">
        <v>17</v>
      </c>
      <c r="S40" s="16">
        <f t="shared" ref="S40:AF40" si="32">SUM(S10:S21)</f>
        <v>2423</v>
      </c>
      <c r="T40" s="16">
        <f t="shared" si="32"/>
        <v>365</v>
      </c>
      <c r="U40" s="16">
        <f t="shared" si="32"/>
        <v>345</v>
      </c>
      <c r="V40" s="16">
        <f t="shared" si="32"/>
        <v>1564</v>
      </c>
      <c r="W40" s="16">
        <f t="shared" si="32"/>
        <v>96</v>
      </c>
      <c r="X40" s="16">
        <f t="shared" si="32"/>
        <v>88</v>
      </c>
      <c r="Y40" s="16">
        <f t="shared" si="32"/>
        <v>923</v>
      </c>
      <c r="Z40" s="16">
        <f t="shared" si="32"/>
        <v>184</v>
      </c>
      <c r="AA40" s="16">
        <f t="shared" si="32"/>
        <v>150</v>
      </c>
      <c r="AB40" s="16">
        <f t="shared" si="32"/>
        <v>113</v>
      </c>
      <c r="AC40" s="16">
        <f t="shared" si="32"/>
        <v>1353</v>
      </c>
      <c r="AD40" s="16">
        <f t="shared" si="32"/>
        <v>0</v>
      </c>
      <c r="AE40" s="32">
        <f t="shared" si="32"/>
        <v>6251</v>
      </c>
      <c r="AF40" s="32">
        <f t="shared" si="32"/>
        <v>7604</v>
      </c>
    </row>
    <row r="41" spans="2:32" ht="23.1" customHeight="1" x14ac:dyDescent="0.25">
      <c r="B41" s="45" t="s">
        <v>68</v>
      </c>
      <c r="C41" s="50">
        <v>41</v>
      </c>
      <c r="D41" s="50">
        <v>5</v>
      </c>
      <c r="E41" s="50">
        <v>8</v>
      </c>
      <c r="F41" s="50">
        <v>20</v>
      </c>
      <c r="G41" s="50">
        <v>1</v>
      </c>
      <c r="H41" s="50">
        <v>2</v>
      </c>
      <c r="I41" s="50">
        <v>15</v>
      </c>
      <c r="J41" s="50">
        <v>5</v>
      </c>
      <c r="K41" s="50">
        <v>4</v>
      </c>
      <c r="L41" s="50">
        <v>4</v>
      </c>
      <c r="M41" s="50">
        <v>12</v>
      </c>
      <c r="N41" s="50">
        <v>0</v>
      </c>
      <c r="O41" s="15">
        <f t="shared" si="0"/>
        <v>105</v>
      </c>
      <c r="P41" s="15">
        <f t="shared" si="1"/>
        <v>117</v>
      </c>
      <c r="R41" s="5" t="s">
        <v>159</v>
      </c>
      <c r="S41" s="16">
        <f>SUM(S10:S33)</f>
        <v>2958</v>
      </c>
      <c r="T41" s="16">
        <f t="shared" ref="T41:AF41" si="33">SUM(T10:T33)</f>
        <v>464</v>
      </c>
      <c r="U41" s="16">
        <f t="shared" si="33"/>
        <v>410</v>
      </c>
      <c r="V41" s="16">
        <f t="shared" si="33"/>
        <v>2006</v>
      </c>
      <c r="W41" s="16">
        <f t="shared" si="33"/>
        <v>123</v>
      </c>
      <c r="X41" s="16">
        <f t="shared" si="33"/>
        <v>151</v>
      </c>
      <c r="Y41" s="16">
        <f t="shared" si="33"/>
        <v>1429</v>
      </c>
      <c r="Z41" s="16">
        <f t="shared" si="33"/>
        <v>390</v>
      </c>
      <c r="AA41" s="16">
        <f t="shared" si="33"/>
        <v>236</v>
      </c>
      <c r="AB41" s="16">
        <f t="shared" si="33"/>
        <v>137</v>
      </c>
      <c r="AC41" s="16">
        <f t="shared" si="33"/>
        <v>1834</v>
      </c>
      <c r="AD41" s="16">
        <f t="shared" si="33"/>
        <v>0</v>
      </c>
      <c r="AE41" s="32">
        <f t="shared" si="33"/>
        <v>8304</v>
      </c>
      <c r="AF41" s="32">
        <f t="shared" si="33"/>
        <v>10138</v>
      </c>
    </row>
    <row r="42" spans="2:32" ht="23.1" customHeight="1" x14ac:dyDescent="0.25">
      <c r="B42" s="46" t="s">
        <v>69</v>
      </c>
      <c r="C42" s="50">
        <v>45</v>
      </c>
      <c r="D42" s="50">
        <v>0</v>
      </c>
      <c r="E42" s="50">
        <v>6</v>
      </c>
      <c r="F42" s="50">
        <v>20</v>
      </c>
      <c r="G42" s="50">
        <v>1</v>
      </c>
      <c r="H42" s="50">
        <v>0</v>
      </c>
      <c r="I42" s="50">
        <v>16</v>
      </c>
      <c r="J42" s="50">
        <v>8</v>
      </c>
      <c r="K42" s="50">
        <v>1</v>
      </c>
      <c r="L42" s="50">
        <v>2</v>
      </c>
      <c r="M42" s="50">
        <v>16</v>
      </c>
      <c r="N42" s="50">
        <v>0</v>
      </c>
      <c r="O42" s="15">
        <f t="shared" si="0"/>
        <v>99</v>
      </c>
      <c r="P42" s="15">
        <f t="shared" si="1"/>
        <v>115</v>
      </c>
      <c r="R42" s="5" t="s">
        <v>160</v>
      </c>
      <c r="S42" s="48">
        <f>S41/S40</f>
        <v>1.2208006603384234</v>
      </c>
      <c r="T42" s="48">
        <f t="shared" ref="T42:AF42" si="34">T41/T40</f>
        <v>1.2712328767123289</v>
      </c>
      <c r="U42" s="48">
        <f t="shared" si="34"/>
        <v>1.1884057971014492</v>
      </c>
      <c r="V42" s="48">
        <f t="shared" si="34"/>
        <v>1.2826086956521738</v>
      </c>
      <c r="W42" s="48">
        <f t="shared" si="34"/>
        <v>1.28125</v>
      </c>
      <c r="X42" s="48">
        <f t="shared" si="34"/>
        <v>1.7159090909090908</v>
      </c>
      <c r="Y42" s="48">
        <f t="shared" si="34"/>
        <v>1.5482123510292525</v>
      </c>
      <c r="Z42" s="48">
        <f t="shared" si="34"/>
        <v>2.1195652173913042</v>
      </c>
      <c r="AA42" s="48">
        <f t="shared" si="34"/>
        <v>1.5733333333333333</v>
      </c>
      <c r="AB42" s="48">
        <f t="shared" si="34"/>
        <v>1.2123893805309736</v>
      </c>
      <c r="AC42" s="48">
        <f t="shared" si="34"/>
        <v>1.3555062823355506</v>
      </c>
      <c r="AD42" s="48" t="e">
        <f t="shared" si="34"/>
        <v>#DIV/0!</v>
      </c>
      <c r="AE42" s="48">
        <f t="shared" si="34"/>
        <v>1.3284274516077428</v>
      </c>
      <c r="AF42" s="48">
        <f t="shared" si="34"/>
        <v>1.3332456601788532</v>
      </c>
    </row>
    <row r="43" spans="2:32" ht="23.1" customHeight="1" x14ac:dyDescent="0.25">
      <c r="B43" s="45" t="s">
        <v>70</v>
      </c>
      <c r="C43" s="50">
        <v>45</v>
      </c>
      <c r="D43" s="50">
        <v>6</v>
      </c>
      <c r="E43" s="50">
        <v>7</v>
      </c>
      <c r="F43" s="50">
        <v>18</v>
      </c>
      <c r="G43" s="50">
        <v>0</v>
      </c>
      <c r="H43" s="50">
        <v>0</v>
      </c>
      <c r="I43" s="50">
        <v>13</v>
      </c>
      <c r="J43" s="50">
        <v>6</v>
      </c>
      <c r="K43" s="50">
        <v>6</v>
      </c>
      <c r="L43" s="50">
        <v>1</v>
      </c>
      <c r="M43" s="50">
        <v>20</v>
      </c>
      <c r="N43" s="50">
        <v>0</v>
      </c>
      <c r="O43" s="15">
        <f t="shared" si="0"/>
        <v>102</v>
      </c>
      <c r="P43" s="15">
        <f t="shared" si="1"/>
        <v>122</v>
      </c>
    </row>
    <row r="44" spans="2:32" ht="23.1" customHeight="1" x14ac:dyDescent="0.25">
      <c r="B44" s="47" t="s">
        <v>71</v>
      </c>
      <c r="C44" s="50">
        <v>34</v>
      </c>
      <c r="D44" s="50">
        <v>2</v>
      </c>
      <c r="E44" s="50">
        <v>2</v>
      </c>
      <c r="F44" s="50">
        <v>21</v>
      </c>
      <c r="G44" s="50">
        <v>1</v>
      </c>
      <c r="H44" s="50">
        <v>2</v>
      </c>
      <c r="I44" s="50">
        <v>18</v>
      </c>
      <c r="J44" s="50">
        <v>4</v>
      </c>
      <c r="K44" s="50">
        <v>0</v>
      </c>
      <c r="L44" s="50">
        <v>1</v>
      </c>
      <c r="M44" s="50">
        <v>11</v>
      </c>
      <c r="N44" s="50">
        <v>0</v>
      </c>
      <c r="O44" s="15">
        <f t="shared" si="0"/>
        <v>85</v>
      </c>
      <c r="P44" s="15">
        <f t="shared" si="1"/>
        <v>96</v>
      </c>
    </row>
    <row r="45" spans="2:32" ht="23.1" customHeight="1" x14ac:dyDescent="0.25">
      <c r="B45" s="45" t="s">
        <v>72</v>
      </c>
      <c r="C45" s="50">
        <v>40</v>
      </c>
      <c r="D45" s="50">
        <v>1</v>
      </c>
      <c r="E45" s="50">
        <v>11</v>
      </c>
      <c r="F45" s="50">
        <v>20</v>
      </c>
      <c r="G45" s="50">
        <v>1</v>
      </c>
      <c r="H45" s="50">
        <v>2</v>
      </c>
      <c r="I45" s="50">
        <v>12</v>
      </c>
      <c r="J45" s="50">
        <v>10</v>
      </c>
      <c r="K45" s="50">
        <v>1</v>
      </c>
      <c r="L45" s="50">
        <v>2</v>
      </c>
      <c r="M45" s="50">
        <v>19</v>
      </c>
      <c r="N45" s="50">
        <v>0</v>
      </c>
      <c r="O45" s="15">
        <f t="shared" si="0"/>
        <v>100</v>
      </c>
      <c r="P45" s="15">
        <f t="shared" si="1"/>
        <v>119</v>
      </c>
    </row>
    <row r="46" spans="2:32" ht="23.1" customHeight="1" x14ac:dyDescent="0.25">
      <c r="B46" s="46" t="s">
        <v>73</v>
      </c>
      <c r="C46" s="50">
        <v>47</v>
      </c>
      <c r="D46" s="50">
        <v>3</v>
      </c>
      <c r="E46" s="50">
        <v>2</v>
      </c>
      <c r="F46" s="50">
        <v>35</v>
      </c>
      <c r="G46" s="50">
        <v>2</v>
      </c>
      <c r="H46" s="50">
        <v>2</v>
      </c>
      <c r="I46" s="50">
        <v>15</v>
      </c>
      <c r="J46" s="50">
        <v>4</v>
      </c>
      <c r="K46" s="50">
        <v>3</v>
      </c>
      <c r="L46" s="50">
        <v>4</v>
      </c>
      <c r="M46" s="50">
        <v>29</v>
      </c>
      <c r="N46" s="50">
        <v>0</v>
      </c>
      <c r="O46" s="15">
        <f t="shared" si="0"/>
        <v>117</v>
      </c>
      <c r="P46" s="15">
        <f t="shared" si="1"/>
        <v>146</v>
      </c>
      <c r="R46" s="8"/>
      <c r="T46"/>
    </row>
    <row r="47" spans="2:32" ht="23.1" customHeight="1" x14ac:dyDescent="0.25">
      <c r="B47" s="46" t="s">
        <v>74</v>
      </c>
      <c r="C47" s="50">
        <v>43</v>
      </c>
      <c r="D47" s="50">
        <v>4</v>
      </c>
      <c r="E47" s="50">
        <v>4</v>
      </c>
      <c r="F47" s="50">
        <v>20</v>
      </c>
      <c r="G47" s="50">
        <v>0</v>
      </c>
      <c r="H47" s="50">
        <v>0</v>
      </c>
      <c r="I47" s="50">
        <v>18</v>
      </c>
      <c r="J47" s="50">
        <v>11</v>
      </c>
      <c r="K47" s="50">
        <v>2</v>
      </c>
      <c r="L47" s="50">
        <v>0</v>
      </c>
      <c r="M47" s="50">
        <v>15</v>
      </c>
      <c r="N47" s="50">
        <v>0</v>
      </c>
      <c r="O47" s="15">
        <f t="shared" si="0"/>
        <v>102</v>
      </c>
      <c r="P47" s="15">
        <f t="shared" si="1"/>
        <v>117</v>
      </c>
      <c r="R47" s="8"/>
      <c r="T47"/>
    </row>
    <row r="48" spans="2:32" ht="23.1" customHeight="1" x14ac:dyDescent="0.25">
      <c r="B48" s="46" t="s">
        <v>75</v>
      </c>
      <c r="C48" s="50">
        <v>30</v>
      </c>
      <c r="D48" s="50">
        <v>4</v>
      </c>
      <c r="E48" s="50">
        <v>9</v>
      </c>
      <c r="F48" s="50">
        <v>41</v>
      </c>
      <c r="G48" s="50">
        <v>3</v>
      </c>
      <c r="H48" s="50">
        <v>4</v>
      </c>
      <c r="I48" s="50">
        <v>25</v>
      </c>
      <c r="J48" s="50">
        <v>5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121</v>
      </c>
      <c r="P48" s="15">
        <f t="shared" si="1"/>
        <v>140</v>
      </c>
      <c r="R48" s="8"/>
      <c r="T48"/>
    </row>
    <row r="49" spans="2:20" ht="23.1" customHeight="1" x14ac:dyDescent="0.25">
      <c r="B49" s="45" t="s">
        <v>76</v>
      </c>
      <c r="C49" s="50">
        <v>19</v>
      </c>
      <c r="D49" s="50">
        <v>6</v>
      </c>
      <c r="E49" s="50">
        <v>2</v>
      </c>
      <c r="F49" s="50">
        <v>27</v>
      </c>
      <c r="G49" s="50">
        <v>2</v>
      </c>
      <c r="H49" s="50">
        <v>2</v>
      </c>
      <c r="I49" s="50">
        <v>12</v>
      </c>
      <c r="J49" s="50">
        <v>7</v>
      </c>
      <c r="K49" s="50">
        <v>3</v>
      </c>
      <c r="L49" s="50">
        <v>3</v>
      </c>
      <c r="M49" s="50">
        <v>22</v>
      </c>
      <c r="N49" s="50">
        <v>0</v>
      </c>
      <c r="O49" s="15">
        <f t="shared" si="0"/>
        <v>83</v>
      </c>
      <c r="P49" s="15">
        <f t="shared" si="1"/>
        <v>105</v>
      </c>
      <c r="R49" s="8"/>
      <c r="T49"/>
    </row>
    <row r="50" spans="2:20" ht="23.1" customHeight="1" x14ac:dyDescent="0.25">
      <c r="B50" s="46" t="s">
        <v>77</v>
      </c>
      <c r="C50" s="50">
        <v>35</v>
      </c>
      <c r="D50" s="50">
        <v>3</v>
      </c>
      <c r="E50" s="50">
        <v>4</v>
      </c>
      <c r="F50" s="50">
        <v>27</v>
      </c>
      <c r="G50" s="50">
        <v>0</v>
      </c>
      <c r="H50" s="50">
        <v>2</v>
      </c>
      <c r="I50" s="50">
        <v>15</v>
      </c>
      <c r="J50" s="50">
        <v>1</v>
      </c>
      <c r="K50" s="50">
        <v>1</v>
      </c>
      <c r="L50" s="50">
        <v>7</v>
      </c>
      <c r="M50" s="50">
        <v>15</v>
      </c>
      <c r="N50" s="50">
        <v>0</v>
      </c>
      <c r="O50" s="15">
        <f t="shared" si="0"/>
        <v>95</v>
      </c>
      <c r="P50" s="15">
        <f t="shared" si="1"/>
        <v>110</v>
      </c>
      <c r="R50" s="8"/>
      <c r="T50"/>
    </row>
    <row r="51" spans="2:20" ht="23.1" customHeight="1" x14ac:dyDescent="0.25">
      <c r="B51" s="46" t="s">
        <v>78</v>
      </c>
      <c r="C51" s="50">
        <v>39</v>
      </c>
      <c r="D51" s="50">
        <v>6</v>
      </c>
      <c r="E51" s="50">
        <v>1</v>
      </c>
      <c r="F51" s="50">
        <v>49</v>
      </c>
      <c r="G51" s="50">
        <v>1</v>
      </c>
      <c r="H51" s="50">
        <v>2</v>
      </c>
      <c r="I51" s="50">
        <v>28</v>
      </c>
      <c r="J51" s="50">
        <v>1</v>
      </c>
      <c r="K51" s="50">
        <v>6</v>
      </c>
      <c r="L51" s="50">
        <v>2</v>
      </c>
      <c r="M51" s="50">
        <v>25</v>
      </c>
      <c r="N51" s="50">
        <v>0</v>
      </c>
      <c r="O51" s="15">
        <f t="shared" si="0"/>
        <v>135</v>
      </c>
      <c r="P51" s="15">
        <f t="shared" si="1"/>
        <v>160</v>
      </c>
      <c r="R51" s="8"/>
      <c r="T51"/>
    </row>
    <row r="52" spans="2:20" ht="23.1" customHeight="1" x14ac:dyDescent="0.25">
      <c r="B52" s="46" t="s">
        <v>79</v>
      </c>
      <c r="C52" s="50">
        <v>45</v>
      </c>
      <c r="D52" s="50">
        <v>3</v>
      </c>
      <c r="E52" s="50">
        <v>0</v>
      </c>
      <c r="F52" s="50">
        <v>45</v>
      </c>
      <c r="G52" s="50">
        <v>4</v>
      </c>
      <c r="H52" s="50">
        <v>4</v>
      </c>
      <c r="I52" s="50">
        <v>7</v>
      </c>
      <c r="J52" s="50">
        <v>4</v>
      </c>
      <c r="K52" s="50">
        <v>10</v>
      </c>
      <c r="L52" s="50">
        <v>6</v>
      </c>
      <c r="M52" s="50">
        <v>45</v>
      </c>
      <c r="N52" s="50">
        <v>0</v>
      </c>
      <c r="O52" s="15">
        <f t="shared" si="0"/>
        <v>128</v>
      </c>
      <c r="P52" s="15">
        <f t="shared" si="1"/>
        <v>173</v>
      </c>
      <c r="R52" s="8"/>
      <c r="T52"/>
    </row>
    <row r="53" spans="2:20" ht="23.1" customHeight="1" x14ac:dyDescent="0.25">
      <c r="B53" s="45" t="s">
        <v>80</v>
      </c>
      <c r="C53" s="50">
        <v>25</v>
      </c>
      <c r="D53" s="50">
        <v>3</v>
      </c>
      <c r="E53" s="50">
        <v>3</v>
      </c>
      <c r="F53" s="50">
        <v>27</v>
      </c>
      <c r="G53" s="50">
        <v>0</v>
      </c>
      <c r="H53" s="50">
        <v>4</v>
      </c>
      <c r="I53" s="50">
        <v>17</v>
      </c>
      <c r="J53" s="50">
        <v>0</v>
      </c>
      <c r="K53" s="50">
        <v>6</v>
      </c>
      <c r="L53" s="50">
        <v>3</v>
      </c>
      <c r="M53" s="50">
        <v>26</v>
      </c>
      <c r="N53" s="50">
        <v>0</v>
      </c>
      <c r="O53" s="15">
        <f t="shared" si="0"/>
        <v>88</v>
      </c>
      <c r="P53" s="15">
        <f t="shared" si="1"/>
        <v>114</v>
      </c>
      <c r="R53" s="8"/>
      <c r="T53"/>
    </row>
    <row r="54" spans="2:20" ht="23.1" customHeight="1" x14ac:dyDescent="0.25">
      <c r="B54" s="45" t="s">
        <v>81</v>
      </c>
      <c r="C54" s="50">
        <v>44</v>
      </c>
      <c r="D54" s="50">
        <v>4</v>
      </c>
      <c r="E54" s="50">
        <v>8</v>
      </c>
      <c r="F54" s="50">
        <v>42</v>
      </c>
      <c r="G54" s="50">
        <v>2</v>
      </c>
      <c r="H54" s="50">
        <v>4</v>
      </c>
      <c r="I54" s="50">
        <v>35</v>
      </c>
      <c r="J54" s="50">
        <v>12</v>
      </c>
      <c r="K54" s="50">
        <v>2</v>
      </c>
      <c r="L54" s="50">
        <v>5</v>
      </c>
      <c r="M54" s="50">
        <v>33</v>
      </c>
      <c r="N54" s="50">
        <v>0</v>
      </c>
      <c r="O54" s="15">
        <f t="shared" si="0"/>
        <v>158</v>
      </c>
      <c r="P54" s="15">
        <f t="shared" si="1"/>
        <v>191</v>
      </c>
      <c r="R54" s="8"/>
      <c r="T54"/>
    </row>
    <row r="55" spans="2:20" ht="23.1" customHeight="1" x14ac:dyDescent="0.25">
      <c r="B55" s="45" t="s">
        <v>82</v>
      </c>
      <c r="C55" s="50">
        <v>62</v>
      </c>
      <c r="D55" s="50">
        <v>8</v>
      </c>
      <c r="E55" s="50">
        <v>4</v>
      </c>
      <c r="F55" s="50">
        <v>70</v>
      </c>
      <c r="G55" s="50">
        <v>5</v>
      </c>
      <c r="H55" s="50">
        <v>0</v>
      </c>
      <c r="I55" s="50">
        <v>38</v>
      </c>
      <c r="J55" s="50">
        <v>13</v>
      </c>
      <c r="K55" s="50">
        <v>4</v>
      </c>
      <c r="L55" s="50">
        <v>3</v>
      </c>
      <c r="M55" s="50">
        <v>42</v>
      </c>
      <c r="N55" s="50">
        <v>0</v>
      </c>
      <c r="O55" s="15">
        <f t="shared" si="0"/>
        <v>207</v>
      </c>
      <c r="P55" s="15">
        <f t="shared" si="1"/>
        <v>249</v>
      </c>
      <c r="R55" s="8"/>
      <c r="T55"/>
    </row>
    <row r="56" spans="2:20" ht="23.1" customHeight="1" x14ac:dyDescent="0.25">
      <c r="B56" s="45" t="s">
        <v>83</v>
      </c>
      <c r="C56" s="50">
        <v>32</v>
      </c>
      <c r="D56" s="50">
        <v>4</v>
      </c>
      <c r="E56" s="50">
        <v>7</v>
      </c>
      <c r="F56" s="50">
        <v>38</v>
      </c>
      <c r="G56" s="50">
        <v>2</v>
      </c>
      <c r="H56" s="50">
        <v>2</v>
      </c>
      <c r="I56" s="50">
        <v>24</v>
      </c>
      <c r="J56" s="50">
        <v>7</v>
      </c>
      <c r="K56" s="50">
        <v>14</v>
      </c>
      <c r="L56" s="50">
        <v>2</v>
      </c>
      <c r="M56" s="50">
        <v>32</v>
      </c>
      <c r="N56" s="50">
        <v>0</v>
      </c>
      <c r="O56" s="15">
        <f t="shared" si="0"/>
        <v>132</v>
      </c>
      <c r="P56" s="15">
        <f t="shared" si="1"/>
        <v>164</v>
      </c>
      <c r="R56" s="8"/>
      <c r="T56"/>
    </row>
    <row r="57" spans="2:20" ht="23.1" customHeight="1" x14ac:dyDescent="0.25">
      <c r="B57" s="45" t="s">
        <v>84</v>
      </c>
      <c r="C57" s="50">
        <v>24</v>
      </c>
      <c r="D57" s="50">
        <v>7</v>
      </c>
      <c r="E57" s="50">
        <v>7</v>
      </c>
      <c r="F57" s="50">
        <v>33</v>
      </c>
      <c r="G57" s="50">
        <v>0</v>
      </c>
      <c r="H57" s="50">
        <v>0</v>
      </c>
      <c r="I57" s="50">
        <v>22</v>
      </c>
      <c r="J57" s="50">
        <v>3</v>
      </c>
      <c r="K57" s="50">
        <v>8</v>
      </c>
      <c r="L57" s="50">
        <v>0</v>
      </c>
      <c r="M57" s="50">
        <v>27</v>
      </c>
      <c r="N57" s="50">
        <v>0</v>
      </c>
      <c r="O57" s="15">
        <f t="shared" si="0"/>
        <v>104</v>
      </c>
      <c r="P57" s="15">
        <f t="shared" si="1"/>
        <v>131</v>
      </c>
      <c r="R57" s="8"/>
      <c r="T57"/>
    </row>
    <row r="58" spans="2:20" ht="23.1" customHeight="1" x14ac:dyDescent="0.25">
      <c r="B58" s="45" t="s">
        <v>99</v>
      </c>
      <c r="C58" s="50">
        <v>13</v>
      </c>
      <c r="D58" s="50">
        <v>2</v>
      </c>
      <c r="E58" s="50">
        <v>3</v>
      </c>
      <c r="F58" s="50">
        <v>20</v>
      </c>
      <c r="G58" s="50">
        <v>0</v>
      </c>
      <c r="H58" s="50">
        <v>1</v>
      </c>
      <c r="I58" s="50">
        <v>9</v>
      </c>
      <c r="J58" s="50">
        <v>4</v>
      </c>
      <c r="K58" s="50">
        <v>2</v>
      </c>
      <c r="L58" s="50">
        <v>1</v>
      </c>
      <c r="M58" s="50">
        <v>13</v>
      </c>
      <c r="N58" s="50">
        <v>0</v>
      </c>
      <c r="O58" s="15">
        <f t="shared" si="0"/>
        <v>55</v>
      </c>
      <c r="P58" s="15">
        <f t="shared" si="1"/>
        <v>68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1</v>
      </c>
      <c r="E59" s="50">
        <v>3</v>
      </c>
      <c r="F59" s="50">
        <v>15</v>
      </c>
      <c r="G59" s="50">
        <v>1</v>
      </c>
      <c r="H59" s="50">
        <v>0</v>
      </c>
      <c r="I59" s="50">
        <v>20</v>
      </c>
      <c r="J59" s="50">
        <v>5</v>
      </c>
      <c r="K59" s="50">
        <v>5</v>
      </c>
      <c r="L59" s="50">
        <v>0</v>
      </c>
      <c r="M59" s="50">
        <v>25</v>
      </c>
      <c r="N59" s="50">
        <v>0</v>
      </c>
      <c r="O59" s="15">
        <f t="shared" si="0"/>
        <v>70</v>
      </c>
      <c r="P59" s="15">
        <f t="shared" si="1"/>
        <v>95</v>
      </c>
      <c r="R59" s="8"/>
      <c r="T59"/>
    </row>
    <row r="60" spans="2:20" ht="23.1" customHeight="1" x14ac:dyDescent="0.25">
      <c r="B60" s="45" t="s">
        <v>101</v>
      </c>
      <c r="C60" s="50">
        <v>11</v>
      </c>
      <c r="D60" s="50">
        <v>2</v>
      </c>
      <c r="E60" s="50">
        <v>1</v>
      </c>
      <c r="F60" s="50">
        <v>23</v>
      </c>
      <c r="G60" s="50">
        <v>0</v>
      </c>
      <c r="H60" s="50">
        <v>3</v>
      </c>
      <c r="I60" s="50">
        <v>17</v>
      </c>
      <c r="J60" s="50">
        <v>4</v>
      </c>
      <c r="K60" s="50">
        <v>2</v>
      </c>
      <c r="L60" s="50">
        <v>1</v>
      </c>
      <c r="M60" s="50">
        <v>18</v>
      </c>
      <c r="N60" s="50">
        <v>0</v>
      </c>
      <c r="O60" s="15">
        <f t="shared" si="0"/>
        <v>64</v>
      </c>
      <c r="P60" s="15">
        <f t="shared" si="1"/>
        <v>82</v>
      </c>
      <c r="R60" s="8"/>
      <c r="T60"/>
    </row>
    <row r="61" spans="2:20" ht="23.1" customHeight="1" x14ac:dyDescent="0.25">
      <c r="B61" s="45" t="s">
        <v>102</v>
      </c>
      <c r="C61" s="50">
        <v>17</v>
      </c>
      <c r="D61" s="50">
        <v>1</v>
      </c>
      <c r="E61" s="50">
        <v>2</v>
      </c>
      <c r="F61" s="50">
        <v>18</v>
      </c>
      <c r="G61" s="50">
        <v>1</v>
      </c>
      <c r="H61" s="50">
        <v>0</v>
      </c>
      <c r="I61" s="50">
        <v>18</v>
      </c>
      <c r="J61" s="50">
        <v>5</v>
      </c>
      <c r="K61" s="50">
        <v>4</v>
      </c>
      <c r="L61" s="50">
        <v>1</v>
      </c>
      <c r="M61" s="50">
        <v>17</v>
      </c>
      <c r="N61" s="50">
        <v>0</v>
      </c>
      <c r="O61" s="15">
        <f t="shared" si="0"/>
        <v>67</v>
      </c>
      <c r="P61" s="15">
        <f t="shared" si="1"/>
        <v>84</v>
      </c>
      <c r="R61" s="8"/>
      <c r="T61"/>
    </row>
    <row r="62" spans="2:20" ht="23.1" customHeight="1" x14ac:dyDescent="0.25">
      <c r="B62" s="45" t="s">
        <v>107</v>
      </c>
      <c r="C62" s="50">
        <v>12</v>
      </c>
      <c r="D62" s="50">
        <v>2</v>
      </c>
      <c r="E62" s="50">
        <v>2</v>
      </c>
      <c r="F62" s="50">
        <v>20</v>
      </c>
      <c r="G62" s="50">
        <v>1</v>
      </c>
      <c r="H62" s="50">
        <v>0</v>
      </c>
      <c r="I62" s="50">
        <v>11</v>
      </c>
      <c r="J62" s="50">
        <v>8</v>
      </c>
      <c r="K62" s="50">
        <v>2</v>
      </c>
      <c r="L62" s="50">
        <v>0</v>
      </c>
      <c r="M62" s="50">
        <v>16</v>
      </c>
      <c r="N62" s="50">
        <v>0</v>
      </c>
      <c r="O62" s="15">
        <f t="shared" si="0"/>
        <v>58</v>
      </c>
      <c r="P62" s="15">
        <f t="shared" si="1"/>
        <v>74</v>
      </c>
      <c r="R62" s="8"/>
      <c r="T62"/>
    </row>
    <row r="63" spans="2:20" ht="23.1" customHeight="1" x14ac:dyDescent="0.25">
      <c r="B63" s="45" t="s">
        <v>108</v>
      </c>
      <c r="C63" s="50">
        <v>12</v>
      </c>
      <c r="D63" s="50">
        <v>1</v>
      </c>
      <c r="E63" s="50">
        <v>3</v>
      </c>
      <c r="F63" s="50">
        <v>21</v>
      </c>
      <c r="G63" s="50">
        <v>0</v>
      </c>
      <c r="H63" s="50">
        <v>2</v>
      </c>
      <c r="I63" s="50">
        <v>10</v>
      </c>
      <c r="J63" s="50">
        <v>5</v>
      </c>
      <c r="K63" s="50">
        <v>2</v>
      </c>
      <c r="L63" s="50">
        <v>0</v>
      </c>
      <c r="M63" s="50">
        <v>31</v>
      </c>
      <c r="N63" s="50">
        <v>0</v>
      </c>
      <c r="O63" s="15">
        <f t="shared" si="0"/>
        <v>56</v>
      </c>
      <c r="P63" s="15">
        <f t="shared" si="1"/>
        <v>87</v>
      </c>
      <c r="R63" s="8"/>
      <c r="T63"/>
    </row>
    <row r="64" spans="2:20" ht="23.1" customHeight="1" x14ac:dyDescent="0.25">
      <c r="B64" s="45" t="s">
        <v>109</v>
      </c>
      <c r="C64" s="50">
        <v>13</v>
      </c>
      <c r="D64" s="50">
        <v>0</v>
      </c>
      <c r="E64" s="50">
        <v>2</v>
      </c>
      <c r="F64" s="50">
        <v>19</v>
      </c>
      <c r="G64" s="50">
        <v>1</v>
      </c>
      <c r="H64" s="50">
        <v>1</v>
      </c>
      <c r="I64" s="50">
        <v>12</v>
      </c>
      <c r="J64" s="50">
        <v>7</v>
      </c>
      <c r="K64" s="50">
        <v>2</v>
      </c>
      <c r="L64" s="50">
        <v>0</v>
      </c>
      <c r="M64" s="50">
        <v>34</v>
      </c>
      <c r="N64" s="50">
        <v>0</v>
      </c>
      <c r="O64" s="15">
        <f t="shared" si="0"/>
        <v>57</v>
      </c>
      <c r="P64" s="15">
        <f t="shared" si="1"/>
        <v>91</v>
      </c>
      <c r="R64" s="8"/>
      <c r="T64"/>
    </row>
    <row r="65" spans="2:20" ht="23.1" customHeight="1" x14ac:dyDescent="0.25">
      <c r="B65" s="45" t="s">
        <v>158</v>
      </c>
      <c r="C65" s="50">
        <v>20</v>
      </c>
      <c r="D65" s="50">
        <v>2</v>
      </c>
      <c r="E65" s="50">
        <v>3</v>
      </c>
      <c r="F65" s="50">
        <v>18</v>
      </c>
      <c r="G65" s="50">
        <v>1</v>
      </c>
      <c r="H65" s="50">
        <v>1</v>
      </c>
      <c r="I65" s="50">
        <v>13</v>
      </c>
      <c r="J65" s="50">
        <v>8</v>
      </c>
      <c r="K65" s="50">
        <v>2</v>
      </c>
      <c r="L65" s="50">
        <v>0</v>
      </c>
      <c r="M65" s="50">
        <v>26</v>
      </c>
      <c r="N65" s="50">
        <v>0</v>
      </c>
      <c r="O65" s="15">
        <f t="shared" si="0"/>
        <v>68</v>
      </c>
      <c r="P65" s="15">
        <f t="shared" si="1"/>
        <v>94</v>
      </c>
      <c r="R65" s="8"/>
      <c r="T65"/>
    </row>
    <row r="66" spans="2:20" ht="23.1" customHeight="1" x14ac:dyDescent="0.25">
      <c r="B66" s="45" t="s">
        <v>103</v>
      </c>
      <c r="C66" s="50">
        <v>23</v>
      </c>
      <c r="D66" s="50">
        <v>4</v>
      </c>
      <c r="E66" s="50">
        <v>1</v>
      </c>
      <c r="F66" s="50">
        <v>26</v>
      </c>
      <c r="G66" s="50">
        <v>1</v>
      </c>
      <c r="H66" s="50">
        <v>1</v>
      </c>
      <c r="I66" s="50">
        <v>11</v>
      </c>
      <c r="J66" s="50">
        <v>6</v>
      </c>
      <c r="K66" s="50">
        <v>1</v>
      </c>
      <c r="L66" s="50">
        <v>0</v>
      </c>
      <c r="M66" s="50">
        <v>16</v>
      </c>
      <c r="N66" s="50">
        <v>0</v>
      </c>
      <c r="O66" s="15">
        <f t="shared" si="0"/>
        <v>74</v>
      </c>
      <c r="P66" s="15">
        <f t="shared" si="1"/>
        <v>90</v>
      </c>
      <c r="R66" s="8"/>
      <c r="T66"/>
    </row>
    <row r="67" spans="2:20" ht="23.1" customHeight="1" x14ac:dyDescent="0.25">
      <c r="B67" s="45" t="s">
        <v>104</v>
      </c>
      <c r="C67" s="50">
        <v>17</v>
      </c>
      <c r="D67" s="50">
        <v>9</v>
      </c>
      <c r="E67" s="50">
        <v>3</v>
      </c>
      <c r="F67" s="50">
        <v>18</v>
      </c>
      <c r="G67" s="50">
        <v>2</v>
      </c>
      <c r="H67" s="50">
        <v>2</v>
      </c>
      <c r="I67" s="50">
        <v>16</v>
      </c>
      <c r="J67" s="50">
        <v>8</v>
      </c>
      <c r="K67" s="50">
        <v>2</v>
      </c>
      <c r="L67" s="50">
        <v>1</v>
      </c>
      <c r="M67" s="50">
        <v>20</v>
      </c>
      <c r="N67" s="50">
        <v>0</v>
      </c>
      <c r="O67" s="15">
        <f t="shared" si="0"/>
        <v>78</v>
      </c>
      <c r="P67" s="15">
        <f t="shared" si="1"/>
        <v>98</v>
      </c>
      <c r="R67" s="8"/>
      <c r="T67"/>
    </row>
    <row r="68" spans="2:20" ht="23.1" customHeight="1" x14ac:dyDescent="0.25">
      <c r="B68" s="45" t="s">
        <v>105</v>
      </c>
      <c r="C68" s="50">
        <v>19</v>
      </c>
      <c r="D68" s="50">
        <v>3</v>
      </c>
      <c r="E68" s="50">
        <v>2</v>
      </c>
      <c r="F68" s="50">
        <v>19</v>
      </c>
      <c r="G68" s="50">
        <v>3</v>
      </c>
      <c r="H68" s="50">
        <v>4</v>
      </c>
      <c r="I68" s="50">
        <v>13</v>
      </c>
      <c r="J68" s="50">
        <v>7</v>
      </c>
      <c r="K68" s="50">
        <v>4</v>
      </c>
      <c r="L68" s="50">
        <v>0</v>
      </c>
      <c r="M68" s="50">
        <v>28</v>
      </c>
      <c r="N68" s="50">
        <v>0</v>
      </c>
      <c r="O68" s="15">
        <f t="shared" si="0"/>
        <v>74</v>
      </c>
      <c r="P68" s="15">
        <f t="shared" si="1"/>
        <v>102</v>
      </c>
      <c r="R68" s="8"/>
      <c r="T68"/>
    </row>
    <row r="69" spans="2:20" ht="23.1" customHeight="1" x14ac:dyDescent="0.25">
      <c r="B69" s="45" t="s">
        <v>106</v>
      </c>
      <c r="C69" s="50">
        <v>19</v>
      </c>
      <c r="D69" s="50">
        <v>4</v>
      </c>
      <c r="E69" s="50">
        <v>1</v>
      </c>
      <c r="F69" s="50">
        <v>13</v>
      </c>
      <c r="G69" s="50">
        <v>0</v>
      </c>
      <c r="H69" s="50">
        <v>3</v>
      </c>
      <c r="I69" s="50">
        <v>8</v>
      </c>
      <c r="J69" s="50">
        <v>1</v>
      </c>
      <c r="K69" s="50">
        <v>1</v>
      </c>
      <c r="L69" s="50">
        <v>0</v>
      </c>
      <c r="M69" s="50">
        <v>20</v>
      </c>
      <c r="N69" s="50">
        <v>0</v>
      </c>
      <c r="O69" s="15">
        <f t="shared" si="0"/>
        <v>50</v>
      </c>
      <c r="P69" s="15">
        <f t="shared" si="1"/>
        <v>70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2</v>
      </c>
      <c r="E70" s="50">
        <v>5</v>
      </c>
      <c r="F70" s="50">
        <v>17</v>
      </c>
      <c r="G70" s="50">
        <v>0</v>
      </c>
      <c r="H70" s="50">
        <v>0</v>
      </c>
      <c r="I70" s="50">
        <v>7</v>
      </c>
      <c r="J70" s="50">
        <v>5</v>
      </c>
      <c r="K70" s="50">
        <v>1</v>
      </c>
      <c r="L70" s="50">
        <v>2</v>
      </c>
      <c r="M70" s="50">
        <v>11</v>
      </c>
      <c r="N70" s="50">
        <v>0</v>
      </c>
      <c r="O70" s="15">
        <f t="shared" si="0"/>
        <v>57</v>
      </c>
      <c r="P70" s="15">
        <f t="shared" si="1"/>
        <v>68</v>
      </c>
      <c r="R70" s="8"/>
      <c r="T70"/>
    </row>
    <row r="71" spans="2:20" ht="23.1" customHeight="1" x14ac:dyDescent="0.25">
      <c r="B71" s="45" t="s">
        <v>111</v>
      </c>
      <c r="C71" s="50">
        <v>13</v>
      </c>
      <c r="D71" s="50">
        <v>4</v>
      </c>
      <c r="E71" s="50">
        <v>2</v>
      </c>
      <c r="F71" s="50">
        <v>27</v>
      </c>
      <c r="G71" s="50">
        <v>2</v>
      </c>
      <c r="H71" s="50">
        <v>3</v>
      </c>
      <c r="I71" s="50">
        <v>8</v>
      </c>
      <c r="J71" s="50">
        <v>5</v>
      </c>
      <c r="K71" s="50">
        <v>2</v>
      </c>
      <c r="L71" s="50">
        <v>0</v>
      </c>
      <c r="M71" s="50">
        <v>22</v>
      </c>
      <c r="N71" s="50">
        <v>0</v>
      </c>
      <c r="O71" s="15">
        <f t="shared" si="0"/>
        <v>66</v>
      </c>
      <c r="P71" s="15">
        <f t="shared" si="1"/>
        <v>88</v>
      </c>
      <c r="R71" s="8"/>
      <c r="T71"/>
    </row>
    <row r="72" spans="2:20" ht="23.1" customHeight="1" x14ac:dyDescent="0.25">
      <c r="B72" s="45" t="s">
        <v>112</v>
      </c>
      <c r="C72" s="50">
        <v>26</v>
      </c>
      <c r="D72" s="50">
        <v>0</v>
      </c>
      <c r="E72" s="50">
        <v>2</v>
      </c>
      <c r="F72" s="50">
        <v>11</v>
      </c>
      <c r="G72" s="50">
        <v>1</v>
      </c>
      <c r="H72" s="50">
        <v>4</v>
      </c>
      <c r="I72" s="50">
        <v>10</v>
      </c>
      <c r="J72" s="50">
        <v>6</v>
      </c>
      <c r="K72" s="50">
        <v>1</v>
      </c>
      <c r="L72" s="50">
        <v>0</v>
      </c>
      <c r="M72" s="50">
        <v>16</v>
      </c>
      <c r="N72" s="50">
        <v>0</v>
      </c>
      <c r="O72" s="15">
        <f t="shared" si="0"/>
        <v>61</v>
      </c>
      <c r="P72" s="15">
        <f t="shared" si="1"/>
        <v>77</v>
      </c>
      <c r="R72" s="8"/>
      <c r="T72"/>
    </row>
    <row r="73" spans="2:20" ht="23.1" customHeight="1" x14ac:dyDescent="0.25">
      <c r="B73" s="45" t="s">
        <v>113</v>
      </c>
      <c r="C73" s="50">
        <v>17</v>
      </c>
      <c r="D73" s="50">
        <v>3</v>
      </c>
      <c r="E73" s="50">
        <v>3</v>
      </c>
      <c r="F73" s="50">
        <v>17</v>
      </c>
      <c r="G73" s="50">
        <v>1</v>
      </c>
      <c r="H73" s="50">
        <v>1</v>
      </c>
      <c r="I73" s="50">
        <v>6</v>
      </c>
      <c r="J73" s="50">
        <v>6</v>
      </c>
      <c r="K73" s="50">
        <v>3</v>
      </c>
      <c r="L73" s="50">
        <v>0</v>
      </c>
      <c r="M73" s="50">
        <v>14</v>
      </c>
      <c r="N73" s="50">
        <v>0</v>
      </c>
      <c r="O73" s="15">
        <f t="shared" si="0"/>
        <v>57</v>
      </c>
      <c r="P73" s="15">
        <f t="shared" si="1"/>
        <v>71</v>
      </c>
      <c r="R73" s="8"/>
      <c r="T73"/>
    </row>
    <row r="74" spans="2:20" ht="23.1" customHeight="1" x14ac:dyDescent="0.25">
      <c r="B74" s="45" t="s">
        <v>114</v>
      </c>
      <c r="C74" s="50">
        <v>18</v>
      </c>
      <c r="D74" s="50">
        <v>5</v>
      </c>
      <c r="E74" s="50">
        <v>0</v>
      </c>
      <c r="F74" s="50">
        <v>14</v>
      </c>
      <c r="G74" s="50">
        <v>1</v>
      </c>
      <c r="H74" s="50">
        <v>3</v>
      </c>
      <c r="I74" s="50">
        <v>17</v>
      </c>
      <c r="J74" s="50">
        <v>8</v>
      </c>
      <c r="K74" s="50">
        <v>2</v>
      </c>
      <c r="L74" s="50">
        <v>1</v>
      </c>
      <c r="M74" s="50">
        <v>8</v>
      </c>
      <c r="N74" s="50">
        <v>0</v>
      </c>
      <c r="O74" s="15">
        <f t="shared" ref="O74:O105" si="35">SUM(C74:L74,N74)</f>
        <v>69</v>
      </c>
      <c r="P74" s="15">
        <f t="shared" ref="P74:P105" si="36">SUM(C74:N74)</f>
        <v>77</v>
      </c>
      <c r="R74" s="8"/>
      <c r="T74"/>
    </row>
    <row r="75" spans="2:20" ht="23.1" customHeight="1" x14ac:dyDescent="0.25">
      <c r="B75" s="45" t="s">
        <v>115</v>
      </c>
      <c r="C75" s="50">
        <v>26</v>
      </c>
      <c r="D75" s="50">
        <v>4</v>
      </c>
      <c r="E75" s="50">
        <v>1</v>
      </c>
      <c r="F75" s="50">
        <v>16</v>
      </c>
      <c r="G75" s="50">
        <v>1</v>
      </c>
      <c r="H75" s="50">
        <v>2</v>
      </c>
      <c r="I75" s="50">
        <v>14</v>
      </c>
      <c r="J75" s="50">
        <v>7</v>
      </c>
      <c r="K75" s="50">
        <v>2</v>
      </c>
      <c r="L75" s="50">
        <v>0</v>
      </c>
      <c r="M75" s="50">
        <v>11</v>
      </c>
      <c r="N75" s="50">
        <v>0</v>
      </c>
      <c r="O75" s="15">
        <f t="shared" si="35"/>
        <v>73</v>
      </c>
      <c r="P75" s="15">
        <f t="shared" si="36"/>
        <v>84</v>
      </c>
      <c r="R75" s="8"/>
      <c r="T75"/>
    </row>
    <row r="76" spans="2:20" ht="23.1" customHeight="1" x14ac:dyDescent="0.25">
      <c r="B76" s="45" t="s">
        <v>116</v>
      </c>
      <c r="C76" s="50">
        <v>17</v>
      </c>
      <c r="D76" s="50">
        <v>3</v>
      </c>
      <c r="E76" s="50">
        <v>1</v>
      </c>
      <c r="F76" s="50">
        <v>11</v>
      </c>
      <c r="G76" s="50">
        <v>3</v>
      </c>
      <c r="H76" s="50">
        <v>3</v>
      </c>
      <c r="I76" s="50">
        <v>14</v>
      </c>
      <c r="J76" s="50">
        <v>4</v>
      </c>
      <c r="K76" s="50">
        <v>4</v>
      </c>
      <c r="L76" s="50">
        <v>0</v>
      </c>
      <c r="M76" s="50">
        <v>12</v>
      </c>
      <c r="N76" s="50">
        <v>0</v>
      </c>
      <c r="O76" s="15">
        <f t="shared" si="35"/>
        <v>60</v>
      </c>
      <c r="P76" s="15">
        <f t="shared" si="36"/>
        <v>72</v>
      </c>
      <c r="R76" s="8"/>
      <c r="T76"/>
    </row>
    <row r="77" spans="2:20" ht="23.1" customHeight="1" x14ac:dyDescent="0.25">
      <c r="B77" s="45" t="s">
        <v>117</v>
      </c>
      <c r="C77" s="50">
        <v>20</v>
      </c>
      <c r="D77" s="50">
        <v>4</v>
      </c>
      <c r="E77" s="50">
        <v>1</v>
      </c>
      <c r="F77" s="50">
        <v>20</v>
      </c>
      <c r="G77" s="50">
        <v>1</v>
      </c>
      <c r="H77" s="50">
        <v>4</v>
      </c>
      <c r="I77" s="50">
        <v>15</v>
      </c>
      <c r="J77" s="50">
        <v>9</v>
      </c>
      <c r="K77" s="50">
        <v>4</v>
      </c>
      <c r="L77" s="50">
        <v>2</v>
      </c>
      <c r="M77" s="50">
        <v>15</v>
      </c>
      <c r="N77" s="50">
        <v>0</v>
      </c>
      <c r="O77" s="15">
        <f t="shared" si="35"/>
        <v>80</v>
      </c>
      <c r="P77" s="15">
        <f t="shared" si="36"/>
        <v>95</v>
      </c>
      <c r="R77" s="8"/>
      <c r="T77"/>
    </row>
    <row r="78" spans="2:20" ht="23.1" customHeight="1" x14ac:dyDescent="0.25">
      <c r="B78" s="46" t="s">
        <v>118</v>
      </c>
      <c r="C78" s="50">
        <v>11</v>
      </c>
      <c r="D78" s="50">
        <v>0</v>
      </c>
      <c r="E78" s="50">
        <v>0</v>
      </c>
      <c r="F78" s="50">
        <v>11</v>
      </c>
      <c r="G78" s="50">
        <v>1</v>
      </c>
      <c r="H78" s="50">
        <v>6</v>
      </c>
      <c r="I78" s="50">
        <v>7</v>
      </c>
      <c r="J78" s="50">
        <v>3</v>
      </c>
      <c r="K78" s="50">
        <v>2</v>
      </c>
      <c r="L78" s="50">
        <v>1</v>
      </c>
      <c r="M78" s="50">
        <v>9</v>
      </c>
      <c r="N78" s="50">
        <v>0</v>
      </c>
      <c r="O78" s="15">
        <f t="shared" si="35"/>
        <v>42</v>
      </c>
      <c r="P78" s="15">
        <f t="shared" si="36"/>
        <v>51</v>
      </c>
      <c r="R78" s="8"/>
      <c r="T78"/>
    </row>
    <row r="79" spans="2:20" ht="23.1" customHeight="1" x14ac:dyDescent="0.25">
      <c r="B79" s="45" t="s">
        <v>119</v>
      </c>
      <c r="C79" s="50">
        <v>9</v>
      </c>
      <c r="D79" s="50">
        <v>2</v>
      </c>
      <c r="E79" s="50">
        <v>2</v>
      </c>
      <c r="F79" s="50">
        <v>5</v>
      </c>
      <c r="G79" s="50">
        <v>1</v>
      </c>
      <c r="H79" s="50">
        <v>3</v>
      </c>
      <c r="I79" s="50">
        <v>13</v>
      </c>
      <c r="J79" s="50">
        <v>9</v>
      </c>
      <c r="K79" s="50">
        <v>2</v>
      </c>
      <c r="L79" s="50">
        <v>0</v>
      </c>
      <c r="M79" s="50">
        <v>7</v>
      </c>
      <c r="N79" s="50">
        <v>0</v>
      </c>
      <c r="O79" s="15">
        <f t="shared" si="35"/>
        <v>46</v>
      </c>
      <c r="P79" s="15">
        <f t="shared" si="36"/>
        <v>53</v>
      </c>
      <c r="R79" s="8"/>
      <c r="T79"/>
    </row>
    <row r="80" spans="2:20" ht="23.1" customHeight="1" x14ac:dyDescent="0.25">
      <c r="B80" s="47" t="s">
        <v>120</v>
      </c>
      <c r="C80" s="50">
        <v>15</v>
      </c>
      <c r="D80" s="50">
        <v>1</v>
      </c>
      <c r="E80" s="50">
        <v>1</v>
      </c>
      <c r="F80" s="50">
        <v>3</v>
      </c>
      <c r="G80" s="50">
        <v>0</v>
      </c>
      <c r="H80" s="50">
        <v>1</v>
      </c>
      <c r="I80" s="50">
        <v>14</v>
      </c>
      <c r="J80" s="50">
        <v>10</v>
      </c>
      <c r="K80" s="50">
        <v>3</v>
      </c>
      <c r="L80" s="50">
        <v>1</v>
      </c>
      <c r="M80" s="50">
        <v>7</v>
      </c>
      <c r="N80" s="50">
        <v>0</v>
      </c>
      <c r="O80" s="15">
        <f t="shared" si="35"/>
        <v>49</v>
      </c>
      <c r="P80" s="15">
        <f t="shared" si="36"/>
        <v>56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3</v>
      </c>
      <c r="E81" s="50">
        <v>2</v>
      </c>
      <c r="F81" s="50">
        <v>7</v>
      </c>
      <c r="G81" s="50">
        <v>0</v>
      </c>
      <c r="H81" s="50">
        <v>3</v>
      </c>
      <c r="I81" s="50">
        <v>15</v>
      </c>
      <c r="J81" s="50">
        <v>5</v>
      </c>
      <c r="K81" s="50">
        <v>3</v>
      </c>
      <c r="L81" s="50">
        <v>1</v>
      </c>
      <c r="M81" s="50">
        <v>3</v>
      </c>
      <c r="N81" s="50">
        <v>0</v>
      </c>
      <c r="O81" s="15">
        <f t="shared" si="35"/>
        <v>49</v>
      </c>
      <c r="P81" s="15">
        <f t="shared" si="36"/>
        <v>52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1</v>
      </c>
      <c r="E82" s="50">
        <v>0</v>
      </c>
      <c r="F82" s="50">
        <v>1</v>
      </c>
      <c r="G82" s="50">
        <v>0</v>
      </c>
      <c r="H82" s="50">
        <v>0</v>
      </c>
      <c r="I82" s="50">
        <v>7</v>
      </c>
      <c r="J82" s="50">
        <v>3</v>
      </c>
      <c r="K82" s="50">
        <v>1</v>
      </c>
      <c r="L82" s="50">
        <v>1</v>
      </c>
      <c r="M82" s="50">
        <v>2</v>
      </c>
      <c r="N82" s="50">
        <v>0</v>
      </c>
      <c r="O82" s="15">
        <f t="shared" si="35"/>
        <v>20</v>
      </c>
      <c r="P82" s="15">
        <f t="shared" si="36"/>
        <v>22</v>
      </c>
      <c r="R82" s="8"/>
      <c r="T82"/>
    </row>
    <row r="83" spans="2:20" ht="23.1" customHeight="1" x14ac:dyDescent="0.25">
      <c r="B83" s="45" t="s">
        <v>123</v>
      </c>
      <c r="C83" s="50">
        <v>4</v>
      </c>
      <c r="D83" s="50">
        <v>1</v>
      </c>
      <c r="E83" s="50">
        <v>1</v>
      </c>
      <c r="F83" s="50">
        <v>3</v>
      </c>
      <c r="G83" s="50">
        <v>0</v>
      </c>
      <c r="H83" s="50">
        <v>0</v>
      </c>
      <c r="I83" s="50">
        <v>14</v>
      </c>
      <c r="J83" s="50">
        <v>6</v>
      </c>
      <c r="K83" s="50">
        <v>1</v>
      </c>
      <c r="L83" s="50">
        <v>0</v>
      </c>
      <c r="M83" s="50">
        <v>3</v>
      </c>
      <c r="N83" s="50">
        <v>0</v>
      </c>
      <c r="O83" s="15">
        <f t="shared" si="35"/>
        <v>30</v>
      </c>
      <c r="P83" s="15">
        <f t="shared" si="36"/>
        <v>33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1</v>
      </c>
      <c r="E84" s="50">
        <v>1</v>
      </c>
      <c r="F84" s="50">
        <v>0</v>
      </c>
      <c r="G84" s="50">
        <v>0</v>
      </c>
      <c r="H84" s="50">
        <v>3</v>
      </c>
      <c r="I84" s="50">
        <v>9</v>
      </c>
      <c r="J84" s="50">
        <v>3</v>
      </c>
      <c r="K84" s="50">
        <v>1</v>
      </c>
      <c r="L84" s="50">
        <v>0</v>
      </c>
      <c r="M84" s="50">
        <v>0</v>
      </c>
      <c r="N84" s="50">
        <v>0</v>
      </c>
      <c r="O84" s="15">
        <f t="shared" si="35"/>
        <v>24</v>
      </c>
      <c r="P84" s="15">
        <f t="shared" si="36"/>
        <v>24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1</v>
      </c>
      <c r="G85" s="50">
        <v>0</v>
      </c>
      <c r="H85" s="50">
        <v>1</v>
      </c>
      <c r="I85" s="50">
        <v>5</v>
      </c>
      <c r="J85" s="50">
        <v>3</v>
      </c>
      <c r="K85" s="50">
        <v>2</v>
      </c>
      <c r="L85" s="50">
        <v>1</v>
      </c>
      <c r="M85" s="50">
        <v>1</v>
      </c>
      <c r="N85" s="50">
        <v>0</v>
      </c>
      <c r="O85" s="15">
        <f t="shared" si="35"/>
        <v>15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0</v>
      </c>
      <c r="E86" s="50">
        <v>1</v>
      </c>
      <c r="F86" s="50">
        <v>1</v>
      </c>
      <c r="G86" s="50">
        <v>0</v>
      </c>
      <c r="H86" s="50">
        <v>1</v>
      </c>
      <c r="I86" s="50">
        <v>8</v>
      </c>
      <c r="J86" s="50">
        <v>2</v>
      </c>
      <c r="K86" s="50">
        <v>1</v>
      </c>
      <c r="L86" s="50">
        <v>0</v>
      </c>
      <c r="M86" s="50">
        <v>2</v>
      </c>
      <c r="N86" s="50">
        <v>0</v>
      </c>
      <c r="O86" s="15">
        <f t="shared" si="35"/>
        <v>17</v>
      </c>
      <c r="P86" s="15">
        <f t="shared" si="36"/>
        <v>19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3</v>
      </c>
      <c r="G87" s="50">
        <v>0</v>
      </c>
      <c r="H87" s="50">
        <v>0</v>
      </c>
      <c r="I87" s="50">
        <v>5</v>
      </c>
      <c r="J87" s="50">
        <v>3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12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1</v>
      </c>
      <c r="E88" s="50">
        <v>0</v>
      </c>
      <c r="F88" s="50">
        <v>0</v>
      </c>
      <c r="G88" s="50">
        <v>0</v>
      </c>
      <c r="H88" s="50">
        <v>1</v>
      </c>
      <c r="I88" s="50">
        <v>6</v>
      </c>
      <c r="J88" s="50">
        <v>3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13</v>
      </c>
      <c r="P88" s="15">
        <f t="shared" si="36"/>
        <v>14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6</v>
      </c>
      <c r="J89" s="50">
        <v>3</v>
      </c>
      <c r="K89" s="50">
        <v>1</v>
      </c>
      <c r="L89" s="50">
        <v>0</v>
      </c>
      <c r="M89" s="50">
        <v>2</v>
      </c>
      <c r="N89" s="50">
        <v>0</v>
      </c>
      <c r="O89" s="15">
        <f t="shared" si="35"/>
        <v>14</v>
      </c>
      <c r="P89" s="15">
        <f t="shared" si="36"/>
        <v>16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4</v>
      </c>
      <c r="J90" s="50">
        <v>0</v>
      </c>
      <c r="K90" s="50">
        <v>2</v>
      </c>
      <c r="L90" s="50">
        <v>1</v>
      </c>
      <c r="M90" s="50">
        <v>2</v>
      </c>
      <c r="N90" s="50">
        <v>0</v>
      </c>
      <c r="O90" s="15">
        <f t="shared" si="35"/>
        <v>10</v>
      </c>
      <c r="P90" s="15">
        <f t="shared" si="36"/>
        <v>12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7</v>
      </c>
      <c r="J91" s="50">
        <v>1</v>
      </c>
      <c r="K91" s="50">
        <v>1</v>
      </c>
      <c r="L91" s="50">
        <v>0</v>
      </c>
      <c r="M91" s="50">
        <v>2</v>
      </c>
      <c r="N91" s="50">
        <v>0</v>
      </c>
      <c r="O91" s="15">
        <f t="shared" si="35"/>
        <v>11</v>
      </c>
      <c r="P91" s="15">
        <f t="shared" si="36"/>
        <v>13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4</v>
      </c>
      <c r="J92" s="50">
        <v>1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7</v>
      </c>
      <c r="P92" s="15">
        <f t="shared" si="36"/>
        <v>8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2</v>
      </c>
      <c r="G93" s="50">
        <v>0</v>
      </c>
      <c r="H93" s="50">
        <v>1</v>
      </c>
      <c r="I93" s="50">
        <v>8</v>
      </c>
      <c r="J93" s="50">
        <v>4</v>
      </c>
      <c r="K93" s="50">
        <v>2</v>
      </c>
      <c r="L93" s="50">
        <v>0</v>
      </c>
      <c r="M93" s="50">
        <v>1</v>
      </c>
      <c r="N93" s="50">
        <v>0</v>
      </c>
      <c r="O93" s="15">
        <f t="shared" si="35"/>
        <v>20</v>
      </c>
      <c r="P93" s="15">
        <f t="shared" si="36"/>
        <v>21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4</v>
      </c>
      <c r="J94" s="50">
        <v>0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8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5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9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6</v>
      </c>
      <c r="D96" s="50">
        <v>1</v>
      </c>
      <c r="E96" s="50">
        <v>0</v>
      </c>
      <c r="F96" s="50">
        <v>2</v>
      </c>
      <c r="G96" s="50">
        <v>0</v>
      </c>
      <c r="H96" s="50">
        <v>0</v>
      </c>
      <c r="I96" s="50">
        <v>11</v>
      </c>
      <c r="J96" s="50">
        <v>3</v>
      </c>
      <c r="K96" s="50">
        <v>1</v>
      </c>
      <c r="L96" s="50">
        <v>1</v>
      </c>
      <c r="M96" s="50">
        <v>0</v>
      </c>
      <c r="N96" s="50">
        <v>0</v>
      </c>
      <c r="O96" s="15">
        <f t="shared" si="35"/>
        <v>25</v>
      </c>
      <c r="P96" s="15">
        <f t="shared" si="36"/>
        <v>25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1</v>
      </c>
      <c r="E97" s="50">
        <v>1</v>
      </c>
      <c r="F97" s="50">
        <v>1</v>
      </c>
      <c r="G97" s="50">
        <v>0</v>
      </c>
      <c r="H97" s="50">
        <v>1</v>
      </c>
      <c r="I97" s="50">
        <v>10</v>
      </c>
      <c r="J97" s="50">
        <v>3</v>
      </c>
      <c r="K97" s="50">
        <v>0</v>
      </c>
      <c r="L97" s="50">
        <v>2</v>
      </c>
      <c r="M97" s="50">
        <v>3</v>
      </c>
      <c r="N97" s="50">
        <v>0</v>
      </c>
      <c r="O97" s="15">
        <f t="shared" si="35"/>
        <v>23</v>
      </c>
      <c r="P97" s="15">
        <f t="shared" si="36"/>
        <v>26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1</v>
      </c>
      <c r="F98" s="50">
        <v>0</v>
      </c>
      <c r="G98" s="50">
        <v>1</v>
      </c>
      <c r="H98" s="50">
        <v>0</v>
      </c>
      <c r="I98" s="50">
        <v>12</v>
      </c>
      <c r="J98" s="50">
        <v>4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24</v>
      </c>
      <c r="P98" s="15">
        <f t="shared" si="36"/>
        <v>26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3</v>
      </c>
      <c r="E99" s="50">
        <v>1</v>
      </c>
      <c r="F99" s="50">
        <v>2</v>
      </c>
      <c r="G99" s="50">
        <v>0</v>
      </c>
      <c r="H99" s="50">
        <v>0</v>
      </c>
      <c r="I99" s="50">
        <v>12</v>
      </c>
      <c r="J99" s="50">
        <v>2</v>
      </c>
      <c r="K99" s="50">
        <v>1</v>
      </c>
      <c r="L99" s="50">
        <v>0</v>
      </c>
      <c r="M99" s="50">
        <v>7</v>
      </c>
      <c r="N99" s="50">
        <v>0</v>
      </c>
      <c r="O99" s="15">
        <f t="shared" si="35"/>
        <v>28</v>
      </c>
      <c r="P99" s="15">
        <f t="shared" si="36"/>
        <v>35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2</v>
      </c>
      <c r="E100" s="50">
        <v>1</v>
      </c>
      <c r="F100" s="50">
        <v>0</v>
      </c>
      <c r="G100" s="50">
        <v>0</v>
      </c>
      <c r="H100" s="50">
        <v>0</v>
      </c>
      <c r="I100" s="50">
        <v>10</v>
      </c>
      <c r="J100" s="50">
        <v>2</v>
      </c>
      <c r="K100" s="50">
        <v>2</v>
      </c>
      <c r="L100" s="50">
        <v>3</v>
      </c>
      <c r="M100" s="50">
        <v>8</v>
      </c>
      <c r="N100" s="50">
        <v>0</v>
      </c>
      <c r="O100" s="15">
        <f t="shared" si="35"/>
        <v>29</v>
      </c>
      <c r="P100" s="15">
        <f t="shared" si="36"/>
        <v>37</v>
      </c>
      <c r="R100" s="8"/>
      <c r="T100"/>
    </row>
    <row r="101" spans="2:20" ht="23.1" customHeight="1" x14ac:dyDescent="0.25">
      <c r="B101" s="45" t="s">
        <v>141</v>
      </c>
      <c r="C101" s="50">
        <v>9</v>
      </c>
      <c r="D101" s="50">
        <v>0</v>
      </c>
      <c r="E101" s="50">
        <v>0</v>
      </c>
      <c r="F101" s="50">
        <v>5</v>
      </c>
      <c r="G101" s="50">
        <v>0</v>
      </c>
      <c r="H101" s="50">
        <v>1</v>
      </c>
      <c r="I101" s="50">
        <v>6</v>
      </c>
      <c r="J101" s="50">
        <v>3</v>
      </c>
      <c r="K101" s="50">
        <v>1</v>
      </c>
      <c r="L101" s="50">
        <v>0</v>
      </c>
      <c r="M101" s="50">
        <v>7</v>
      </c>
      <c r="N101" s="50">
        <v>0</v>
      </c>
      <c r="O101" s="15">
        <f t="shared" si="35"/>
        <v>25</v>
      </c>
      <c r="P101" s="15">
        <f t="shared" si="36"/>
        <v>32</v>
      </c>
      <c r="R101" s="8"/>
      <c r="T101"/>
    </row>
    <row r="102" spans="2:20" ht="23.1" customHeight="1" x14ac:dyDescent="0.25">
      <c r="B102" s="46" t="s">
        <v>142</v>
      </c>
      <c r="C102" s="50">
        <v>11</v>
      </c>
      <c r="D102" s="50">
        <v>1</v>
      </c>
      <c r="E102" s="50">
        <v>1</v>
      </c>
      <c r="F102" s="50">
        <v>2</v>
      </c>
      <c r="G102" s="50">
        <v>2</v>
      </c>
      <c r="H102" s="50">
        <v>0</v>
      </c>
      <c r="I102" s="50">
        <v>15</v>
      </c>
      <c r="J102" s="50">
        <v>0</v>
      </c>
      <c r="K102" s="50">
        <v>2</v>
      </c>
      <c r="L102" s="50">
        <v>1</v>
      </c>
      <c r="M102" s="50">
        <v>6</v>
      </c>
      <c r="N102" s="50">
        <v>0</v>
      </c>
      <c r="O102" s="15">
        <f t="shared" si="35"/>
        <v>35</v>
      </c>
      <c r="P102" s="15">
        <f t="shared" si="36"/>
        <v>41</v>
      </c>
      <c r="R102" s="8"/>
      <c r="T102"/>
    </row>
    <row r="103" spans="2:20" ht="23.1" customHeight="1" x14ac:dyDescent="0.25">
      <c r="B103" s="45" t="s">
        <v>143</v>
      </c>
      <c r="C103" s="50">
        <v>16</v>
      </c>
      <c r="D103" s="50">
        <v>4</v>
      </c>
      <c r="E103" s="50">
        <v>5</v>
      </c>
      <c r="F103" s="50">
        <v>10</v>
      </c>
      <c r="G103" s="50">
        <v>0</v>
      </c>
      <c r="H103" s="50">
        <v>0</v>
      </c>
      <c r="I103" s="50">
        <v>19</v>
      </c>
      <c r="J103" s="50">
        <v>5</v>
      </c>
      <c r="K103" s="50">
        <v>3</v>
      </c>
      <c r="L103" s="50">
        <v>1</v>
      </c>
      <c r="M103" s="50">
        <v>12</v>
      </c>
      <c r="N103" s="50">
        <v>0</v>
      </c>
      <c r="O103" s="15">
        <f t="shared" si="35"/>
        <v>63</v>
      </c>
      <c r="P103" s="15">
        <f t="shared" si="36"/>
        <v>75</v>
      </c>
      <c r="R103" s="8"/>
      <c r="T103"/>
    </row>
    <row r="104" spans="2:20" ht="23.1" customHeight="1" x14ac:dyDescent="0.25">
      <c r="B104" s="47" t="s">
        <v>144</v>
      </c>
      <c r="C104" s="50">
        <v>15</v>
      </c>
      <c r="D104" s="50">
        <v>6</v>
      </c>
      <c r="E104" s="50">
        <v>2</v>
      </c>
      <c r="F104" s="50">
        <v>8</v>
      </c>
      <c r="G104" s="50">
        <v>0</v>
      </c>
      <c r="H104" s="50">
        <v>3</v>
      </c>
      <c r="I104" s="50">
        <v>10</v>
      </c>
      <c r="J104" s="50">
        <v>6</v>
      </c>
      <c r="K104" s="50">
        <v>1</v>
      </c>
      <c r="L104" s="50">
        <v>0</v>
      </c>
      <c r="M104" s="50">
        <v>8</v>
      </c>
      <c r="N104" s="50">
        <v>0</v>
      </c>
      <c r="O104" s="15">
        <f t="shared" si="35"/>
        <v>51</v>
      </c>
      <c r="P104" s="15">
        <f t="shared" si="36"/>
        <v>59</v>
      </c>
      <c r="R104" s="8"/>
      <c r="T104"/>
    </row>
    <row r="105" spans="2:20" ht="23.1" customHeight="1" x14ac:dyDescent="0.25">
      <c r="B105" s="45" t="s">
        <v>145</v>
      </c>
      <c r="C105" s="50">
        <v>17</v>
      </c>
      <c r="D105" s="50">
        <v>12</v>
      </c>
      <c r="E105" s="50">
        <v>2</v>
      </c>
      <c r="F105" s="50">
        <v>11</v>
      </c>
      <c r="G105" s="50">
        <v>1</v>
      </c>
      <c r="H105" s="50">
        <v>0</v>
      </c>
      <c r="I105" s="50">
        <v>11</v>
      </c>
      <c r="J105" s="50">
        <v>1</v>
      </c>
      <c r="K105" s="50">
        <v>4</v>
      </c>
      <c r="L105" s="50">
        <v>1</v>
      </c>
      <c r="M105" s="50">
        <v>11</v>
      </c>
      <c r="N105" s="50">
        <v>0</v>
      </c>
      <c r="O105" s="15">
        <f t="shared" si="35"/>
        <v>60</v>
      </c>
      <c r="P105" s="15">
        <f t="shared" si="36"/>
        <v>71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2958</v>
      </c>
      <c r="D106" s="16">
        <f t="shared" ref="D106:P106" si="37">SUM(D10:D105)</f>
        <v>464</v>
      </c>
      <c r="E106" s="16">
        <f t="shared" si="37"/>
        <v>410</v>
      </c>
      <c r="F106" s="16">
        <f t="shared" si="37"/>
        <v>2006</v>
      </c>
      <c r="G106" s="16">
        <f t="shared" si="37"/>
        <v>123</v>
      </c>
      <c r="H106" s="16">
        <f t="shared" si="37"/>
        <v>151</v>
      </c>
      <c r="I106" s="16">
        <f t="shared" si="37"/>
        <v>1429</v>
      </c>
      <c r="J106" s="16">
        <f t="shared" si="37"/>
        <v>390</v>
      </c>
      <c r="K106" s="16">
        <f t="shared" si="37"/>
        <v>236</v>
      </c>
      <c r="L106" s="16">
        <f t="shared" si="37"/>
        <v>137</v>
      </c>
      <c r="M106" s="16">
        <f t="shared" si="37"/>
        <v>1834</v>
      </c>
      <c r="N106" s="16">
        <f t="shared" si="37"/>
        <v>0</v>
      </c>
      <c r="O106" s="16">
        <f t="shared" si="37"/>
        <v>8304</v>
      </c>
      <c r="P106" s="16">
        <f t="shared" si="37"/>
        <v>10138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0.29177352535016771</v>
      </c>
      <c r="D107" s="43">
        <f t="shared" si="38"/>
        <v>4.5768396133359639E-2</v>
      </c>
      <c r="E107" s="43">
        <f t="shared" si="38"/>
        <v>4.0441901755770372E-2</v>
      </c>
      <c r="F107" s="43">
        <f t="shared" si="38"/>
        <v>0.19786940224896429</v>
      </c>
      <c r="G107" s="43">
        <f t="shared" si="38"/>
        <v>1.2132570526731111E-2</v>
      </c>
      <c r="H107" s="43">
        <f t="shared" si="38"/>
        <v>1.4894456500295916E-2</v>
      </c>
      <c r="I107" s="43">
        <f t="shared" si="38"/>
        <v>0.14095482343657526</v>
      </c>
      <c r="J107" s="43">
        <f t="shared" si="38"/>
        <v>3.8469126060366933E-2</v>
      </c>
      <c r="K107" s="43">
        <f t="shared" si="38"/>
        <v>2.3278753205760505E-2</v>
      </c>
      <c r="L107" s="43">
        <f t="shared" si="38"/>
        <v>1.3513513513513514E-2</v>
      </c>
      <c r="M107" s="43">
        <f t="shared" si="38"/>
        <v>0.18090353126849476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0.35621387283236994</v>
      </c>
      <c r="D108" s="44">
        <f t="shared" ref="D108:N108" si="39">D106/$O$106</f>
        <v>5.5876685934489405E-2</v>
      </c>
      <c r="E108" s="44">
        <f t="shared" si="39"/>
        <v>4.9373795761078997E-2</v>
      </c>
      <c r="F108" s="44">
        <f t="shared" si="39"/>
        <v>0.24157032755298652</v>
      </c>
      <c r="G108" s="44">
        <f t="shared" si="39"/>
        <v>1.4812138728323699E-2</v>
      </c>
      <c r="H108" s="44">
        <f t="shared" si="39"/>
        <v>1.8184007707129093E-2</v>
      </c>
      <c r="I108" s="44">
        <f t="shared" si="39"/>
        <v>0.17208574181117534</v>
      </c>
      <c r="J108" s="44">
        <f t="shared" si="39"/>
        <v>4.6965317919075142E-2</v>
      </c>
      <c r="K108" s="44">
        <f t="shared" si="39"/>
        <v>2.8420038535645471E-2</v>
      </c>
      <c r="L108" s="44">
        <f t="shared" si="39"/>
        <v>1.6498073217726398E-2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H59" sqref="H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Masaka-Maya'!C3:G3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6" t="str">
        <f>'02.11 Maya-Masaka-24h'!G5:H5</f>
        <v>Maya</v>
      </c>
      <c r="H5" s="67"/>
      <c r="I5" s="14"/>
      <c r="J5" s="2" t="s">
        <v>5</v>
      </c>
      <c r="K5" s="66" t="str">
        <f>'02.11 Maya-Masaka-24h'!K5:L5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Masaka-Maya'!D6:E6</f>
        <v>Masaka</v>
      </c>
      <c r="E6" s="67"/>
      <c r="F6" s="2" t="s">
        <v>2</v>
      </c>
      <c r="G6" s="66" t="str">
        <f>'28.10 Masaka-Maya'!G6:H6</f>
        <v>Maya</v>
      </c>
      <c r="H6" s="67"/>
      <c r="J6" s="2" t="s">
        <v>21</v>
      </c>
      <c r="K6" s="66" t="str">
        <f>'02.11 Maya-Masaka-24h'!K6:L6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3</v>
      </c>
      <c r="E10" s="50">
        <v>2</v>
      </c>
      <c r="F10" s="50">
        <v>14</v>
      </c>
      <c r="G10" s="50">
        <v>0</v>
      </c>
      <c r="H10" s="50">
        <v>1</v>
      </c>
      <c r="I10" s="50">
        <v>7</v>
      </c>
      <c r="J10" s="50">
        <v>2</v>
      </c>
      <c r="K10" s="50">
        <v>0</v>
      </c>
      <c r="L10" s="50">
        <v>2</v>
      </c>
      <c r="M10" s="50">
        <v>16</v>
      </c>
      <c r="N10" s="50">
        <v>0</v>
      </c>
      <c r="O10" s="15">
        <f t="shared" ref="O10:O57" si="0">SUM(C10:L10,N10)</f>
        <v>37</v>
      </c>
      <c r="P10" s="15">
        <f t="shared" ref="P10:P57" si="1">SUM(C10:N10)</f>
        <v>53</v>
      </c>
      <c r="R10" s="1" t="s">
        <v>6</v>
      </c>
      <c r="S10" s="17">
        <f t="shared" ref="S10:AF10" si="2">SUM(C10:C13)</f>
        <v>19</v>
      </c>
      <c r="T10" s="17">
        <f t="shared" si="2"/>
        <v>5</v>
      </c>
      <c r="U10" s="17">
        <f t="shared" si="2"/>
        <v>6</v>
      </c>
      <c r="V10" s="17">
        <f t="shared" si="2"/>
        <v>54</v>
      </c>
      <c r="W10" s="17">
        <f t="shared" si="2"/>
        <v>4</v>
      </c>
      <c r="X10" s="17">
        <f t="shared" si="2"/>
        <v>1</v>
      </c>
      <c r="Y10" s="17">
        <f t="shared" si="2"/>
        <v>23</v>
      </c>
      <c r="Z10" s="17">
        <f t="shared" si="2"/>
        <v>3</v>
      </c>
      <c r="AA10" s="17">
        <f t="shared" si="2"/>
        <v>0</v>
      </c>
      <c r="AB10" s="17">
        <f t="shared" si="2"/>
        <v>4</v>
      </c>
      <c r="AC10" s="17">
        <f t="shared" si="2"/>
        <v>56</v>
      </c>
      <c r="AD10" s="17">
        <f t="shared" si="2"/>
        <v>0</v>
      </c>
      <c r="AE10" s="31">
        <f t="shared" si="2"/>
        <v>119</v>
      </c>
      <c r="AF10" s="31">
        <f t="shared" si="2"/>
        <v>175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3</v>
      </c>
      <c r="F11" s="50">
        <v>17</v>
      </c>
      <c r="G11" s="50">
        <v>0</v>
      </c>
      <c r="H11" s="50">
        <v>0</v>
      </c>
      <c r="I11" s="50">
        <v>9</v>
      </c>
      <c r="J11" s="50">
        <v>0</v>
      </c>
      <c r="K11" s="50">
        <v>0</v>
      </c>
      <c r="L11" s="50">
        <v>2</v>
      </c>
      <c r="M11" s="50">
        <v>13</v>
      </c>
      <c r="N11" s="50">
        <v>0</v>
      </c>
      <c r="O11" s="15">
        <f t="shared" si="0"/>
        <v>36</v>
      </c>
      <c r="P11" s="15">
        <f t="shared" si="1"/>
        <v>49</v>
      </c>
      <c r="R11" s="1" t="s">
        <v>7</v>
      </c>
      <c r="S11" s="17">
        <f t="shared" ref="S11:AF11" si="3">SUM(C14:C17)</f>
        <v>42</v>
      </c>
      <c r="T11" s="17">
        <f t="shared" si="3"/>
        <v>7</v>
      </c>
      <c r="U11" s="17">
        <f t="shared" si="3"/>
        <v>4</v>
      </c>
      <c r="V11" s="17">
        <f t="shared" si="3"/>
        <v>81</v>
      </c>
      <c r="W11" s="17">
        <f t="shared" si="3"/>
        <v>5</v>
      </c>
      <c r="X11" s="17">
        <f t="shared" si="3"/>
        <v>1</v>
      </c>
      <c r="Y11" s="17">
        <f t="shared" si="3"/>
        <v>40</v>
      </c>
      <c r="Z11" s="17">
        <f t="shared" si="3"/>
        <v>6</v>
      </c>
      <c r="AA11" s="17">
        <f t="shared" si="3"/>
        <v>3</v>
      </c>
      <c r="AB11" s="17">
        <f t="shared" si="3"/>
        <v>12</v>
      </c>
      <c r="AC11" s="17">
        <f t="shared" si="3"/>
        <v>87</v>
      </c>
      <c r="AD11" s="17">
        <f t="shared" si="3"/>
        <v>0</v>
      </c>
      <c r="AE11" s="31">
        <f t="shared" si="3"/>
        <v>201</v>
      </c>
      <c r="AF11" s="31">
        <f t="shared" si="3"/>
        <v>288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1</v>
      </c>
      <c r="G12" s="50">
        <v>4</v>
      </c>
      <c r="H12" s="50">
        <v>0</v>
      </c>
      <c r="I12" s="50">
        <v>5</v>
      </c>
      <c r="J12" s="50">
        <v>1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15</v>
      </c>
      <c r="P12" s="15">
        <f t="shared" si="1"/>
        <v>26</v>
      </c>
      <c r="R12" s="1" t="s">
        <v>8</v>
      </c>
      <c r="S12" s="17">
        <f t="shared" ref="S12:AF12" si="4">SUM(C18:C21)</f>
        <v>53</v>
      </c>
      <c r="T12" s="17">
        <f t="shared" si="4"/>
        <v>10</v>
      </c>
      <c r="U12" s="17">
        <f t="shared" si="4"/>
        <v>17</v>
      </c>
      <c r="V12" s="17">
        <f t="shared" si="4"/>
        <v>80</v>
      </c>
      <c r="W12" s="17">
        <f t="shared" si="4"/>
        <v>2</v>
      </c>
      <c r="X12" s="17">
        <f t="shared" si="4"/>
        <v>2</v>
      </c>
      <c r="Y12" s="17">
        <f t="shared" si="4"/>
        <v>28</v>
      </c>
      <c r="Z12" s="17">
        <f t="shared" si="4"/>
        <v>10</v>
      </c>
      <c r="AA12" s="17">
        <f t="shared" si="4"/>
        <v>0</v>
      </c>
      <c r="AB12" s="17">
        <f t="shared" si="4"/>
        <v>6</v>
      </c>
      <c r="AC12" s="17">
        <f t="shared" si="4"/>
        <v>90</v>
      </c>
      <c r="AD12" s="17">
        <f t="shared" si="4"/>
        <v>0</v>
      </c>
      <c r="AE12" s="31">
        <f t="shared" si="4"/>
        <v>208</v>
      </c>
      <c r="AF12" s="31">
        <f t="shared" si="4"/>
        <v>298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1</v>
      </c>
      <c r="F13" s="50">
        <v>22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16</v>
      </c>
      <c r="N13" s="50">
        <v>0</v>
      </c>
      <c r="O13" s="15">
        <f t="shared" si="0"/>
        <v>31</v>
      </c>
      <c r="P13" s="15">
        <f t="shared" si="1"/>
        <v>47</v>
      </c>
      <c r="R13" s="1" t="s">
        <v>9</v>
      </c>
      <c r="S13" s="17">
        <f t="shared" ref="S13:AF13" si="5">SUM(C22:C25)</f>
        <v>70</v>
      </c>
      <c r="T13" s="17">
        <f t="shared" si="5"/>
        <v>11</v>
      </c>
      <c r="U13" s="17">
        <f t="shared" si="5"/>
        <v>11</v>
      </c>
      <c r="V13" s="17">
        <f t="shared" si="5"/>
        <v>84</v>
      </c>
      <c r="W13" s="17">
        <f t="shared" si="5"/>
        <v>2</v>
      </c>
      <c r="X13" s="17">
        <f t="shared" si="5"/>
        <v>1</v>
      </c>
      <c r="Y13" s="17">
        <f t="shared" si="5"/>
        <v>38</v>
      </c>
      <c r="Z13" s="17">
        <f t="shared" si="5"/>
        <v>10</v>
      </c>
      <c r="AA13" s="17">
        <f t="shared" si="5"/>
        <v>5</v>
      </c>
      <c r="AB13" s="17">
        <f t="shared" si="5"/>
        <v>6</v>
      </c>
      <c r="AC13" s="17">
        <f t="shared" si="5"/>
        <v>77</v>
      </c>
      <c r="AD13" s="17">
        <f t="shared" si="5"/>
        <v>0</v>
      </c>
      <c r="AE13" s="31">
        <f t="shared" si="5"/>
        <v>238</v>
      </c>
      <c r="AF13" s="31">
        <f t="shared" si="5"/>
        <v>315</v>
      </c>
    </row>
    <row r="14" spans="2:32" ht="23.1" customHeight="1" x14ac:dyDescent="0.25">
      <c r="B14" s="23" t="s">
        <v>41</v>
      </c>
      <c r="C14" s="50">
        <v>9</v>
      </c>
      <c r="D14" s="50">
        <v>2</v>
      </c>
      <c r="E14" s="50">
        <v>1</v>
      </c>
      <c r="F14" s="50">
        <v>23</v>
      </c>
      <c r="G14" s="50">
        <v>0</v>
      </c>
      <c r="H14" s="50">
        <v>0</v>
      </c>
      <c r="I14" s="50">
        <v>10</v>
      </c>
      <c r="J14" s="50">
        <v>2</v>
      </c>
      <c r="K14" s="50">
        <v>0</v>
      </c>
      <c r="L14" s="50">
        <v>5</v>
      </c>
      <c r="M14" s="50">
        <v>19</v>
      </c>
      <c r="N14" s="50">
        <v>0</v>
      </c>
      <c r="O14" s="15">
        <f t="shared" si="0"/>
        <v>52</v>
      </c>
      <c r="P14" s="15">
        <f t="shared" si="1"/>
        <v>71</v>
      </c>
      <c r="R14" s="1" t="s">
        <v>10</v>
      </c>
      <c r="S14" s="17">
        <f t="shared" ref="S14:AF14" si="6">SUM(C26:C29)</f>
        <v>97</v>
      </c>
      <c r="T14" s="17">
        <f t="shared" si="6"/>
        <v>14</v>
      </c>
      <c r="U14" s="17">
        <f t="shared" si="6"/>
        <v>8</v>
      </c>
      <c r="V14" s="17">
        <f t="shared" si="6"/>
        <v>79</v>
      </c>
      <c r="W14" s="17">
        <f t="shared" si="6"/>
        <v>2</v>
      </c>
      <c r="X14" s="17">
        <f t="shared" si="6"/>
        <v>2</v>
      </c>
      <c r="Y14" s="17">
        <f t="shared" si="6"/>
        <v>46</v>
      </c>
      <c r="Z14" s="17">
        <f t="shared" si="6"/>
        <v>5</v>
      </c>
      <c r="AA14" s="17">
        <f t="shared" si="6"/>
        <v>1</v>
      </c>
      <c r="AB14" s="17">
        <f t="shared" si="6"/>
        <v>13</v>
      </c>
      <c r="AC14" s="17">
        <f t="shared" si="6"/>
        <v>104</v>
      </c>
      <c r="AD14" s="17">
        <f t="shared" si="6"/>
        <v>0</v>
      </c>
      <c r="AE14" s="31">
        <f t="shared" si="6"/>
        <v>267</v>
      </c>
      <c r="AF14" s="31">
        <f t="shared" si="6"/>
        <v>371</v>
      </c>
    </row>
    <row r="15" spans="2:32" ht="23.1" customHeight="1" x14ac:dyDescent="0.25">
      <c r="B15" s="23" t="s">
        <v>42</v>
      </c>
      <c r="C15" s="50">
        <v>13</v>
      </c>
      <c r="D15" s="50">
        <v>2</v>
      </c>
      <c r="E15" s="50">
        <v>2</v>
      </c>
      <c r="F15" s="50">
        <v>19</v>
      </c>
      <c r="G15" s="50">
        <v>0</v>
      </c>
      <c r="H15" s="50">
        <v>0</v>
      </c>
      <c r="I15" s="50">
        <v>10</v>
      </c>
      <c r="J15" s="50">
        <v>1</v>
      </c>
      <c r="K15" s="50">
        <v>0</v>
      </c>
      <c r="L15" s="50">
        <v>3</v>
      </c>
      <c r="M15" s="50">
        <v>23</v>
      </c>
      <c r="N15" s="50">
        <v>0</v>
      </c>
      <c r="O15" s="15">
        <f t="shared" si="0"/>
        <v>50</v>
      </c>
      <c r="P15" s="15">
        <f t="shared" si="1"/>
        <v>73</v>
      </c>
      <c r="R15" s="1" t="s">
        <v>11</v>
      </c>
      <c r="S15" s="17">
        <f t="shared" ref="S15:AF15" si="7">SUM(C30:C33)</f>
        <v>112</v>
      </c>
      <c r="T15" s="17">
        <f t="shared" si="7"/>
        <v>23</v>
      </c>
      <c r="U15" s="17">
        <f t="shared" si="7"/>
        <v>13</v>
      </c>
      <c r="V15" s="17">
        <f t="shared" si="7"/>
        <v>81</v>
      </c>
      <c r="W15" s="17">
        <f t="shared" si="7"/>
        <v>4</v>
      </c>
      <c r="X15" s="17">
        <f t="shared" si="7"/>
        <v>4</v>
      </c>
      <c r="Y15" s="17">
        <f t="shared" si="7"/>
        <v>39</v>
      </c>
      <c r="Z15" s="17">
        <f t="shared" si="7"/>
        <v>7</v>
      </c>
      <c r="AA15" s="17">
        <f t="shared" si="7"/>
        <v>1</v>
      </c>
      <c r="AB15" s="17">
        <f t="shared" si="7"/>
        <v>8</v>
      </c>
      <c r="AC15" s="17">
        <f t="shared" si="7"/>
        <v>110</v>
      </c>
      <c r="AD15" s="17">
        <f t="shared" si="7"/>
        <v>0</v>
      </c>
      <c r="AE15" s="31">
        <f t="shared" si="7"/>
        <v>292</v>
      </c>
      <c r="AF15" s="31">
        <f t="shared" si="7"/>
        <v>402</v>
      </c>
    </row>
    <row r="16" spans="2:32" ht="23.1" customHeight="1" x14ac:dyDescent="0.25">
      <c r="B16" s="23" t="s">
        <v>43</v>
      </c>
      <c r="C16" s="50">
        <v>6</v>
      </c>
      <c r="D16" s="50">
        <v>1</v>
      </c>
      <c r="E16" s="50">
        <v>1</v>
      </c>
      <c r="F16" s="50">
        <v>17</v>
      </c>
      <c r="G16" s="50">
        <v>3</v>
      </c>
      <c r="H16" s="50">
        <v>1</v>
      </c>
      <c r="I16" s="50">
        <v>11</v>
      </c>
      <c r="J16" s="50">
        <v>3</v>
      </c>
      <c r="K16" s="50">
        <v>1</v>
      </c>
      <c r="L16" s="50">
        <v>3</v>
      </c>
      <c r="M16" s="50">
        <v>20</v>
      </c>
      <c r="N16" s="50">
        <v>0</v>
      </c>
      <c r="O16" s="15">
        <f t="shared" si="0"/>
        <v>47</v>
      </c>
      <c r="P16" s="15">
        <f t="shared" si="1"/>
        <v>67</v>
      </c>
      <c r="R16" s="1" t="s">
        <v>12</v>
      </c>
      <c r="S16" s="17">
        <f t="shared" ref="S16:AF16" si="8">SUM(C34:C37)</f>
        <v>153</v>
      </c>
      <c r="T16" s="17">
        <f t="shared" si="8"/>
        <v>21</v>
      </c>
      <c r="U16" s="17">
        <f t="shared" si="8"/>
        <v>21</v>
      </c>
      <c r="V16" s="17">
        <f t="shared" si="8"/>
        <v>82</v>
      </c>
      <c r="W16" s="17">
        <f t="shared" si="8"/>
        <v>3</v>
      </c>
      <c r="X16" s="17">
        <f t="shared" si="8"/>
        <v>4</v>
      </c>
      <c r="Y16" s="17">
        <f t="shared" si="8"/>
        <v>43</v>
      </c>
      <c r="Z16" s="17">
        <f t="shared" si="8"/>
        <v>0</v>
      </c>
      <c r="AA16" s="17">
        <f t="shared" si="8"/>
        <v>1</v>
      </c>
      <c r="AB16" s="17">
        <f t="shared" si="8"/>
        <v>14</v>
      </c>
      <c r="AC16" s="17">
        <f t="shared" si="8"/>
        <v>82</v>
      </c>
      <c r="AD16" s="17">
        <f t="shared" si="8"/>
        <v>0</v>
      </c>
      <c r="AE16" s="31">
        <f t="shared" si="8"/>
        <v>342</v>
      </c>
      <c r="AF16" s="31">
        <f t="shared" si="8"/>
        <v>424</v>
      </c>
    </row>
    <row r="17" spans="2:32" ht="23.1" customHeight="1" x14ac:dyDescent="0.25">
      <c r="B17" s="23" t="s">
        <v>44</v>
      </c>
      <c r="C17" s="50">
        <v>14</v>
      </c>
      <c r="D17" s="50">
        <v>2</v>
      </c>
      <c r="E17" s="50">
        <v>0</v>
      </c>
      <c r="F17" s="50">
        <v>22</v>
      </c>
      <c r="G17" s="50">
        <v>2</v>
      </c>
      <c r="H17" s="50">
        <v>0</v>
      </c>
      <c r="I17" s="50">
        <v>9</v>
      </c>
      <c r="J17" s="50">
        <v>0</v>
      </c>
      <c r="K17" s="50">
        <v>2</v>
      </c>
      <c r="L17" s="50">
        <v>1</v>
      </c>
      <c r="M17" s="50">
        <v>25</v>
      </c>
      <c r="N17" s="50">
        <v>0</v>
      </c>
      <c r="O17" s="15">
        <f t="shared" si="0"/>
        <v>52</v>
      </c>
      <c r="P17" s="15">
        <f t="shared" si="1"/>
        <v>77</v>
      </c>
      <c r="R17" s="1" t="s">
        <v>13</v>
      </c>
      <c r="S17" s="17">
        <f t="shared" ref="S17:AF17" si="9">SUM(C38:C41)</f>
        <v>137</v>
      </c>
      <c r="T17" s="17">
        <f t="shared" si="9"/>
        <v>37</v>
      </c>
      <c r="U17" s="17">
        <f t="shared" si="9"/>
        <v>40</v>
      </c>
      <c r="V17" s="17">
        <f t="shared" si="9"/>
        <v>88</v>
      </c>
      <c r="W17" s="17">
        <f t="shared" si="9"/>
        <v>4</v>
      </c>
      <c r="X17" s="17">
        <f t="shared" si="9"/>
        <v>6</v>
      </c>
      <c r="Y17" s="17">
        <f t="shared" si="9"/>
        <v>41</v>
      </c>
      <c r="Z17" s="17">
        <f t="shared" si="9"/>
        <v>3</v>
      </c>
      <c r="AA17" s="17">
        <f t="shared" si="9"/>
        <v>0</v>
      </c>
      <c r="AB17" s="17">
        <f t="shared" si="9"/>
        <v>11</v>
      </c>
      <c r="AC17" s="17">
        <f t="shared" si="9"/>
        <v>105</v>
      </c>
      <c r="AD17" s="17">
        <f t="shared" si="9"/>
        <v>0</v>
      </c>
      <c r="AE17" s="31">
        <f t="shared" si="9"/>
        <v>367</v>
      </c>
      <c r="AF17" s="31">
        <f t="shared" si="9"/>
        <v>472</v>
      </c>
    </row>
    <row r="18" spans="2:32" ht="23.1" customHeight="1" x14ac:dyDescent="0.25">
      <c r="B18" s="23" t="s">
        <v>45</v>
      </c>
      <c r="C18" s="50">
        <v>10</v>
      </c>
      <c r="D18" s="50">
        <v>0</v>
      </c>
      <c r="E18" s="50">
        <v>7</v>
      </c>
      <c r="F18" s="50">
        <v>16</v>
      </c>
      <c r="G18" s="50">
        <v>1</v>
      </c>
      <c r="H18" s="50">
        <v>2</v>
      </c>
      <c r="I18" s="50">
        <v>10</v>
      </c>
      <c r="J18" s="50">
        <v>3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49</v>
      </c>
      <c r="P18" s="15">
        <f t="shared" si="1"/>
        <v>68</v>
      </c>
      <c r="R18" s="1" t="s">
        <v>14</v>
      </c>
      <c r="S18" s="17">
        <f t="shared" ref="S18:AF18" si="10">SUM(C42:C45)</f>
        <v>209</v>
      </c>
      <c r="T18" s="17">
        <f t="shared" si="10"/>
        <v>44</v>
      </c>
      <c r="U18" s="17">
        <f t="shared" si="10"/>
        <v>39</v>
      </c>
      <c r="V18" s="17">
        <f t="shared" si="10"/>
        <v>106</v>
      </c>
      <c r="W18" s="17">
        <f t="shared" si="10"/>
        <v>2</v>
      </c>
      <c r="X18" s="17">
        <f t="shared" si="10"/>
        <v>7</v>
      </c>
      <c r="Y18" s="17">
        <f t="shared" si="10"/>
        <v>40</v>
      </c>
      <c r="Z18" s="17">
        <f t="shared" si="10"/>
        <v>8</v>
      </c>
      <c r="AA18" s="17">
        <f t="shared" si="10"/>
        <v>2</v>
      </c>
      <c r="AB18" s="17">
        <f t="shared" si="10"/>
        <v>7</v>
      </c>
      <c r="AC18" s="17">
        <f t="shared" si="10"/>
        <v>117</v>
      </c>
      <c r="AD18" s="17">
        <f t="shared" si="10"/>
        <v>0</v>
      </c>
      <c r="AE18" s="31">
        <f t="shared" si="10"/>
        <v>464</v>
      </c>
      <c r="AF18" s="31">
        <f t="shared" si="10"/>
        <v>581</v>
      </c>
    </row>
    <row r="19" spans="2:32" ht="23.1" customHeight="1" x14ac:dyDescent="0.25">
      <c r="B19" s="23" t="s">
        <v>46</v>
      </c>
      <c r="C19" s="50">
        <v>15</v>
      </c>
      <c r="D19" s="50">
        <v>0</v>
      </c>
      <c r="E19" s="50">
        <v>3</v>
      </c>
      <c r="F19" s="50">
        <v>24</v>
      </c>
      <c r="G19" s="50">
        <v>1</v>
      </c>
      <c r="H19" s="50">
        <v>0</v>
      </c>
      <c r="I19" s="50">
        <v>9</v>
      </c>
      <c r="J19" s="50">
        <v>3</v>
      </c>
      <c r="K19" s="50">
        <v>0</v>
      </c>
      <c r="L19" s="50">
        <v>4</v>
      </c>
      <c r="M19" s="50">
        <v>29</v>
      </c>
      <c r="N19" s="50">
        <v>0</v>
      </c>
      <c r="O19" s="15">
        <f t="shared" si="0"/>
        <v>59</v>
      </c>
      <c r="P19" s="15">
        <f t="shared" si="1"/>
        <v>88</v>
      </c>
      <c r="R19" s="1" t="s">
        <v>15</v>
      </c>
      <c r="S19" s="17">
        <f t="shared" ref="S19:AF19" si="11">SUM(C46:C49)</f>
        <v>262</v>
      </c>
      <c r="T19" s="17">
        <f t="shared" si="11"/>
        <v>68</v>
      </c>
      <c r="U19" s="17">
        <f t="shared" si="11"/>
        <v>37</v>
      </c>
      <c r="V19" s="17">
        <f t="shared" si="11"/>
        <v>154</v>
      </c>
      <c r="W19" s="17">
        <f t="shared" si="11"/>
        <v>17</v>
      </c>
      <c r="X19" s="17">
        <f t="shared" si="11"/>
        <v>10</v>
      </c>
      <c r="Y19" s="17">
        <f t="shared" si="11"/>
        <v>56</v>
      </c>
      <c r="Z19" s="17">
        <f t="shared" si="11"/>
        <v>7</v>
      </c>
      <c r="AA19" s="17">
        <f t="shared" si="11"/>
        <v>5</v>
      </c>
      <c r="AB19" s="17">
        <f t="shared" si="11"/>
        <v>11</v>
      </c>
      <c r="AC19" s="17">
        <f t="shared" si="11"/>
        <v>192</v>
      </c>
      <c r="AD19" s="17">
        <f t="shared" si="11"/>
        <v>0</v>
      </c>
      <c r="AE19" s="31">
        <f t="shared" si="11"/>
        <v>627</v>
      </c>
      <c r="AF19" s="31">
        <f t="shared" si="11"/>
        <v>819</v>
      </c>
    </row>
    <row r="20" spans="2:32" ht="23.1" customHeight="1" x14ac:dyDescent="0.25">
      <c r="B20" s="23" t="s">
        <v>47</v>
      </c>
      <c r="C20" s="50">
        <v>16</v>
      </c>
      <c r="D20" s="50">
        <v>4</v>
      </c>
      <c r="E20" s="50">
        <v>6</v>
      </c>
      <c r="F20" s="50">
        <v>22</v>
      </c>
      <c r="G20" s="50">
        <v>0</v>
      </c>
      <c r="H20" s="50">
        <v>0</v>
      </c>
      <c r="I20" s="50">
        <v>8</v>
      </c>
      <c r="J20" s="50">
        <v>3</v>
      </c>
      <c r="K20" s="50">
        <v>0</v>
      </c>
      <c r="L20" s="50">
        <v>2</v>
      </c>
      <c r="M20" s="50">
        <v>20</v>
      </c>
      <c r="N20" s="50">
        <v>0</v>
      </c>
      <c r="O20" s="15">
        <f t="shared" si="0"/>
        <v>61</v>
      </c>
      <c r="P20" s="15">
        <f t="shared" si="1"/>
        <v>81</v>
      </c>
      <c r="R20" s="1" t="s">
        <v>16</v>
      </c>
      <c r="S20" s="17">
        <f t="shared" ref="S20:AF20" si="12">SUM(C50:C53)</f>
        <v>183</v>
      </c>
      <c r="T20" s="17">
        <f t="shared" si="12"/>
        <v>62</v>
      </c>
      <c r="U20" s="17">
        <f t="shared" si="12"/>
        <v>29</v>
      </c>
      <c r="V20" s="17">
        <f t="shared" si="12"/>
        <v>121</v>
      </c>
      <c r="W20" s="17">
        <f t="shared" si="12"/>
        <v>19</v>
      </c>
      <c r="X20" s="17">
        <f t="shared" si="12"/>
        <v>4</v>
      </c>
      <c r="Y20" s="17">
        <f t="shared" si="12"/>
        <v>62</v>
      </c>
      <c r="Z20" s="17">
        <f t="shared" si="12"/>
        <v>5</v>
      </c>
      <c r="AA20" s="17">
        <f t="shared" si="12"/>
        <v>4</v>
      </c>
      <c r="AB20" s="17">
        <f t="shared" si="12"/>
        <v>7</v>
      </c>
      <c r="AC20" s="17">
        <f t="shared" si="12"/>
        <v>180</v>
      </c>
      <c r="AD20" s="17">
        <f t="shared" si="12"/>
        <v>0</v>
      </c>
      <c r="AE20" s="31">
        <f t="shared" si="12"/>
        <v>496</v>
      </c>
      <c r="AF20" s="31">
        <f t="shared" si="12"/>
        <v>676</v>
      </c>
    </row>
    <row r="21" spans="2:32" ht="23.1" customHeight="1" x14ac:dyDescent="0.25">
      <c r="B21" s="23" t="s">
        <v>48</v>
      </c>
      <c r="C21" s="50">
        <v>12</v>
      </c>
      <c r="D21" s="50">
        <v>6</v>
      </c>
      <c r="E21" s="50">
        <v>1</v>
      </c>
      <c r="F21" s="50">
        <v>18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22</v>
      </c>
      <c r="N21" s="50">
        <v>0</v>
      </c>
      <c r="O21" s="15">
        <f t="shared" si="0"/>
        <v>39</v>
      </c>
      <c r="P21" s="15">
        <f t="shared" si="1"/>
        <v>61</v>
      </c>
      <c r="R21" s="36" t="s">
        <v>20</v>
      </c>
      <c r="S21" s="34">
        <f t="shared" ref="S21:AF21" si="13">SUM(C54:C57)</f>
        <v>203</v>
      </c>
      <c r="T21" s="17">
        <f t="shared" si="13"/>
        <v>27</v>
      </c>
      <c r="U21" s="17">
        <f t="shared" si="13"/>
        <v>30</v>
      </c>
      <c r="V21" s="17">
        <f t="shared" si="13"/>
        <v>106</v>
      </c>
      <c r="W21" s="17">
        <f t="shared" si="13"/>
        <v>6</v>
      </c>
      <c r="X21" s="17">
        <f t="shared" si="13"/>
        <v>6</v>
      </c>
      <c r="Y21" s="17">
        <f t="shared" si="13"/>
        <v>53</v>
      </c>
      <c r="Z21" s="17">
        <f t="shared" si="13"/>
        <v>14</v>
      </c>
      <c r="AA21" s="17">
        <f t="shared" si="13"/>
        <v>2</v>
      </c>
      <c r="AB21" s="17">
        <f t="shared" si="13"/>
        <v>8</v>
      </c>
      <c r="AC21" s="17">
        <f t="shared" si="13"/>
        <v>128</v>
      </c>
      <c r="AD21" s="17">
        <f t="shared" si="13"/>
        <v>0</v>
      </c>
      <c r="AE21" s="31">
        <f t="shared" si="13"/>
        <v>455</v>
      </c>
      <c r="AF21" s="31">
        <f t="shared" si="13"/>
        <v>583</v>
      </c>
    </row>
    <row r="22" spans="2:32" ht="23.1" customHeight="1" x14ac:dyDescent="0.25">
      <c r="B22" s="23" t="s">
        <v>49</v>
      </c>
      <c r="C22" s="50">
        <v>18</v>
      </c>
      <c r="D22" s="50">
        <v>2</v>
      </c>
      <c r="E22" s="50">
        <v>2</v>
      </c>
      <c r="F22" s="50">
        <v>26</v>
      </c>
      <c r="G22" s="50">
        <v>0</v>
      </c>
      <c r="H22" s="50">
        <v>1</v>
      </c>
      <c r="I22" s="50">
        <v>12</v>
      </c>
      <c r="J22" s="50">
        <v>2</v>
      </c>
      <c r="K22" s="50">
        <v>0</v>
      </c>
      <c r="L22" s="50">
        <v>2</v>
      </c>
      <c r="M22" s="50">
        <v>28</v>
      </c>
      <c r="N22" s="50">
        <v>0</v>
      </c>
      <c r="O22" s="15">
        <f t="shared" si="0"/>
        <v>65</v>
      </c>
      <c r="P22" s="15">
        <f t="shared" si="1"/>
        <v>93</v>
      </c>
      <c r="R22" s="38" t="s">
        <v>90</v>
      </c>
      <c r="S22" s="39">
        <f>MAX(S10:S12)</f>
        <v>53</v>
      </c>
      <c r="T22" s="39">
        <f t="shared" ref="T22:AF22" si="14">MAX(T10:T12)</f>
        <v>10</v>
      </c>
      <c r="U22" s="39">
        <f t="shared" si="14"/>
        <v>17</v>
      </c>
      <c r="V22" s="39">
        <f t="shared" si="14"/>
        <v>81</v>
      </c>
      <c r="W22" s="39">
        <f t="shared" si="14"/>
        <v>5</v>
      </c>
      <c r="X22" s="39">
        <f t="shared" si="14"/>
        <v>2</v>
      </c>
      <c r="Y22" s="39">
        <f t="shared" si="14"/>
        <v>40</v>
      </c>
      <c r="Z22" s="39">
        <f t="shared" si="14"/>
        <v>10</v>
      </c>
      <c r="AA22" s="39">
        <f t="shared" si="14"/>
        <v>3</v>
      </c>
      <c r="AB22" s="39">
        <f t="shared" si="14"/>
        <v>12</v>
      </c>
      <c r="AC22" s="39">
        <f t="shared" si="14"/>
        <v>90</v>
      </c>
      <c r="AD22" s="39">
        <f t="shared" si="14"/>
        <v>0</v>
      </c>
      <c r="AE22" s="40">
        <f t="shared" si="14"/>
        <v>208</v>
      </c>
      <c r="AF22" s="40">
        <f t="shared" si="14"/>
        <v>298</v>
      </c>
    </row>
    <row r="23" spans="2:32" ht="23.1" customHeight="1" x14ac:dyDescent="0.25">
      <c r="B23" s="23" t="s">
        <v>50</v>
      </c>
      <c r="C23" s="50">
        <v>21</v>
      </c>
      <c r="D23" s="50">
        <v>1</v>
      </c>
      <c r="E23" s="50">
        <v>2</v>
      </c>
      <c r="F23" s="50">
        <v>11</v>
      </c>
      <c r="G23" s="50">
        <v>0</v>
      </c>
      <c r="H23" s="50">
        <v>0</v>
      </c>
      <c r="I23" s="50">
        <v>4</v>
      </c>
      <c r="J23" s="50">
        <v>2</v>
      </c>
      <c r="K23" s="50">
        <v>5</v>
      </c>
      <c r="L23" s="50">
        <v>1</v>
      </c>
      <c r="M23" s="50">
        <v>6</v>
      </c>
      <c r="N23" s="50">
        <v>0</v>
      </c>
      <c r="O23" s="15">
        <f t="shared" si="0"/>
        <v>47</v>
      </c>
      <c r="P23" s="15">
        <f t="shared" si="1"/>
        <v>53</v>
      </c>
      <c r="R23" s="38" t="s">
        <v>91</v>
      </c>
      <c r="S23" s="39">
        <f>MAX(S13:S18)</f>
        <v>209</v>
      </c>
      <c r="T23" s="39">
        <f t="shared" ref="T23:AF23" si="15">MAX(T13:T18)</f>
        <v>44</v>
      </c>
      <c r="U23" s="39">
        <f t="shared" si="15"/>
        <v>40</v>
      </c>
      <c r="V23" s="39">
        <f t="shared" si="15"/>
        <v>106</v>
      </c>
      <c r="W23" s="39">
        <f t="shared" si="15"/>
        <v>4</v>
      </c>
      <c r="X23" s="39">
        <f t="shared" si="15"/>
        <v>7</v>
      </c>
      <c r="Y23" s="39">
        <f t="shared" si="15"/>
        <v>46</v>
      </c>
      <c r="Z23" s="39">
        <f t="shared" si="15"/>
        <v>10</v>
      </c>
      <c r="AA23" s="39">
        <f t="shared" si="15"/>
        <v>5</v>
      </c>
      <c r="AB23" s="39">
        <f t="shared" si="15"/>
        <v>14</v>
      </c>
      <c r="AC23" s="39">
        <f t="shared" si="15"/>
        <v>117</v>
      </c>
      <c r="AD23" s="39">
        <f t="shared" si="15"/>
        <v>0</v>
      </c>
      <c r="AE23" s="40">
        <f t="shared" si="15"/>
        <v>464</v>
      </c>
      <c r="AF23" s="40">
        <f t="shared" si="15"/>
        <v>581</v>
      </c>
    </row>
    <row r="24" spans="2:32" ht="23.1" customHeight="1" x14ac:dyDescent="0.25">
      <c r="B24" s="23" t="s">
        <v>51</v>
      </c>
      <c r="C24" s="50">
        <v>21</v>
      </c>
      <c r="D24" s="50">
        <v>3</v>
      </c>
      <c r="E24" s="50">
        <v>4</v>
      </c>
      <c r="F24" s="50">
        <v>24</v>
      </c>
      <c r="G24" s="50">
        <v>2</v>
      </c>
      <c r="H24" s="50">
        <v>0</v>
      </c>
      <c r="I24" s="50">
        <v>12</v>
      </c>
      <c r="J24" s="50">
        <v>2</v>
      </c>
      <c r="K24" s="50">
        <v>0</v>
      </c>
      <c r="L24" s="50">
        <v>1</v>
      </c>
      <c r="M24" s="50">
        <v>20</v>
      </c>
      <c r="N24" s="50">
        <v>0</v>
      </c>
      <c r="O24" s="15">
        <f t="shared" si="0"/>
        <v>69</v>
      </c>
      <c r="P24" s="15">
        <f t="shared" si="1"/>
        <v>89</v>
      </c>
      <c r="R24" s="38" t="s">
        <v>92</v>
      </c>
      <c r="S24" s="39">
        <f>MAX(S19:S21)</f>
        <v>262</v>
      </c>
      <c r="T24" s="39">
        <f t="shared" ref="T24:AF24" si="16">MAX(T19:T21)</f>
        <v>68</v>
      </c>
      <c r="U24" s="39">
        <f t="shared" si="16"/>
        <v>37</v>
      </c>
      <c r="V24" s="39">
        <f t="shared" si="16"/>
        <v>154</v>
      </c>
      <c r="W24" s="39">
        <f t="shared" si="16"/>
        <v>19</v>
      </c>
      <c r="X24" s="39">
        <f t="shared" si="16"/>
        <v>10</v>
      </c>
      <c r="Y24" s="39">
        <f t="shared" si="16"/>
        <v>62</v>
      </c>
      <c r="Z24" s="39">
        <f t="shared" si="16"/>
        <v>14</v>
      </c>
      <c r="AA24" s="39">
        <f t="shared" si="16"/>
        <v>5</v>
      </c>
      <c r="AB24" s="39">
        <f t="shared" si="16"/>
        <v>11</v>
      </c>
      <c r="AC24" s="39">
        <f t="shared" si="16"/>
        <v>192</v>
      </c>
      <c r="AD24" s="39">
        <f t="shared" si="16"/>
        <v>0</v>
      </c>
      <c r="AE24" s="40">
        <f t="shared" si="16"/>
        <v>627</v>
      </c>
      <c r="AF24" s="40">
        <f t="shared" si="16"/>
        <v>819</v>
      </c>
    </row>
    <row r="25" spans="2:32" ht="23.1" customHeight="1" x14ac:dyDescent="0.25">
      <c r="B25" s="23" t="s">
        <v>52</v>
      </c>
      <c r="C25" s="50">
        <v>10</v>
      </c>
      <c r="D25" s="50">
        <v>5</v>
      </c>
      <c r="E25" s="50">
        <v>3</v>
      </c>
      <c r="F25" s="50">
        <v>23</v>
      </c>
      <c r="G25" s="50">
        <v>0</v>
      </c>
      <c r="H25" s="50">
        <v>0</v>
      </c>
      <c r="I25" s="50">
        <v>10</v>
      </c>
      <c r="J25" s="50">
        <v>4</v>
      </c>
      <c r="K25" s="50">
        <v>0</v>
      </c>
      <c r="L25" s="50">
        <v>2</v>
      </c>
      <c r="M25" s="50">
        <v>23</v>
      </c>
      <c r="N25" s="50">
        <v>0</v>
      </c>
      <c r="O25" s="15">
        <f t="shared" si="0"/>
        <v>57</v>
      </c>
      <c r="P25" s="15">
        <f t="shared" si="1"/>
        <v>80</v>
      </c>
      <c r="R25" s="37" t="s">
        <v>85</v>
      </c>
      <c r="S25" s="35">
        <f t="shared" ref="S25:AF25" si="17">SUM(S10:S12)</f>
        <v>114</v>
      </c>
      <c r="T25" s="16">
        <f t="shared" si="17"/>
        <v>22</v>
      </c>
      <c r="U25" s="16">
        <f t="shared" si="17"/>
        <v>27</v>
      </c>
      <c r="V25" s="16">
        <f t="shared" si="17"/>
        <v>215</v>
      </c>
      <c r="W25" s="16">
        <f t="shared" si="17"/>
        <v>11</v>
      </c>
      <c r="X25" s="16">
        <f t="shared" si="17"/>
        <v>4</v>
      </c>
      <c r="Y25" s="16">
        <f t="shared" si="17"/>
        <v>91</v>
      </c>
      <c r="Z25" s="16">
        <f t="shared" si="17"/>
        <v>19</v>
      </c>
      <c r="AA25" s="16">
        <f t="shared" si="17"/>
        <v>3</v>
      </c>
      <c r="AB25" s="16">
        <f t="shared" si="17"/>
        <v>22</v>
      </c>
      <c r="AC25" s="16">
        <f t="shared" si="17"/>
        <v>233</v>
      </c>
      <c r="AD25" s="16">
        <f t="shared" si="17"/>
        <v>0</v>
      </c>
      <c r="AE25" s="32">
        <f t="shared" si="17"/>
        <v>528</v>
      </c>
      <c r="AF25" s="32">
        <f t="shared" si="17"/>
        <v>761</v>
      </c>
    </row>
    <row r="26" spans="2:32" ht="23.1" customHeight="1" x14ac:dyDescent="0.25">
      <c r="B26" s="23" t="s">
        <v>53</v>
      </c>
      <c r="C26" s="50">
        <v>18</v>
      </c>
      <c r="D26" s="50">
        <v>6</v>
      </c>
      <c r="E26" s="50">
        <v>2</v>
      </c>
      <c r="F26" s="50">
        <v>19</v>
      </c>
      <c r="G26" s="50">
        <v>0</v>
      </c>
      <c r="H26" s="50">
        <v>1</v>
      </c>
      <c r="I26" s="50">
        <v>10</v>
      </c>
      <c r="J26" s="50">
        <v>2</v>
      </c>
      <c r="K26" s="50">
        <v>0</v>
      </c>
      <c r="L26" s="50">
        <v>1</v>
      </c>
      <c r="M26" s="50">
        <v>23</v>
      </c>
      <c r="N26" s="50">
        <v>0</v>
      </c>
      <c r="O26" s="15">
        <f t="shared" si="0"/>
        <v>59</v>
      </c>
      <c r="P26" s="15">
        <f t="shared" si="1"/>
        <v>82</v>
      </c>
      <c r="R26" s="28" t="s">
        <v>86</v>
      </c>
      <c r="S26" s="16">
        <f t="shared" ref="S26:AF26" si="18">SUM(S13:S18)</f>
        <v>778</v>
      </c>
      <c r="T26" s="16">
        <f t="shared" si="18"/>
        <v>150</v>
      </c>
      <c r="U26" s="16">
        <f t="shared" si="18"/>
        <v>132</v>
      </c>
      <c r="V26" s="16">
        <f t="shared" si="18"/>
        <v>520</v>
      </c>
      <c r="W26" s="16">
        <f t="shared" si="18"/>
        <v>17</v>
      </c>
      <c r="X26" s="16">
        <f t="shared" si="18"/>
        <v>24</v>
      </c>
      <c r="Y26" s="16">
        <f t="shared" si="18"/>
        <v>247</v>
      </c>
      <c r="Z26" s="16">
        <f t="shared" si="18"/>
        <v>33</v>
      </c>
      <c r="AA26" s="16">
        <f t="shared" si="18"/>
        <v>10</v>
      </c>
      <c r="AB26" s="16">
        <f t="shared" si="18"/>
        <v>59</v>
      </c>
      <c r="AC26" s="16">
        <f t="shared" si="18"/>
        <v>595</v>
      </c>
      <c r="AD26" s="16">
        <f t="shared" si="18"/>
        <v>0</v>
      </c>
      <c r="AE26" s="32">
        <f t="shared" si="18"/>
        <v>1970</v>
      </c>
      <c r="AF26" s="32">
        <f t="shared" si="18"/>
        <v>2565</v>
      </c>
    </row>
    <row r="27" spans="2:32" ht="23.1" customHeight="1" x14ac:dyDescent="0.25">
      <c r="B27" s="23" t="s">
        <v>54</v>
      </c>
      <c r="C27" s="50">
        <v>24</v>
      </c>
      <c r="D27" s="50">
        <v>1</v>
      </c>
      <c r="E27" s="50">
        <v>1</v>
      </c>
      <c r="F27" s="50">
        <v>16</v>
      </c>
      <c r="G27" s="50">
        <v>0</v>
      </c>
      <c r="H27" s="50">
        <v>0</v>
      </c>
      <c r="I27" s="50">
        <v>10</v>
      </c>
      <c r="J27" s="50">
        <v>2</v>
      </c>
      <c r="K27" s="50">
        <v>0</v>
      </c>
      <c r="L27" s="50">
        <v>4</v>
      </c>
      <c r="M27" s="50">
        <v>30</v>
      </c>
      <c r="N27" s="50">
        <v>0</v>
      </c>
      <c r="O27" s="15">
        <f t="shared" si="0"/>
        <v>58</v>
      </c>
      <c r="P27" s="15">
        <f t="shared" si="1"/>
        <v>88</v>
      </c>
      <c r="R27" s="29" t="s">
        <v>87</v>
      </c>
      <c r="S27" s="16">
        <f t="shared" ref="S27:AF27" si="19">SUM(S19:S21)</f>
        <v>648</v>
      </c>
      <c r="T27" s="16">
        <f t="shared" si="19"/>
        <v>157</v>
      </c>
      <c r="U27" s="16">
        <f t="shared" si="19"/>
        <v>96</v>
      </c>
      <c r="V27" s="16">
        <f t="shared" si="19"/>
        <v>381</v>
      </c>
      <c r="W27" s="16">
        <f t="shared" si="19"/>
        <v>42</v>
      </c>
      <c r="X27" s="16">
        <f t="shared" si="19"/>
        <v>20</v>
      </c>
      <c r="Y27" s="16">
        <f t="shared" si="19"/>
        <v>171</v>
      </c>
      <c r="Z27" s="16">
        <f t="shared" si="19"/>
        <v>26</v>
      </c>
      <c r="AA27" s="16">
        <f t="shared" si="19"/>
        <v>11</v>
      </c>
      <c r="AB27" s="16">
        <f t="shared" si="19"/>
        <v>26</v>
      </c>
      <c r="AC27" s="16">
        <f t="shared" si="19"/>
        <v>500</v>
      </c>
      <c r="AD27" s="16">
        <f t="shared" si="19"/>
        <v>0</v>
      </c>
      <c r="AE27" s="32">
        <f t="shared" si="19"/>
        <v>1578</v>
      </c>
      <c r="AF27" s="32">
        <f t="shared" si="19"/>
        <v>2078</v>
      </c>
    </row>
    <row r="28" spans="2:32" ht="23.1" customHeight="1" x14ac:dyDescent="0.25">
      <c r="B28" s="23" t="s">
        <v>55</v>
      </c>
      <c r="C28" s="50">
        <v>25</v>
      </c>
      <c r="D28" s="50">
        <v>5</v>
      </c>
      <c r="E28" s="50">
        <v>1</v>
      </c>
      <c r="F28" s="50">
        <v>24</v>
      </c>
      <c r="G28" s="50">
        <v>1</v>
      </c>
      <c r="H28" s="50">
        <v>1</v>
      </c>
      <c r="I28" s="50">
        <v>11</v>
      </c>
      <c r="J28" s="50">
        <v>1</v>
      </c>
      <c r="K28" s="50">
        <v>1</v>
      </c>
      <c r="L28" s="50">
        <v>4</v>
      </c>
      <c r="M28" s="50">
        <v>31</v>
      </c>
      <c r="N28" s="50">
        <v>0</v>
      </c>
      <c r="O28" s="15">
        <f t="shared" si="0"/>
        <v>74</v>
      </c>
      <c r="P28" s="15">
        <f t="shared" si="1"/>
        <v>105</v>
      </c>
      <c r="R28" s="5" t="s">
        <v>17</v>
      </c>
      <c r="S28" s="16">
        <f t="shared" ref="S28:AF28" si="20">SUM(S10:S21)</f>
        <v>1540</v>
      </c>
      <c r="T28" s="16">
        <f t="shared" si="20"/>
        <v>329</v>
      </c>
      <c r="U28" s="16">
        <f t="shared" si="20"/>
        <v>255</v>
      </c>
      <c r="V28" s="16">
        <f t="shared" si="20"/>
        <v>1116</v>
      </c>
      <c r="W28" s="16">
        <f t="shared" si="20"/>
        <v>70</v>
      </c>
      <c r="X28" s="16">
        <f t="shared" si="20"/>
        <v>48</v>
      </c>
      <c r="Y28" s="16">
        <f t="shared" si="20"/>
        <v>509</v>
      </c>
      <c r="Z28" s="16">
        <f t="shared" si="20"/>
        <v>78</v>
      </c>
      <c r="AA28" s="16">
        <f t="shared" si="20"/>
        <v>24</v>
      </c>
      <c r="AB28" s="16">
        <f t="shared" si="20"/>
        <v>107</v>
      </c>
      <c r="AC28" s="16">
        <f t="shared" si="20"/>
        <v>1328</v>
      </c>
      <c r="AD28" s="16">
        <f t="shared" si="20"/>
        <v>0</v>
      </c>
      <c r="AE28" s="32">
        <f t="shared" si="20"/>
        <v>4076</v>
      </c>
      <c r="AF28" s="32">
        <f t="shared" si="20"/>
        <v>5404</v>
      </c>
    </row>
    <row r="29" spans="2:32" ht="23.1" customHeight="1" x14ac:dyDescent="0.25">
      <c r="B29" s="23" t="s">
        <v>56</v>
      </c>
      <c r="C29" s="50">
        <v>30</v>
      </c>
      <c r="D29" s="50">
        <v>2</v>
      </c>
      <c r="E29" s="50">
        <v>4</v>
      </c>
      <c r="F29" s="50">
        <v>20</v>
      </c>
      <c r="G29" s="50">
        <v>1</v>
      </c>
      <c r="H29" s="50">
        <v>0</v>
      </c>
      <c r="I29" s="50">
        <v>15</v>
      </c>
      <c r="J29" s="50">
        <v>0</v>
      </c>
      <c r="K29" s="50">
        <v>0</v>
      </c>
      <c r="L29" s="50">
        <v>4</v>
      </c>
      <c r="M29" s="50">
        <v>20</v>
      </c>
      <c r="N29" s="50">
        <v>0</v>
      </c>
      <c r="O29" s="15">
        <f t="shared" si="0"/>
        <v>76</v>
      </c>
      <c r="P29" s="15">
        <f t="shared" si="1"/>
        <v>96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3</v>
      </c>
      <c r="E30" s="50">
        <v>3</v>
      </c>
      <c r="F30" s="50">
        <v>23</v>
      </c>
      <c r="G30" s="50">
        <v>0</v>
      </c>
      <c r="H30" s="50">
        <v>1</v>
      </c>
      <c r="I30" s="50">
        <v>8</v>
      </c>
      <c r="J30" s="50">
        <v>1</v>
      </c>
      <c r="K30" s="50">
        <v>0</v>
      </c>
      <c r="L30" s="50">
        <v>1</v>
      </c>
      <c r="M30" s="50">
        <v>23</v>
      </c>
      <c r="N30" s="50">
        <v>0</v>
      </c>
      <c r="O30" s="15">
        <f t="shared" si="0"/>
        <v>65</v>
      </c>
      <c r="P30" s="15">
        <f t="shared" si="1"/>
        <v>88</v>
      </c>
    </row>
    <row r="31" spans="2:32" ht="23.1" customHeight="1" x14ac:dyDescent="0.25">
      <c r="B31" s="24" t="s">
        <v>58</v>
      </c>
      <c r="C31" s="50">
        <v>28</v>
      </c>
      <c r="D31" s="50">
        <v>9</v>
      </c>
      <c r="E31" s="50">
        <v>4</v>
      </c>
      <c r="F31" s="50">
        <v>22</v>
      </c>
      <c r="G31" s="50">
        <v>0</v>
      </c>
      <c r="H31" s="50">
        <v>0</v>
      </c>
      <c r="I31" s="50">
        <v>12</v>
      </c>
      <c r="J31" s="50">
        <v>3</v>
      </c>
      <c r="K31" s="50">
        <v>0</v>
      </c>
      <c r="L31" s="50">
        <v>3</v>
      </c>
      <c r="M31" s="50">
        <v>31</v>
      </c>
      <c r="N31" s="50">
        <v>0</v>
      </c>
      <c r="O31" s="15">
        <f t="shared" si="0"/>
        <v>81</v>
      </c>
      <c r="P31" s="15">
        <f t="shared" si="1"/>
        <v>112</v>
      </c>
    </row>
    <row r="32" spans="2:32" ht="23.1" customHeight="1" x14ac:dyDescent="0.25">
      <c r="B32" s="24" t="s">
        <v>59</v>
      </c>
      <c r="C32" s="50">
        <v>30</v>
      </c>
      <c r="D32" s="50">
        <v>3</v>
      </c>
      <c r="E32" s="50">
        <v>2</v>
      </c>
      <c r="F32" s="50">
        <v>16</v>
      </c>
      <c r="G32" s="50">
        <v>2</v>
      </c>
      <c r="H32" s="50">
        <v>0</v>
      </c>
      <c r="I32" s="50">
        <v>7</v>
      </c>
      <c r="J32" s="50">
        <v>1</v>
      </c>
      <c r="K32" s="50">
        <v>0</v>
      </c>
      <c r="L32" s="50">
        <v>0</v>
      </c>
      <c r="M32" s="50">
        <v>33</v>
      </c>
      <c r="N32" s="50">
        <v>0</v>
      </c>
      <c r="O32" s="15">
        <f t="shared" si="0"/>
        <v>61</v>
      </c>
      <c r="P32" s="15">
        <f t="shared" si="1"/>
        <v>94</v>
      </c>
    </row>
    <row r="33" spans="2:20" ht="23.1" customHeight="1" x14ac:dyDescent="0.25">
      <c r="B33" s="23" t="s">
        <v>60</v>
      </c>
      <c r="C33" s="50">
        <v>29</v>
      </c>
      <c r="D33" s="50">
        <v>8</v>
      </c>
      <c r="E33" s="50">
        <v>4</v>
      </c>
      <c r="F33" s="50">
        <v>20</v>
      </c>
      <c r="G33" s="50">
        <v>2</v>
      </c>
      <c r="H33" s="50">
        <v>3</v>
      </c>
      <c r="I33" s="50">
        <v>12</v>
      </c>
      <c r="J33" s="50">
        <v>2</v>
      </c>
      <c r="K33" s="50">
        <v>1</v>
      </c>
      <c r="L33" s="50">
        <v>4</v>
      </c>
      <c r="M33" s="50">
        <v>23</v>
      </c>
      <c r="N33" s="50">
        <v>0</v>
      </c>
      <c r="O33" s="15">
        <f t="shared" si="0"/>
        <v>85</v>
      </c>
      <c r="P33" s="15">
        <f t="shared" si="1"/>
        <v>108</v>
      </c>
    </row>
    <row r="34" spans="2:20" ht="23.1" customHeight="1" x14ac:dyDescent="0.25">
      <c r="B34" s="24" t="s">
        <v>61</v>
      </c>
      <c r="C34" s="50">
        <v>32</v>
      </c>
      <c r="D34" s="50">
        <v>3</v>
      </c>
      <c r="E34" s="50">
        <v>6</v>
      </c>
      <c r="F34" s="50">
        <v>17</v>
      </c>
      <c r="G34" s="50">
        <v>1</v>
      </c>
      <c r="H34" s="50">
        <v>0</v>
      </c>
      <c r="I34" s="50">
        <v>14</v>
      </c>
      <c r="J34" s="50">
        <v>0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73</v>
      </c>
      <c r="P34" s="15">
        <f t="shared" si="1"/>
        <v>98</v>
      </c>
    </row>
    <row r="35" spans="2:20" ht="23.1" customHeight="1" x14ac:dyDescent="0.25">
      <c r="B35" s="24" t="s">
        <v>62</v>
      </c>
      <c r="C35" s="50">
        <v>34</v>
      </c>
      <c r="D35" s="50">
        <v>5</v>
      </c>
      <c r="E35" s="50">
        <v>7</v>
      </c>
      <c r="F35" s="50">
        <v>27</v>
      </c>
      <c r="G35" s="50">
        <v>1</v>
      </c>
      <c r="H35" s="50">
        <v>0</v>
      </c>
      <c r="I35" s="50">
        <v>10</v>
      </c>
      <c r="J35" s="50">
        <v>0</v>
      </c>
      <c r="K35" s="50">
        <v>0</v>
      </c>
      <c r="L35" s="50">
        <v>3</v>
      </c>
      <c r="M35" s="50">
        <v>21</v>
      </c>
      <c r="N35" s="50">
        <v>0</v>
      </c>
      <c r="O35" s="15">
        <f t="shared" si="0"/>
        <v>87</v>
      </c>
      <c r="P35" s="15">
        <f t="shared" si="1"/>
        <v>108</v>
      </c>
    </row>
    <row r="36" spans="2:20" ht="23.1" customHeight="1" x14ac:dyDescent="0.25">
      <c r="B36" s="24" t="s">
        <v>63</v>
      </c>
      <c r="C36" s="50">
        <v>53</v>
      </c>
      <c r="D36" s="50">
        <v>7</v>
      </c>
      <c r="E36" s="50">
        <v>5</v>
      </c>
      <c r="F36" s="50">
        <v>22</v>
      </c>
      <c r="G36" s="50">
        <v>1</v>
      </c>
      <c r="H36" s="50">
        <v>2</v>
      </c>
      <c r="I36" s="50">
        <v>6</v>
      </c>
      <c r="J36" s="50">
        <v>0</v>
      </c>
      <c r="K36" s="50">
        <v>0</v>
      </c>
      <c r="L36" s="50">
        <v>6</v>
      </c>
      <c r="M36" s="50">
        <v>16</v>
      </c>
      <c r="N36" s="50">
        <v>0</v>
      </c>
      <c r="O36" s="15">
        <f t="shared" si="0"/>
        <v>102</v>
      </c>
      <c r="P36" s="15">
        <f t="shared" si="1"/>
        <v>118</v>
      </c>
    </row>
    <row r="37" spans="2:20" ht="23.1" customHeight="1" x14ac:dyDescent="0.25">
      <c r="B37" s="23" t="s">
        <v>64</v>
      </c>
      <c r="C37" s="50">
        <v>34</v>
      </c>
      <c r="D37" s="50">
        <v>6</v>
      </c>
      <c r="E37" s="50">
        <v>3</v>
      </c>
      <c r="F37" s="50">
        <v>16</v>
      </c>
      <c r="G37" s="50">
        <v>0</v>
      </c>
      <c r="H37" s="50">
        <v>2</v>
      </c>
      <c r="I37" s="50">
        <v>13</v>
      </c>
      <c r="J37" s="50">
        <v>0</v>
      </c>
      <c r="K37" s="50">
        <v>1</v>
      </c>
      <c r="L37" s="50">
        <v>5</v>
      </c>
      <c r="M37" s="50">
        <v>20</v>
      </c>
      <c r="N37" s="50">
        <v>0</v>
      </c>
      <c r="O37" s="15">
        <f t="shared" si="0"/>
        <v>80</v>
      </c>
      <c r="P37" s="15">
        <f t="shared" si="1"/>
        <v>100</v>
      </c>
    </row>
    <row r="38" spans="2:20" ht="23.1" customHeight="1" x14ac:dyDescent="0.25">
      <c r="B38" s="24" t="s">
        <v>65</v>
      </c>
      <c r="C38" s="50">
        <v>22</v>
      </c>
      <c r="D38" s="50">
        <v>4</v>
      </c>
      <c r="E38" s="50">
        <v>12</v>
      </c>
      <c r="F38" s="50">
        <v>21</v>
      </c>
      <c r="G38" s="50">
        <v>1</v>
      </c>
      <c r="H38" s="50">
        <v>2</v>
      </c>
      <c r="I38" s="50">
        <v>11</v>
      </c>
      <c r="J38" s="50">
        <v>0</v>
      </c>
      <c r="K38" s="50">
        <v>0</v>
      </c>
      <c r="L38" s="50">
        <v>3</v>
      </c>
      <c r="M38" s="50">
        <v>18</v>
      </c>
      <c r="N38" s="50">
        <v>0</v>
      </c>
      <c r="O38" s="15">
        <f t="shared" si="0"/>
        <v>76</v>
      </c>
      <c r="P38" s="15">
        <f t="shared" si="1"/>
        <v>94</v>
      </c>
    </row>
    <row r="39" spans="2:20" ht="23.1" customHeight="1" x14ac:dyDescent="0.25">
      <c r="B39" s="24" t="s">
        <v>66</v>
      </c>
      <c r="C39" s="50">
        <v>31</v>
      </c>
      <c r="D39" s="50">
        <v>11</v>
      </c>
      <c r="E39" s="50">
        <v>8</v>
      </c>
      <c r="F39" s="50">
        <v>18</v>
      </c>
      <c r="G39" s="50">
        <v>2</v>
      </c>
      <c r="H39" s="50">
        <v>1</v>
      </c>
      <c r="I39" s="50">
        <v>6</v>
      </c>
      <c r="J39" s="50">
        <v>0</v>
      </c>
      <c r="K39" s="50">
        <v>0</v>
      </c>
      <c r="L39" s="50">
        <v>3</v>
      </c>
      <c r="M39" s="50">
        <v>26</v>
      </c>
      <c r="N39" s="50">
        <v>0</v>
      </c>
      <c r="O39" s="15">
        <f t="shared" si="0"/>
        <v>80</v>
      </c>
      <c r="P39" s="15">
        <f t="shared" si="1"/>
        <v>106</v>
      </c>
    </row>
    <row r="40" spans="2:20" ht="23.1" customHeight="1" x14ac:dyDescent="0.25">
      <c r="B40" s="24" t="s">
        <v>67</v>
      </c>
      <c r="C40" s="50">
        <v>44</v>
      </c>
      <c r="D40" s="50">
        <v>11</v>
      </c>
      <c r="E40" s="50">
        <v>11</v>
      </c>
      <c r="F40" s="50">
        <v>25</v>
      </c>
      <c r="G40" s="50">
        <v>0</v>
      </c>
      <c r="H40" s="50">
        <v>2</v>
      </c>
      <c r="I40" s="50">
        <v>13</v>
      </c>
      <c r="J40" s="50">
        <v>2</v>
      </c>
      <c r="K40" s="50">
        <v>0</v>
      </c>
      <c r="L40" s="50">
        <v>1</v>
      </c>
      <c r="M40" s="50">
        <v>33</v>
      </c>
      <c r="N40" s="50">
        <v>0</v>
      </c>
      <c r="O40" s="15">
        <f t="shared" si="0"/>
        <v>109</v>
      </c>
      <c r="P40" s="15">
        <f t="shared" si="1"/>
        <v>142</v>
      </c>
    </row>
    <row r="41" spans="2:20" ht="23.1" customHeight="1" x14ac:dyDescent="0.25">
      <c r="B41" s="23" t="s">
        <v>68</v>
      </c>
      <c r="C41" s="50">
        <v>40</v>
      </c>
      <c r="D41" s="50">
        <v>11</v>
      </c>
      <c r="E41" s="50">
        <v>9</v>
      </c>
      <c r="F41" s="50">
        <v>24</v>
      </c>
      <c r="G41" s="50">
        <v>1</v>
      </c>
      <c r="H41" s="50">
        <v>1</v>
      </c>
      <c r="I41" s="50">
        <v>11</v>
      </c>
      <c r="J41" s="50">
        <v>1</v>
      </c>
      <c r="K41" s="50">
        <v>0</v>
      </c>
      <c r="L41" s="50">
        <v>4</v>
      </c>
      <c r="M41" s="50">
        <v>28</v>
      </c>
      <c r="N41" s="50">
        <v>0</v>
      </c>
      <c r="O41" s="15">
        <f t="shared" si="0"/>
        <v>102</v>
      </c>
      <c r="P41" s="15">
        <f t="shared" si="1"/>
        <v>130</v>
      </c>
    </row>
    <row r="42" spans="2:20" ht="23.1" customHeight="1" x14ac:dyDescent="0.25">
      <c r="B42" s="24" t="s">
        <v>69</v>
      </c>
      <c r="C42" s="50">
        <v>53</v>
      </c>
      <c r="D42" s="50">
        <v>18</v>
      </c>
      <c r="E42" s="50">
        <v>12</v>
      </c>
      <c r="F42" s="50">
        <v>27</v>
      </c>
      <c r="G42" s="50">
        <v>1</v>
      </c>
      <c r="H42" s="50">
        <v>2</v>
      </c>
      <c r="I42" s="50">
        <v>14</v>
      </c>
      <c r="J42" s="50">
        <v>2</v>
      </c>
      <c r="K42" s="50">
        <v>2</v>
      </c>
      <c r="L42" s="50">
        <v>1</v>
      </c>
      <c r="M42" s="50">
        <v>25</v>
      </c>
      <c r="N42" s="50">
        <v>0</v>
      </c>
      <c r="O42" s="15">
        <f t="shared" si="0"/>
        <v>132</v>
      </c>
      <c r="P42" s="15">
        <f t="shared" si="1"/>
        <v>157</v>
      </c>
    </row>
    <row r="43" spans="2:20" ht="23.1" customHeight="1" x14ac:dyDescent="0.25">
      <c r="B43" s="23" t="s">
        <v>70</v>
      </c>
      <c r="C43" s="50">
        <v>46</v>
      </c>
      <c r="D43" s="50">
        <v>11</v>
      </c>
      <c r="E43" s="50">
        <v>9</v>
      </c>
      <c r="F43" s="50">
        <v>21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2</v>
      </c>
      <c r="M43" s="50">
        <v>29</v>
      </c>
      <c r="N43" s="50">
        <v>0</v>
      </c>
      <c r="O43" s="15">
        <f t="shared" si="0"/>
        <v>95</v>
      </c>
      <c r="P43" s="15">
        <f t="shared" si="1"/>
        <v>124</v>
      </c>
    </row>
    <row r="44" spans="2:20" ht="23.1" customHeight="1" x14ac:dyDescent="0.25">
      <c r="B44" s="25" t="s">
        <v>71</v>
      </c>
      <c r="C44" s="50">
        <v>59</v>
      </c>
      <c r="D44" s="50">
        <v>6</v>
      </c>
      <c r="E44" s="50">
        <v>8</v>
      </c>
      <c r="F44" s="50">
        <v>28</v>
      </c>
      <c r="G44" s="50">
        <v>0</v>
      </c>
      <c r="H44" s="50">
        <v>3</v>
      </c>
      <c r="I44" s="50">
        <v>10</v>
      </c>
      <c r="J44" s="50">
        <v>0</v>
      </c>
      <c r="K44" s="50">
        <v>0</v>
      </c>
      <c r="L44" s="50">
        <v>1</v>
      </c>
      <c r="M44" s="50">
        <v>30</v>
      </c>
      <c r="N44" s="50">
        <v>0</v>
      </c>
      <c r="O44" s="15">
        <f t="shared" si="0"/>
        <v>115</v>
      </c>
      <c r="P44" s="15">
        <f t="shared" si="1"/>
        <v>145</v>
      </c>
    </row>
    <row r="45" spans="2:20" ht="23.1" customHeight="1" x14ac:dyDescent="0.25">
      <c r="B45" s="23" t="s">
        <v>72</v>
      </c>
      <c r="C45" s="50">
        <v>51</v>
      </c>
      <c r="D45" s="50">
        <v>9</v>
      </c>
      <c r="E45" s="50">
        <v>10</v>
      </c>
      <c r="F45" s="50">
        <v>30</v>
      </c>
      <c r="G45" s="50">
        <v>1</v>
      </c>
      <c r="H45" s="50">
        <v>2</v>
      </c>
      <c r="I45" s="50">
        <v>10</v>
      </c>
      <c r="J45" s="50">
        <v>6</v>
      </c>
      <c r="K45" s="50">
        <v>0</v>
      </c>
      <c r="L45" s="50">
        <v>3</v>
      </c>
      <c r="M45" s="50">
        <v>33</v>
      </c>
      <c r="N45" s="50">
        <v>0</v>
      </c>
      <c r="O45" s="15">
        <f t="shared" si="0"/>
        <v>122</v>
      </c>
      <c r="P45" s="15">
        <f t="shared" si="1"/>
        <v>155</v>
      </c>
    </row>
    <row r="46" spans="2:20" ht="23.1" customHeight="1" x14ac:dyDescent="0.25">
      <c r="B46" s="24" t="s">
        <v>73</v>
      </c>
      <c r="C46" s="50">
        <v>68</v>
      </c>
      <c r="D46" s="50">
        <v>14</v>
      </c>
      <c r="E46" s="50">
        <v>11</v>
      </c>
      <c r="F46" s="50">
        <v>30</v>
      </c>
      <c r="G46" s="50">
        <v>1</v>
      </c>
      <c r="H46" s="50">
        <v>3</v>
      </c>
      <c r="I46" s="50">
        <v>17</v>
      </c>
      <c r="J46" s="50">
        <v>2</v>
      </c>
      <c r="K46" s="50">
        <v>0</v>
      </c>
      <c r="L46" s="50">
        <v>1</v>
      </c>
      <c r="M46" s="50">
        <v>35</v>
      </c>
      <c r="N46" s="50">
        <v>0</v>
      </c>
      <c r="O46" s="15">
        <f t="shared" si="0"/>
        <v>147</v>
      </c>
      <c r="P46" s="15">
        <f t="shared" si="1"/>
        <v>182</v>
      </c>
      <c r="R46" s="8"/>
      <c r="T46"/>
    </row>
    <row r="47" spans="2:20" ht="23.1" customHeight="1" x14ac:dyDescent="0.25">
      <c r="B47" s="24" t="s">
        <v>74</v>
      </c>
      <c r="C47" s="50">
        <v>49</v>
      </c>
      <c r="D47" s="50">
        <v>11</v>
      </c>
      <c r="E47" s="50">
        <v>6</v>
      </c>
      <c r="F47" s="50">
        <v>30</v>
      </c>
      <c r="G47" s="50">
        <v>1</v>
      </c>
      <c r="H47" s="50">
        <v>2</v>
      </c>
      <c r="I47" s="50">
        <v>9</v>
      </c>
      <c r="J47" s="50">
        <v>0</v>
      </c>
      <c r="K47" s="50">
        <v>1</v>
      </c>
      <c r="L47" s="50">
        <v>3</v>
      </c>
      <c r="M47" s="50">
        <v>38</v>
      </c>
      <c r="N47" s="50">
        <v>0</v>
      </c>
      <c r="O47" s="15">
        <f t="shared" si="0"/>
        <v>112</v>
      </c>
      <c r="P47" s="15">
        <f t="shared" si="1"/>
        <v>150</v>
      </c>
      <c r="R47" s="8"/>
      <c r="T47"/>
    </row>
    <row r="48" spans="2:20" ht="23.1" customHeight="1" x14ac:dyDescent="0.25">
      <c r="B48" s="24" t="s">
        <v>75</v>
      </c>
      <c r="C48" s="50">
        <v>77</v>
      </c>
      <c r="D48" s="50">
        <v>21</v>
      </c>
      <c r="E48" s="50">
        <v>11</v>
      </c>
      <c r="F48" s="50">
        <v>40</v>
      </c>
      <c r="G48" s="50">
        <v>2</v>
      </c>
      <c r="H48" s="50">
        <v>2</v>
      </c>
      <c r="I48" s="50">
        <v>15</v>
      </c>
      <c r="J48" s="50">
        <v>4</v>
      </c>
      <c r="K48" s="50">
        <v>3</v>
      </c>
      <c r="L48" s="50">
        <v>5</v>
      </c>
      <c r="M48" s="50">
        <v>66</v>
      </c>
      <c r="N48" s="50">
        <v>0</v>
      </c>
      <c r="O48" s="15">
        <f t="shared" si="0"/>
        <v>180</v>
      </c>
      <c r="P48" s="15">
        <f t="shared" si="1"/>
        <v>246</v>
      </c>
      <c r="R48" s="8"/>
      <c r="T48"/>
    </row>
    <row r="49" spans="2:20" ht="23.1" customHeight="1" x14ac:dyDescent="0.25">
      <c r="B49" s="23" t="s">
        <v>76</v>
      </c>
      <c r="C49" s="50">
        <v>68</v>
      </c>
      <c r="D49" s="50">
        <v>22</v>
      </c>
      <c r="E49" s="50">
        <v>9</v>
      </c>
      <c r="F49" s="50">
        <v>54</v>
      </c>
      <c r="G49" s="50">
        <v>13</v>
      </c>
      <c r="H49" s="50">
        <v>3</v>
      </c>
      <c r="I49" s="50">
        <v>15</v>
      </c>
      <c r="J49" s="50">
        <v>1</v>
      </c>
      <c r="K49" s="50">
        <v>1</v>
      </c>
      <c r="L49" s="50">
        <v>2</v>
      </c>
      <c r="M49" s="50">
        <v>53</v>
      </c>
      <c r="N49" s="50">
        <v>0</v>
      </c>
      <c r="O49" s="15">
        <f t="shared" si="0"/>
        <v>188</v>
      </c>
      <c r="P49" s="15">
        <f t="shared" si="1"/>
        <v>241</v>
      </c>
      <c r="R49" s="8"/>
      <c r="T49"/>
    </row>
    <row r="50" spans="2:20" ht="23.1" customHeight="1" x14ac:dyDescent="0.25">
      <c r="B50" s="24" t="s">
        <v>77</v>
      </c>
      <c r="C50" s="50">
        <v>47</v>
      </c>
      <c r="D50" s="50">
        <v>13</v>
      </c>
      <c r="E50" s="50">
        <v>8</v>
      </c>
      <c r="F50" s="50">
        <v>25</v>
      </c>
      <c r="G50" s="50">
        <v>5</v>
      </c>
      <c r="H50" s="50">
        <v>1</v>
      </c>
      <c r="I50" s="50">
        <v>11</v>
      </c>
      <c r="J50" s="50">
        <v>0</v>
      </c>
      <c r="K50" s="50">
        <v>1</v>
      </c>
      <c r="L50" s="50">
        <v>2</v>
      </c>
      <c r="M50" s="50">
        <v>44</v>
      </c>
      <c r="N50" s="50">
        <v>0</v>
      </c>
      <c r="O50" s="15">
        <f t="shared" si="0"/>
        <v>113</v>
      </c>
      <c r="P50" s="15">
        <f t="shared" si="1"/>
        <v>157</v>
      </c>
      <c r="R50" s="8"/>
      <c r="T50"/>
    </row>
    <row r="51" spans="2:20" ht="23.1" customHeight="1" x14ac:dyDescent="0.25">
      <c r="B51" s="24" t="s">
        <v>78</v>
      </c>
      <c r="C51" s="50">
        <v>52</v>
      </c>
      <c r="D51" s="50">
        <v>16</v>
      </c>
      <c r="E51" s="50">
        <v>10</v>
      </c>
      <c r="F51" s="50">
        <v>36</v>
      </c>
      <c r="G51" s="50">
        <v>7</v>
      </c>
      <c r="H51" s="50">
        <v>2</v>
      </c>
      <c r="I51" s="50">
        <v>14</v>
      </c>
      <c r="J51" s="50">
        <v>2</v>
      </c>
      <c r="K51" s="50">
        <v>0</v>
      </c>
      <c r="L51" s="50">
        <v>0</v>
      </c>
      <c r="M51" s="50">
        <v>36</v>
      </c>
      <c r="N51" s="50">
        <v>0</v>
      </c>
      <c r="O51" s="15">
        <f t="shared" si="0"/>
        <v>139</v>
      </c>
      <c r="P51" s="15">
        <f t="shared" si="1"/>
        <v>175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15</v>
      </c>
      <c r="E52" s="50">
        <v>5</v>
      </c>
      <c r="F52" s="50">
        <v>28</v>
      </c>
      <c r="G52" s="50">
        <v>3</v>
      </c>
      <c r="H52" s="50">
        <v>0</v>
      </c>
      <c r="I52" s="50">
        <v>19</v>
      </c>
      <c r="J52" s="50">
        <v>1</v>
      </c>
      <c r="K52" s="50">
        <v>0</v>
      </c>
      <c r="L52" s="50">
        <v>3</v>
      </c>
      <c r="M52" s="50">
        <v>52</v>
      </c>
      <c r="N52" s="50">
        <v>0</v>
      </c>
      <c r="O52" s="15">
        <f t="shared" si="0"/>
        <v>114</v>
      </c>
      <c r="P52" s="15">
        <f t="shared" si="1"/>
        <v>166</v>
      </c>
      <c r="R52" s="8"/>
      <c r="T52"/>
    </row>
    <row r="53" spans="2:20" ht="23.1" customHeight="1" x14ac:dyDescent="0.25">
      <c r="B53" s="23" t="s">
        <v>80</v>
      </c>
      <c r="C53" s="50">
        <v>44</v>
      </c>
      <c r="D53" s="50">
        <v>18</v>
      </c>
      <c r="E53" s="50">
        <v>6</v>
      </c>
      <c r="F53" s="50">
        <v>32</v>
      </c>
      <c r="G53" s="50">
        <v>4</v>
      </c>
      <c r="H53" s="50">
        <v>1</v>
      </c>
      <c r="I53" s="50">
        <v>18</v>
      </c>
      <c r="J53" s="50">
        <v>2</v>
      </c>
      <c r="K53" s="50">
        <v>3</v>
      </c>
      <c r="L53" s="50">
        <v>2</v>
      </c>
      <c r="M53" s="50">
        <v>48</v>
      </c>
      <c r="N53" s="50">
        <v>0</v>
      </c>
      <c r="O53" s="15">
        <f t="shared" si="0"/>
        <v>130</v>
      </c>
      <c r="P53" s="15">
        <f t="shared" si="1"/>
        <v>178</v>
      </c>
      <c r="R53" s="8"/>
      <c r="T53"/>
    </row>
    <row r="54" spans="2:20" ht="23.1" customHeight="1" x14ac:dyDescent="0.25">
      <c r="B54" s="23" t="s">
        <v>81</v>
      </c>
      <c r="C54" s="50">
        <v>48</v>
      </c>
      <c r="D54" s="50">
        <v>9</v>
      </c>
      <c r="E54" s="50">
        <v>6</v>
      </c>
      <c r="F54" s="50">
        <v>25</v>
      </c>
      <c r="G54" s="50">
        <v>2</v>
      </c>
      <c r="H54" s="50">
        <v>0</v>
      </c>
      <c r="I54" s="50">
        <v>12</v>
      </c>
      <c r="J54" s="50">
        <v>2</v>
      </c>
      <c r="K54" s="50">
        <v>0</v>
      </c>
      <c r="L54" s="50">
        <v>1</v>
      </c>
      <c r="M54" s="50">
        <v>36</v>
      </c>
      <c r="N54" s="50">
        <v>0</v>
      </c>
      <c r="O54" s="15">
        <f t="shared" si="0"/>
        <v>105</v>
      </c>
      <c r="P54" s="15">
        <f t="shared" si="1"/>
        <v>141</v>
      </c>
      <c r="R54" s="8"/>
      <c r="T54"/>
    </row>
    <row r="55" spans="2:20" ht="23.1" customHeight="1" x14ac:dyDescent="0.25">
      <c r="B55" s="23" t="s">
        <v>82</v>
      </c>
      <c r="C55" s="50">
        <v>65</v>
      </c>
      <c r="D55" s="50">
        <v>7</v>
      </c>
      <c r="E55" s="50">
        <v>10</v>
      </c>
      <c r="F55" s="50">
        <v>23</v>
      </c>
      <c r="G55" s="50">
        <v>1</v>
      </c>
      <c r="H55" s="50">
        <v>4</v>
      </c>
      <c r="I55" s="50">
        <v>9</v>
      </c>
      <c r="J55" s="50">
        <v>0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119</v>
      </c>
      <c r="P55" s="15">
        <f t="shared" si="1"/>
        <v>159</v>
      </c>
      <c r="R55" s="8"/>
      <c r="T55"/>
    </row>
    <row r="56" spans="2:20" ht="23.1" customHeight="1" x14ac:dyDescent="0.25">
      <c r="B56" s="23" t="s">
        <v>83</v>
      </c>
      <c r="C56" s="50">
        <v>43</v>
      </c>
      <c r="D56" s="50">
        <v>5</v>
      </c>
      <c r="E56" s="50">
        <v>5</v>
      </c>
      <c r="F56" s="50">
        <v>30</v>
      </c>
      <c r="G56" s="50">
        <v>1</v>
      </c>
      <c r="H56" s="50">
        <v>1</v>
      </c>
      <c r="I56" s="50">
        <v>14</v>
      </c>
      <c r="J56" s="50">
        <v>5</v>
      </c>
      <c r="K56" s="50">
        <v>2</v>
      </c>
      <c r="L56" s="50">
        <v>5</v>
      </c>
      <c r="M56" s="50">
        <v>20</v>
      </c>
      <c r="N56" s="50">
        <v>0</v>
      </c>
      <c r="O56" s="15">
        <f t="shared" si="0"/>
        <v>111</v>
      </c>
      <c r="P56" s="15">
        <f t="shared" si="1"/>
        <v>131</v>
      </c>
      <c r="R56" s="8"/>
      <c r="T56"/>
    </row>
    <row r="57" spans="2:20" ht="23.1" customHeight="1" x14ac:dyDescent="0.25">
      <c r="B57" s="23" t="s">
        <v>84</v>
      </c>
      <c r="C57" s="50">
        <v>47</v>
      </c>
      <c r="D57" s="50">
        <v>6</v>
      </c>
      <c r="E57" s="50">
        <v>9</v>
      </c>
      <c r="F57" s="50">
        <v>28</v>
      </c>
      <c r="G57" s="50">
        <v>2</v>
      </c>
      <c r="H57" s="50">
        <v>1</v>
      </c>
      <c r="I57" s="50">
        <v>18</v>
      </c>
      <c r="J57" s="50">
        <v>7</v>
      </c>
      <c r="K57" s="50">
        <v>0</v>
      </c>
      <c r="L57" s="50">
        <v>2</v>
      </c>
      <c r="M57" s="50">
        <v>32</v>
      </c>
      <c r="N57" s="50">
        <v>0</v>
      </c>
      <c r="O57" s="15">
        <f t="shared" si="0"/>
        <v>120</v>
      </c>
      <c r="P57" s="15">
        <f t="shared" si="1"/>
        <v>152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1540</v>
      </c>
      <c r="D58" s="16">
        <f t="shared" si="21"/>
        <v>329</v>
      </c>
      <c r="E58" s="16">
        <f t="shared" si="21"/>
        <v>255</v>
      </c>
      <c r="F58" s="16">
        <f t="shared" si="21"/>
        <v>1116</v>
      </c>
      <c r="G58" s="16">
        <f t="shared" si="21"/>
        <v>70</v>
      </c>
      <c r="H58" s="16">
        <f t="shared" si="21"/>
        <v>48</v>
      </c>
      <c r="I58" s="16">
        <f t="shared" si="21"/>
        <v>509</v>
      </c>
      <c r="J58" s="16">
        <f t="shared" si="21"/>
        <v>78</v>
      </c>
      <c r="K58" s="16">
        <f t="shared" si="21"/>
        <v>24</v>
      </c>
      <c r="L58" s="16">
        <f t="shared" si="21"/>
        <v>107</v>
      </c>
      <c r="M58" s="16">
        <f t="shared" si="21"/>
        <v>1328</v>
      </c>
      <c r="N58" s="16">
        <f t="shared" si="21"/>
        <v>0</v>
      </c>
      <c r="O58" s="16">
        <f t="shared" si="21"/>
        <v>4076</v>
      </c>
      <c r="P58" s="16">
        <f t="shared" si="21"/>
        <v>5404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0.28497409326424872</v>
      </c>
      <c r="D59" s="43">
        <f t="shared" si="22"/>
        <v>6.0880829015544043E-2</v>
      </c>
      <c r="E59" s="43">
        <f t="shared" si="22"/>
        <v>4.7187268689859362E-2</v>
      </c>
      <c r="F59" s="43">
        <f t="shared" si="22"/>
        <v>0.20651369356032567</v>
      </c>
      <c r="G59" s="43">
        <f t="shared" si="22"/>
        <v>1.2953367875647668E-2</v>
      </c>
      <c r="H59" s="43">
        <f t="shared" si="22"/>
        <v>8.8823094004441151E-3</v>
      </c>
      <c r="I59" s="43">
        <f t="shared" si="22"/>
        <v>9.4189489267209478E-2</v>
      </c>
      <c r="J59" s="43">
        <f t="shared" si="22"/>
        <v>1.4433752775721688E-2</v>
      </c>
      <c r="K59" s="43">
        <f t="shared" si="22"/>
        <v>4.4411547002220575E-3</v>
      </c>
      <c r="L59" s="43">
        <f t="shared" si="22"/>
        <v>1.9800148038490006E-2</v>
      </c>
      <c r="M59" s="43">
        <f t="shared" si="22"/>
        <v>0.2457438934122872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0.37782139352306182</v>
      </c>
      <c r="D60" s="44">
        <f t="shared" ref="D60:N60" si="23">D58/$O$58</f>
        <v>8.0716388616290477E-2</v>
      </c>
      <c r="E60" s="44">
        <f t="shared" si="23"/>
        <v>6.2561334641805688E-2</v>
      </c>
      <c r="F60" s="44">
        <f t="shared" si="23"/>
        <v>0.27379784102060845</v>
      </c>
      <c r="G60" s="44">
        <f t="shared" si="23"/>
        <v>1.7173699705593719E-2</v>
      </c>
      <c r="H60" s="44">
        <f t="shared" si="23"/>
        <v>1.1776251226692836E-2</v>
      </c>
      <c r="I60" s="44">
        <f t="shared" si="23"/>
        <v>0.12487733071638861</v>
      </c>
      <c r="J60" s="44">
        <f t="shared" si="23"/>
        <v>1.9136408243375858E-2</v>
      </c>
      <c r="K60" s="44">
        <f t="shared" si="23"/>
        <v>5.8881256133464181E-3</v>
      </c>
      <c r="L60" s="44">
        <f t="shared" si="23"/>
        <v>2.6251226692836114E-2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33" zoomScale="60" workbookViewId="0">
      <selection activeCell="I57" sqref="I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'28.10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'03.11 Masaka-Maya'!D5</f>
        <v>03.11.19</v>
      </c>
      <c r="E5" s="3"/>
      <c r="F5" s="41" t="s">
        <v>1</v>
      </c>
      <c r="G5" s="66" t="str">
        <f>'03.11 Masaka-Maya'!G5:H5</f>
        <v>Maya</v>
      </c>
      <c r="H5" s="67"/>
      <c r="I5" s="14"/>
      <c r="J5" s="2" t="s">
        <v>5</v>
      </c>
      <c r="K5" s="66" t="str">
        <f>'03.11 Masaka-Maya'!K5:L5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'28.10 Maya-Masaka'!D6:E6</f>
        <v>Maya</v>
      </c>
      <c r="E6" s="67"/>
      <c r="F6" s="2" t="s">
        <v>2</v>
      </c>
      <c r="G6" s="66" t="str">
        <f>'28.10 Maya-Masaka'!G6:H6</f>
        <v>Masaka</v>
      </c>
      <c r="H6" s="67"/>
      <c r="J6" s="2" t="s">
        <v>21</v>
      </c>
      <c r="K6" s="66" t="str">
        <f>'03.11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4</v>
      </c>
      <c r="E10" s="50">
        <v>0</v>
      </c>
      <c r="F10" s="50">
        <v>23</v>
      </c>
      <c r="G10" s="50">
        <v>1</v>
      </c>
      <c r="H10" s="50">
        <v>0</v>
      </c>
      <c r="I10" s="50">
        <v>10</v>
      </c>
      <c r="J10" s="50">
        <v>0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43</v>
      </c>
      <c r="P10" s="15">
        <f t="shared" ref="P10:P57" si="1">SUM(C10:N10)</f>
        <v>55</v>
      </c>
      <c r="R10" s="1" t="s">
        <v>6</v>
      </c>
      <c r="S10" s="17">
        <f t="shared" ref="S10:AF10" si="2">SUM(C10:C13)</f>
        <v>93</v>
      </c>
      <c r="T10" s="17">
        <f t="shared" si="2"/>
        <v>15</v>
      </c>
      <c r="U10" s="17">
        <f t="shared" si="2"/>
        <v>19</v>
      </c>
      <c r="V10" s="17">
        <f t="shared" si="2"/>
        <v>88</v>
      </c>
      <c r="W10" s="17">
        <f t="shared" si="2"/>
        <v>3</v>
      </c>
      <c r="X10" s="17">
        <f t="shared" si="2"/>
        <v>4</v>
      </c>
      <c r="Y10" s="17">
        <f t="shared" si="2"/>
        <v>43</v>
      </c>
      <c r="Z10" s="17">
        <f t="shared" si="2"/>
        <v>2</v>
      </c>
      <c r="AA10" s="17">
        <f t="shared" si="2"/>
        <v>1</v>
      </c>
      <c r="AB10" s="17">
        <f t="shared" si="2"/>
        <v>3</v>
      </c>
      <c r="AC10" s="17">
        <f t="shared" si="2"/>
        <v>66</v>
      </c>
      <c r="AD10" s="17">
        <f t="shared" si="2"/>
        <v>0</v>
      </c>
      <c r="AE10" s="31">
        <f t="shared" si="2"/>
        <v>271</v>
      </c>
      <c r="AF10" s="31">
        <f t="shared" si="2"/>
        <v>337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5</v>
      </c>
      <c r="E11" s="50">
        <v>4</v>
      </c>
      <c r="F11" s="50">
        <v>26</v>
      </c>
      <c r="G11" s="50">
        <v>0</v>
      </c>
      <c r="H11" s="50">
        <v>2</v>
      </c>
      <c r="I11" s="50">
        <v>7</v>
      </c>
      <c r="J11" s="50">
        <v>0</v>
      </c>
      <c r="K11" s="50">
        <v>0</v>
      </c>
      <c r="L11" s="50">
        <v>0</v>
      </c>
      <c r="M11" s="50">
        <v>20</v>
      </c>
      <c r="N11" s="50">
        <v>0</v>
      </c>
      <c r="O11" s="15">
        <f t="shared" si="0"/>
        <v>57</v>
      </c>
      <c r="P11" s="15">
        <f t="shared" si="1"/>
        <v>77</v>
      </c>
      <c r="R11" s="1" t="s">
        <v>7</v>
      </c>
      <c r="S11" s="17">
        <f t="shared" ref="S11:AF11" si="3">SUM(C14:C17)</f>
        <v>142</v>
      </c>
      <c r="T11" s="17">
        <f t="shared" si="3"/>
        <v>21</v>
      </c>
      <c r="U11" s="17">
        <f t="shared" si="3"/>
        <v>11</v>
      </c>
      <c r="V11" s="17">
        <f t="shared" si="3"/>
        <v>87</v>
      </c>
      <c r="W11" s="17">
        <f t="shared" si="3"/>
        <v>3</v>
      </c>
      <c r="X11" s="17">
        <f t="shared" si="3"/>
        <v>4</v>
      </c>
      <c r="Y11" s="17">
        <f t="shared" si="3"/>
        <v>50</v>
      </c>
      <c r="Z11" s="17">
        <f t="shared" si="3"/>
        <v>1</v>
      </c>
      <c r="AA11" s="17">
        <f t="shared" si="3"/>
        <v>0</v>
      </c>
      <c r="AB11" s="17">
        <f t="shared" si="3"/>
        <v>11</v>
      </c>
      <c r="AC11" s="17">
        <f t="shared" si="3"/>
        <v>96</v>
      </c>
      <c r="AD11" s="17">
        <f t="shared" si="3"/>
        <v>0</v>
      </c>
      <c r="AE11" s="31">
        <f t="shared" si="3"/>
        <v>330</v>
      </c>
      <c r="AF11" s="31">
        <f t="shared" si="3"/>
        <v>426</v>
      </c>
    </row>
    <row r="12" spans="2:32" ht="23.1" customHeight="1" x14ac:dyDescent="0.25">
      <c r="B12" s="23" t="s">
        <v>39</v>
      </c>
      <c r="C12" s="50">
        <v>25</v>
      </c>
      <c r="D12" s="50">
        <v>3</v>
      </c>
      <c r="E12" s="50">
        <v>10</v>
      </c>
      <c r="F12" s="50">
        <v>20</v>
      </c>
      <c r="G12" s="50">
        <v>1</v>
      </c>
      <c r="H12" s="50">
        <v>1</v>
      </c>
      <c r="I12" s="50">
        <v>8</v>
      </c>
      <c r="J12" s="50">
        <v>0</v>
      </c>
      <c r="K12" s="50">
        <v>1</v>
      </c>
      <c r="L12" s="50">
        <v>3</v>
      </c>
      <c r="M12" s="50">
        <v>17</v>
      </c>
      <c r="N12" s="50">
        <v>0</v>
      </c>
      <c r="O12" s="15">
        <f t="shared" si="0"/>
        <v>72</v>
      </c>
      <c r="P12" s="15">
        <f t="shared" si="1"/>
        <v>89</v>
      </c>
      <c r="R12" s="1" t="s">
        <v>8</v>
      </c>
      <c r="S12" s="17">
        <f t="shared" ref="S12:AF12" si="4">SUM(C18:C21)</f>
        <v>170</v>
      </c>
      <c r="T12" s="17">
        <f t="shared" si="4"/>
        <v>40</v>
      </c>
      <c r="U12" s="17">
        <f t="shared" si="4"/>
        <v>26</v>
      </c>
      <c r="V12" s="17">
        <f t="shared" si="4"/>
        <v>85</v>
      </c>
      <c r="W12" s="17">
        <f t="shared" si="4"/>
        <v>12</v>
      </c>
      <c r="X12" s="17">
        <f t="shared" si="4"/>
        <v>4</v>
      </c>
      <c r="Y12" s="17">
        <f t="shared" si="4"/>
        <v>55</v>
      </c>
      <c r="Z12" s="17">
        <f t="shared" si="4"/>
        <v>1</v>
      </c>
      <c r="AA12" s="17">
        <f t="shared" si="4"/>
        <v>2</v>
      </c>
      <c r="AB12" s="17">
        <f t="shared" si="4"/>
        <v>6</v>
      </c>
      <c r="AC12" s="17">
        <f t="shared" si="4"/>
        <v>109</v>
      </c>
      <c r="AD12" s="17">
        <f t="shared" si="4"/>
        <v>0</v>
      </c>
      <c r="AE12" s="31">
        <f t="shared" si="4"/>
        <v>401</v>
      </c>
      <c r="AF12" s="31">
        <f t="shared" si="4"/>
        <v>510</v>
      </c>
    </row>
    <row r="13" spans="2:32" ht="23.1" customHeight="1" x14ac:dyDescent="0.25">
      <c r="B13" s="23" t="s">
        <v>40</v>
      </c>
      <c r="C13" s="50">
        <v>50</v>
      </c>
      <c r="D13" s="50">
        <v>3</v>
      </c>
      <c r="E13" s="50">
        <v>5</v>
      </c>
      <c r="F13" s="50">
        <v>19</v>
      </c>
      <c r="G13" s="50">
        <v>1</v>
      </c>
      <c r="H13" s="50">
        <v>1</v>
      </c>
      <c r="I13" s="50">
        <v>18</v>
      </c>
      <c r="J13" s="50">
        <v>2</v>
      </c>
      <c r="K13" s="50">
        <v>0</v>
      </c>
      <c r="L13" s="50">
        <v>0</v>
      </c>
      <c r="M13" s="50">
        <v>17</v>
      </c>
      <c r="N13" s="50">
        <v>0</v>
      </c>
      <c r="O13" s="15">
        <f t="shared" si="0"/>
        <v>99</v>
      </c>
      <c r="P13" s="15">
        <f t="shared" si="1"/>
        <v>116</v>
      </c>
      <c r="R13" s="1" t="s">
        <v>9</v>
      </c>
      <c r="S13" s="17">
        <f t="shared" ref="S13:AF13" si="5">SUM(C22:C25)</f>
        <v>200</v>
      </c>
      <c r="T13" s="17">
        <f t="shared" si="5"/>
        <v>45</v>
      </c>
      <c r="U13" s="17">
        <f t="shared" si="5"/>
        <v>11</v>
      </c>
      <c r="V13" s="17">
        <f t="shared" si="5"/>
        <v>121</v>
      </c>
      <c r="W13" s="17">
        <f t="shared" si="5"/>
        <v>5</v>
      </c>
      <c r="X13" s="17">
        <f t="shared" si="5"/>
        <v>7</v>
      </c>
      <c r="Y13" s="17">
        <f t="shared" si="5"/>
        <v>32</v>
      </c>
      <c r="Z13" s="17">
        <f t="shared" si="5"/>
        <v>1</v>
      </c>
      <c r="AA13" s="17">
        <f t="shared" si="5"/>
        <v>3</v>
      </c>
      <c r="AB13" s="17">
        <f t="shared" si="5"/>
        <v>4</v>
      </c>
      <c r="AC13" s="17">
        <f t="shared" si="5"/>
        <v>86</v>
      </c>
      <c r="AD13" s="17">
        <f t="shared" si="5"/>
        <v>0</v>
      </c>
      <c r="AE13" s="31">
        <f t="shared" si="5"/>
        <v>429</v>
      </c>
      <c r="AF13" s="31">
        <f t="shared" si="5"/>
        <v>515</v>
      </c>
    </row>
    <row r="14" spans="2:32" ht="23.1" customHeight="1" x14ac:dyDescent="0.25">
      <c r="B14" s="23" t="s">
        <v>41</v>
      </c>
      <c r="C14" s="50">
        <v>33</v>
      </c>
      <c r="D14" s="50">
        <v>2</v>
      </c>
      <c r="E14" s="50">
        <v>3</v>
      </c>
      <c r="F14" s="50">
        <v>25</v>
      </c>
      <c r="G14" s="50">
        <v>1</v>
      </c>
      <c r="H14" s="50">
        <v>2</v>
      </c>
      <c r="I14" s="50">
        <v>13</v>
      </c>
      <c r="J14" s="50">
        <v>0</v>
      </c>
      <c r="K14" s="50">
        <v>0</v>
      </c>
      <c r="L14" s="50">
        <v>1</v>
      </c>
      <c r="M14" s="50">
        <v>18</v>
      </c>
      <c r="N14" s="50">
        <v>0</v>
      </c>
      <c r="O14" s="15">
        <f t="shared" si="0"/>
        <v>80</v>
      </c>
      <c r="P14" s="15">
        <f t="shared" si="1"/>
        <v>98</v>
      </c>
      <c r="R14" s="1" t="s">
        <v>10</v>
      </c>
      <c r="S14" s="17">
        <f t="shared" ref="S14:AF14" si="6">SUM(C26:C29)</f>
        <v>165</v>
      </c>
      <c r="T14" s="17">
        <f t="shared" si="6"/>
        <v>25</v>
      </c>
      <c r="U14" s="17">
        <f t="shared" si="6"/>
        <v>11</v>
      </c>
      <c r="V14" s="17">
        <f t="shared" si="6"/>
        <v>119</v>
      </c>
      <c r="W14" s="17">
        <f t="shared" si="6"/>
        <v>11</v>
      </c>
      <c r="X14" s="17">
        <f t="shared" si="6"/>
        <v>4</v>
      </c>
      <c r="Y14" s="17">
        <f t="shared" si="6"/>
        <v>55</v>
      </c>
      <c r="Z14" s="17">
        <f t="shared" si="6"/>
        <v>1</v>
      </c>
      <c r="AA14" s="17">
        <f t="shared" si="6"/>
        <v>0</v>
      </c>
      <c r="AB14" s="17">
        <f t="shared" si="6"/>
        <v>4</v>
      </c>
      <c r="AC14" s="17">
        <f t="shared" si="6"/>
        <v>99</v>
      </c>
      <c r="AD14" s="17">
        <f t="shared" si="6"/>
        <v>0</v>
      </c>
      <c r="AE14" s="31">
        <f t="shared" si="6"/>
        <v>395</v>
      </c>
      <c r="AF14" s="31">
        <f t="shared" si="6"/>
        <v>494</v>
      </c>
    </row>
    <row r="15" spans="2:32" ht="23.1" customHeight="1" x14ac:dyDescent="0.25">
      <c r="B15" s="23" t="s">
        <v>42</v>
      </c>
      <c r="C15" s="50">
        <v>44</v>
      </c>
      <c r="D15" s="50">
        <v>7</v>
      </c>
      <c r="E15" s="50">
        <v>3</v>
      </c>
      <c r="F15" s="50">
        <v>22</v>
      </c>
      <c r="G15" s="50">
        <v>1</v>
      </c>
      <c r="H15" s="50">
        <v>0</v>
      </c>
      <c r="I15" s="50">
        <v>13</v>
      </c>
      <c r="J15" s="50">
        <v>1</v>
      </c>
      <c r="K15" s="50">
        <v>0</v>
      </c>
      <c r="L15" s="50">
        <v>1</v>
      </c>
      <c r="M15" s="50">
        <v>20</v>
      </c>
      <c r="N15" s="50">
        <v>0</v>
      </c>
      <c r="O15" s="15">
        <f t="shared" si="0"/>
        <v>92</v>
      </c>
      <c r="P15" s="15">
        <f t="shared" si="1"/>
        <v>112</v>
      </c>
      <c r="R15" s="1" t="s">
        <v>11</v>
      </c>
      <c r="S15" s="17">
        <f t="shared" ref="S15:AF15" si="7">SUM(C30:C33)</f>
        <v>177</v>
      </c>
      <c r="T15" s="17">
        <f t="shared" si="7"/>
        <v>43</v>
      </c>
      <c r="U15" s="17">
        <f t="shared" si="7"/>
        <v>25</v>
      </c>
      <c r="V15" s="17">
        <f t="shared" si="7"/>
        <v>127</v>
      </c>
      <c r="W15" s="17">
        <f t="shared" si="7"/>
        <v>10</v>
      </c>
      <c r="X15" s="17">
        <f t="shared" si="7"/>
        <v>9</v>
      </c>
      <c r="Y15" s="17">
        <f t="shared" si="7"/>
        <v>57</v>
      </c>
      <c r="Z15" s="17">
        <f t="shared" si="7"/>
        <v>2</v>
      </c>
      <c r="AA15" s="17">
        <f t="shared" si="7"/>
        <v>2</v>
      </c>
      <c r="AB15" s="17">
        <f t="shared" si="7"/>
        <v>10</v>
      </c>
      <c r="AC15" s="17">
        <f t="shared" si="7"/>
        <v>122</v>
      </c>
      <c r="AD15" s="17">
        <f t="shared" si="7"/>
        <v>0</v>
      </c>
      <c r="AE15" s="31">
        <f t="shared" si="7"/>
        <v>462</v>
      </c>
      <c r="AF15" s="31">
        <f t="shared" si="7"/>
        <v>584</v>
      </c>
    </row>
    <row r="16" spans="2:32" ht="23.1" customHeight="1" x14ac:dyDescent="0.25">
      <c r="B16" s="23" t="s">
        <v>43</v>
      </c>
      <c r="C16" s="50">
        <v>31</v>
      </c>
      <c r="D16" s="50">
        <v>5</v>
      </c>
      <c r="E16" s="50">
        <v>4</v>
      </c>
      <c r="F16" s="50">
        <v>24</v>
      </c>
      <c r="G16" s="50">
        <v>1</v>
      </c>
      <c r="H16" s="50">
        <v>2</v>
      </c>
      <c r="I16" s="50">
        <v>11</v>
      </c>
      <c r="J16" s="50">
        <v>0</v>
      </c>
      <c r="K16" s="50">
        <v>0</v>
      </c>
      <c r="L16" s="50">
        <v>4</v>
      </c>
      <c r="M16" s="50">
        <v>27</v>
      </c>
      <c r="N16" s="50">
        <v>0</v>
      </c>
      <c r="O16" s="15">
        <f t="shared" si="0"/>
        <v>82</v>
      </c>
      <c r="P16" s="15">
        <f t="shared" si="1"/>
        <v>109</v>
      </c>
      <c r="R16" s="1" t="s">
        <v>12</v>
      </c>
      <c r="S16" s="17">
        <f t="shared" ref="S16:AF16" si="8">SUM(C34:C37)</f>
        <v>226</v>
      </c>
      <c r="T16" s="17">
        <f t="shared" si="8"/>
        <v>35</v>
      </c>
      <c r="U16" s="17">
        <f t="shared" si="8"/>
        <v>17</v>
      </c>
      <c r="V16" s="17">
        <f t="shared" si="8"/>
        <v>163</v>
      </c>
      <c r="W16" s="17">
        <f t="shared" si="8"/>
        <v>10</v>
      </c>
      <c r="X16" s="17">
        <f t="shared" si="8"/>
        <v>6</v>
      </c>
      <c r="Y16" s="17">
        <f t="shared" si="8"/>
        <v>56</v>
      </c>
      <c r="Z16" s="17">
        <f t="shared" si="8"/>
        <v>2</v>
      </c>
      <c r="AA16" s="17">
        <f t="shared" si="8"/>
        <v>4</v>
      </c>
      <c r="AB16" s="17">
        <f t="shared" si="8"/>
        <v>6</v>
      </c>
      <c r="AC16" s="17">
        <f t="shared" si="8"/>
        <v>173</v>
      </c>
      <c r="AD16" s="17">
        <f t="shared" si="8"/>
        <v>0</v>
      </c>
      <c r="AE16" s="31">
        <f t="shared" si="8"/>
        <v>525</v>
      </c>
      <c r="AF16" s="31">
        <f t="shared" si="8"/>
        <v>698</v>
      </c>
    </row>
    <row r="17" spans="2:32" ht="23.1" customHeight="1" x14ac:dyDescent="0.25">
      <c r="B17" s="23" t="s">
        <v>44</v>
      </c>
      <c r="C17" s="50">
        <v>34</v>
      </c>
      <c r="D17" s="50">
        <v>7</v>
      </c>
      <c r="E17" s="50">
        <v>1</v>
      </c>
      <c r="F17" s="50">
        <v>16</v>
      </c>
      <c r="G17" s="50">
        <v>0</v>
      </c>
      <c r="H17" s="50">
        <v>0</v>
      </c>
      <c r="I17" s="50">
        <v>13</v>
      </c>
      <c r="J17" s="50">
        <v>0</v>
      </c>
      <c r="K17" s="50">
        <v>0</v>
      </c>
      <c r="L17" s="50">
        <v>5</v>
      </c>
      <c r="M17" s="50">
        <v>31</v>
      </c>
      <c r="N17" s="50">
        <v>0</v>
      </c>
      <c r="O17" s="15">
        <f t="shared" si="0"/>
        <v>76</v>
      </c>
      <c r="P17" s="15">
        <f t="shared" si="1"/>
        <v>107</v>
      </c>
      <c r="R17" s="1" t="s">
        <v>13</v>
      </c>
      <c r="S17" s="17">
        <f t="shared" ref="S17:AF17" si="9">SUM(C38:C41)</f>
        <v>270</v>
      </c>
      <c r="T17" s="17">
        <f t="shared" si="9"/>
        <v>81</v>
      </c>
      <c r="U17" s="17">
        <f t="shared" si="9"/>
        <v>76</v>
      </c>
      <c r="V17" s="17">
        <f t="shared" si="9"/>
        <v>107</v>
      </c>
      <c r="W17" s="17">
        <f t="shared" si="9"/>
        <v>13</v>
      </c>
      <c r="X17" s="17">
        <f t="shared" si="9"/>
        <v>10</v>
      </c>
      <c r="Y17" s="17">
        <f t="shared" si="9"/>
        <v>87</v>
      </c>
      <c r="Z17" s="17">
        <f t="shared" si="9"/>
        <v>2</v>
      </c>
      <c r="AA17" s="17">
        <f t="shared" si="9"/>
        <v>1</v>
      </c>
      <c r="AB17" s="17">
        <f t="shared" si="9"/>
        <v>5</v>
      </c>
      <c r="AC17" s="17">
        <f t="shared" si="9"/>
        <v>116</v>
      </c>
      <c r="AD17" s="17">
        <f t="shared" si="9"/>
        <v>1</v>
      </c>
      <c r="AE17" s="31">
        <f t="shared" si="9"/>
        <v>653</v>
      </c>
      <c r="AF17" s="31">
        <f t="shared" si="9"/>
        <v>769</v>
      </c>
    </row>
    <row r="18" spans="2:32" ht="23.1" customHeight="1" x14ac:dyDescent="0.25">
      <c r="B18" s="23" t="s">
        <v>45</v>
      </c>
      <c r="C18" s="50">
        <v>45</v>
      </c>
      <c r="D18" s="50">
        <v>10</v>
      </c>
      <c r="E18" s="50">
        <v>6</v>
      </c>
      <c r="F18" s="50">
        <v>30</v>
      </c>
      <c r="G18" s="50">
        <v>3</v>
      </c>
      <c r="H18" s="50">
        <v>1</v>
      </c>
      <c r="I18" s="50">
        <v>18</v>
      </c>
      <c r="J18" s="50">
        <v>0</v>
      </c>
      <c r="K18" s="50">
        <v>1</v>
      </c>
      <c r="L18" s="50">
        <v>3</v>
      </c>
      <c r="M18" s="50">
        <v>21</v>
      </c>
      <c r="N18" s="50">
        <v>0</v>
      </c>
      <c r="O18" s="15">
        <f t="shared" si="0"/>
        <v>117</v>
      </c>
      <c r="P18" s="15">
        <f t="shared" si="1"/>
        <v>138</v>
      </c>
      <c r="R18" s="1" t="s">
        <v>14</v>
      </c>
      <c r="S18" s="17">
        <f t="shared" ref="S18:AF18" si="10">SUM(C42:C45)</f>
        <v>290</v>
      </c>
      <c r="T18" s="17">
        <f t="shared" si="10"/>
        <v>51</v>
      </c>
      <c r="U18" s="17">
        <f t="shared" si="10"/>
        <v>47</v>
      </c>
      <c r="V18" s="17">
        <f t="shared" si="10"/>
        <v>187</v>
      </c>
      <c r="W18" s="17">
        <f t="shared" si="10"/>
        <v>16</v>
      </c>
      <c r="X18" s="17">
        <f t="shared" si="10"/>
        <v>13</v>
      </c>
      <c r="Y18" s="17">
        <f t="shared" si="10"/>
        <v>135</v>
      </c>
      <c r="Z18" s="17">
        <f t="shared" si="10"/>
        <v>13</v>
      </c>
      <c r="AA18" s="17">
        <f t="shared" si="10"/>
        <v>3</v>
      </c>
      <c r="AB18" s="17">
        <f t="shared" si="10"/>
        <v>4</v>
      </c>
      <c r="AC18" s="17">
        <f t="shared" si="10"/>
        <v>169</v>
      </c>
      <c r="AD18" s="17">
        <f t="shared" si="10"/>
        <v>0</v>
      </c>
      <c r="AE18" s="31">
        <f t="shared" si="10"/>
        <v>759</v>
      </c>
      <c r="AF18" s="31">
        <f t="shared" si="10"/>
        <v>928</v>
      </c>
    </row>
    <row r="19" spans="2:32" ht="23.1" customHeight="1" x14ac:dyDescent="0.25">
      <c r="B19" s="23" t="s">
        <v>46</v>
      </c>
      <c r="C19" s="50">
        <v>35</v>
      </c>
      <c r="D19" s="50">
        <v>5</v>
      </c>
      <c r="E19" s="50">
        <v>3</v>
      </c>
      <c r="F19" s="50">
        <v>12</v>
      </c>
      <c r="G19" s="50">
        <v>1</v>
      </c>
      <c r="H19" s="50">
        <v>0</v>
      </c>
      <c r="I19" s="50">
        <v>15</v>
      </c>
      <c r="J19" s="50">
        <v>1</v>
      </c>
      <c r="K19" s="50">
        <v>0</v>
      </c>
      <c r="L19" s="50">
        <v>0</v>
      </c>
      <c r="M19" s="50">
        <v>29</v>
      </c>
      <c r="N19" s="50">
        <v>0</v>
      </c>
      <c r="O19" s="15">
        <f t="shared" si="0"/>
        <v>72</v>
      </c>
      <c r="P19" s="15">
        <f t="shared" si="1"/>
        <v>101</v>
      </c>
      <c r="R19" s="1" t="s">
        <v>15</v>
      </c>
      <c r="S19" s="17">
        <f t="shared" ref="S19:AF19" si="11">SUM(C46:C49)</f>
        <v>255</v>
      </c>
      <c r="T19" s="17">
        <f t="shared" si="11"/>
        <v>65</v>
      </c>
      <c r="U19" s="17">
        <f t="shared" si="11"/>
        <v>45</v>
      </c>
      <c r="V19" s="17">
        <f t="shared" si="11"/>
        <v>132</v>
      </c>
      <c r="W19" s="17">
        <f t="shared" si="11"/>
        <v>22</v>
      </c>
      <c r="X19" s="17">
        <f t="shared" si="11"/>
        <v>20</v>
      </c>
      <c r="Y19" s="17">
        <f t="shared" si="11"/>
        <v>131</v>
      </c>
      <c r="Z19" s="17">
        <f t="shared" si="11"/>
        <v>5</v>
      </c>
      <c r="AA19" s="17">
        <f t="shared" si="11"/>
        <v>2</v>
      </c>
      <c r="AB19" s="17">
        <f t="shared" si="11"/>
        <v>11</v>
      </c>
      <c r="AC19" s="17">
        <f t="shared" si="11"/>
        <v>165</v>
      </c>
      <c r="AD19" s="17">
        <f t="shared" si="11"/>
        <v>0</v>
      </c>
      <c r="AE19" s="31">
        <f t="shared" si="11"/>
        <v>688</v>
      </c>
      <c r="AF19" s="31">
        <f t="shared" si="11"/>
        <v>853</v>
      </c>
    </row>
    <row r="20" spans="2:32" ht="23.1" customHeight="1" x14ac:dyDescent="0.25">
      <c r="B20" s="23" t="s">
        <v>47</v>
      </c>
      <c r="C20" s="50">
        <v>45</v>
      </c>
      <c r="D20" s="50">
        <v>10</v>
      </c>
      <c r="E20" s="50">
        <v>12</v>
      </c>
      <c r="F20" s="50">
        <v>23</v>
      </c>
      <c r="G20" s="50">
        <v>6</v>
      </c>
      <c r="H20" s="50">
        <v>1</v>
      </c>
      <c r="I20" s="50">
        <v>9</v>
      </c>
      <c r="J20" s="50">
        <v>0</v>
      </c>
      <c r="K20" s="50">
        <v>0</v>
      </c>
      <c r="L20" s="50">
        <v>2</v>
      </c>
      <c r="M20" s="50">
        <v>34</v>
      </c>
      <c r="N20" s="50">
        <v>0</v>
      </c>
      <c r="O20" s="15">
        <f t="shared" si="0"/>
        <v>108</v>
      </c>
      <c r="P20" s="15">
        <f t="shared" si="1"/>
        <v>142</v>
      </c>
      <c r="R20" s="1" t="s">
        <v>16</v>
      </c>
      <c r="S20" s="17">
        <f t="shared" ref="S20:AF20" si="12">SUM(C50:C53)</f>
        <v>158</v>
      </c>
      <c r="T20" s="17">
        <f t="shared" si="12"/>
        <v>23</v>
      </c>
      <c r="U20" s="17">
        <f t="shared" si="12"/>
        <v>23</v>
      </c>
      <c r="V20" s="17">
        <f t="shared" si="12"/>
        <v>154</v>
      </c>
      <c r="W20" s="17">
        <f t="shared" si="12"/>
        <v>20</v>
      </c>
      <c r="X20" s="17">
        <f t="shared" si="12"/>
        <v>21</v>
      </c>
      <c r="Y20" s="17">
        <f t="shared" si="12"/>
        <v>107</v>
      </c>
      <c r="Z20" s="17">
        <f t="shared" si="12"/>
        <v>7</v>
      </c>
      <c r="AA20" s="17">
        <f t="shared" si="12"/>
        <v>12</v>
      </c>
      <c r="AB20" s="17">
        <f t="shared" si="12"/>
        <v>8</v>
      </c>
      <c r="AC20" s="17">
        <f t="shared" si="12"/>
        <v>143</v>
      </c>
      <c r="AD20" s="17">
        <f t="shared" si="12"/>
        <v>0</v>
      </c>
      <c r="AE20" s="31">
        <f t="shared" si="12"/>
        <v>533</v>
      </c>
      <c r="AF20" s="31">
        <f t="shared" si="12"/>
        <v>676</v>
      </c>
    </row>
    <row r="21" spans="2:32" ht="23.1" customHeight="1" x14ac:dyDescent="0.25">
      <c r="B21" s="23" t="s">
        <v>48</v>
      </c>
      <c r="C21" s="50">
        <v>45</v>
      </c>
      <c r="D21" s="50">
        <v>15</v>
      </c>
      <c r="E21" s="50">
        <v>5</v>
      </c>
      <c r="F21" s="50">
        <v>20</v>
      </c>
      <c r="G21" s="50">
        <v>2</v>
      </c>
      <c r="H21" s="50">
        <v>2</v>
      </c>
      <c r="I21" s="50">
        <v>13</v>
      </c>
      <c r="J21" s="50">
        <v>0</v>
      </c>
      <c r="K21" s="50">
        <v>1</v>
      </c>
      <c r="L21" s="50">
        <v>1</v>
      </c>
      <c r="M21" s="50">
        <v>25</v>
      </c>
      <c r="N21" s="50">
        <v>0</v>
      </c>
      <c r="O21" s="15">
        <f t="shared" si="0"/>
        <v>104</v>
      </c>
      <c r="P21" s="15">
        <f t="shared" si="1"/>
        <v>129</v>
      </c>
      <c r="R21" s="36" t="s">
        <v>20</v>
      </c>
      <c r="S21" s="34">
        <f t="shared" ref="S21:AF21" si="13">SUM(C54:C57)</f>
        <v>277</v>
      </c>
      <c r="T21" s="17">
        <f t="shared" si="13"/>
        <v>79</v>
      </c>
      <c r="U21" s="17">
        <f t="shared" si="13"/>
        <v>37</v>
      </c>
      <c r="V21" s="17">
        <f t="shared" si="13"/>
        <v>147</v>
      </c>
      <c r="W21" s="17">
        <f t="shared" si="13"/>
        <v>10</v>
      </c>
      <c r="X21" s="17">
        <f t="shared" si="13"/>
        <v>13</v>
      </c>
      <c r="Y21" s="17">
        <f t="shared" si="13"/>
        <v>120</v>
      </c>
      <c r="Z21" s="17">
        <f t="shared" si="13"/>
        <v>4</v>
      </c>
      <c r="AA21" s="17">
        <f t="shared" si="13"/>
        <v>7</v>
      </c>
      <c r="AB21" s="17">
        <f t="shared" si="13"/>
        <v>12</v>
      </c>
      <c r="AC21" s="17">
        <f t="shared" si="13"/>
        <v>153</v>
      </c>
      <c r="AD21" s="17">
        <f t="shared" si="13"/>
        <v>0</v>
      </c>
      <c r="AE21" s="31">
        <f t="shared" si="13"/>
        <v>706</v>
      </c>
      <c r="AF21" s="31">
        <f t="shared" si="13"/>
        <v>859</v>
      </c>
    </row>
    <row r="22" spans="2:32" ht="23.1" customHeight="1" x14ac:dyDescent="0.25">
      <c r="B22" s="23" t="s">
        <v>49</v>
      </c>
      <c r="C22" s="50">
        <v>85</v>
      </c>
      <c r="D22" s="50">
        <v>15</v>
      </c>
      <c r="E22" s="50">
        <v>6</v>
      </c>
      <c r="F22" s="50">
        <v>40</v>
      </c>
      <c r="G22" s="50">
        <v>2</v>
      </c>
      <c r="H22" s="50">
        <v>3</v>
      </c>
      <c r="I22" s="50">
        <v>11</v>
      </c>
      <c r="J22" s="50">
        <v>0</v>
      </c>
      <c r="K22" s="50">
        <v>2</v>
      </c>
      <c r="L22" s="50">
        <v>0</v>
      </c>
      <c r="M22" s="50">
        <v>30</v>
      </c>
      <c r="N22" s="50">
        <v>0</v>
      </c>
      <c r="O22" s="15">
        <f t="shared" si="0"/>
        <v>164</v>
      </c>
      <c r="P22" s="15">
        <f t="shared" si="1"/>
        <v>194</v>
      </c>
      <c r="R22" s="38" t="s">
        <v>90</v>
      </c>
      <c r="S22" s="39">
        <f>MAX(S10:S12)</f>
        <v>170</v>
      </c>
      <c r="T22" s="39">
        <f t="shared" ref="T22:AF22" si="14">MAX(T10:T12)</f>
        <v>40</v>
      </c>
      <c r="U22" s="39">
        <f t="shared" si="14"/>
        <v>26</v>
      </c>
      <c r="V22" s="39">
        <f t="shared" si="14"/>
        <v>88</v>
      </c>
      <c r="W22" s="39">
        <f t="shared" si="14"/>
        <v>12</v>
      </c>
      <c r="X22" s="39">
        <f t="shared" si="14"/>
        <v>4</v>
      </c>
      <c r="Y22" s="39">
        <f t="shared" si="14"/>
        <v>55</v>
      </c>
      <c r="Z22" s="39">
        <f t="shared" si="14"/>
        <v>2</v>
      </c>
      <c r="AA22" s="39">
        <f t="shared" si="14"/>
        <v>2</v>
      </c>
      <c r="AB22" s="39">
        <f t="shared" si="14"/>
        <v>11</v>
      </c>
      <c r="AC22" s="39">
        <f t="shared" si="14"/>
        <v>109</v>
      </c>
      <c r="AD22" s="39">
        <f t="shared" si="14"/>
        <v>0</v>
      </c>
      <c r="AE22" s="40">
        <f t="shared" si="14"/>
        <v>401</v>
      </c>
      <c r="AF22" s="40">
        <f t="shared" si="14"/>
        <v>510</v>
      </c>
    </row>
    <row r="23" spans="2:32" ht="23.1" customHeight="1" x14ac:dyDescent="0.25">
      <c r="B23" s="23" t="s">
        <v>50</v>
      </c>
      <c r="C23" s="50">
        <v>35</v>
      </c>
      <c r="D23" s="50">
        <v>15</v>
      </c>
      <c r="E23" s="50">
        <v>3</v>
      </c>
      <c r="F23" s="50">
        <v>25</v>
      </c>
      <c r="G23" s="50">
        <v>1</v>
      </c>
      <c r="H23" s="50">
        <v>2</v>
      </c>
      <c r="I23" s="50">
        <v>10</v>
      </c>
      <c r="J23" s="50">
        <v>0</v>
      </c>
      <c r="K23" s="50">
        <v>1</v>
      </c>
      <c r="L23" s="50">
        <v>3</v>
      </c>
      <c r="M23" s="50">
        <v>16</v>
      </c>
      <c r="N23" s="50">
        <v>0</v>
      </c>
      <c r="O23" s="15">
        <f t="shared" si="0"/>
        <v>95</v>
      </c>
      <c r="P23" s="15">
        <f t="shared" si="1"/>
        <v>111</v>
      </c>
      <c r="R23" s="38" t="s">
        <v>91</v>
      </c>
      <c r="S23" s="39">
        <f>MAX(S13:S18)</f>
        <v>290</v>
      </c>
      <c r="T23" s="39">
        <f t="shared" ref="T23:AF23" si="15">MAX(T13:T18)</f>
        <v>81</v>
      </c>
      <c r="U23" s="39">
        <f t="shared" si="15"/>
        <v>76</v>
      </c>
      <c r="V23" s="39">
        <f t="shared" si="15"/>
        <v>187</v>
      </c>
      <c r="W23" s="39">
        <f t="shared" si="15"/>
        <v>16</v>
      </c>
      <c r="X23" s="39">
        <f t="shared" si="15"/>
        <v>13</v>
      </c>
      <c r="Y23" s="39">
        <f t="shared" si="15"/>
        <v>135</v>
      </c>
      <c r="Z23" s="39">
        <f t="shared" si="15"/>
        <v>13</v>
      </c>
      <c r="AA23" s="39">
        <f t="shared" si="15"/>
        <v>4</v>
      </c>
      <c r="AB23" s="39">
        <f t="shared" si="15"/>
        <v>10</v>
      </c>
      <c r="AC23" s="39">
        <f t="shared" si="15"/>
        <v>173</v>
      </c>
      <c r="AD23" s="39">
        <f t="shared" si="15"/>
        <v>1</v>
      </c>
      <c r="AE23" s="40">
        <f t="shared" si="15"/>
        <v>759</v>
      </c>
      <c r="AF23" s="40">
        <f t="shared" si="15"/>
        <v>928</v>
      </c>
    </row>
    <row r="24" spans="2:32" ht="23.1" customHeight="1" x14ac:dyDescent="0.25">
      <c r="B24" s="23" t="s">
        <v>51</v>
      </c>
      <c r="C24" s="50">
        <v>40</v>
      </c>
      <c r="D24" s="50">
        <v>10</v>
      </c>
      <c r="E24" s="50">
        <v>2</v>
      </c>
      <c r="F24" s="50">
        <v>16</v>
      </c>
      <c r="G24" s="50">
        <v>2</v>
      </c>
      <c r="H24" s="50">
        <v>2</v>
      </c>
      <c r="I24" s="50">
        <v>7</v>
      </c>
      <c r="J24" s="50">
        <v>1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80</v>
      </c>
      <c r="P24" s="15">
        <f t="shared" si="1"/>
        <v>102</v>
      </c>
      <c r="R24" s="38" t="s">
        <v>92</v>
      </c>
      <c r="S24" s="39">
        <f>MAX(S19:S21)</f>
        <v>277</v>
      </c>
      <c r="T24" s="39">
        <f t="shared" ref="T24:AF24" si="16">MAX(T19:T21)</f>
        <v>79</v>
      </c>
      <c r="U24" s="39">
        <f t="shared" si="16"/>
        <v>45</v>
      </c>
      <c r="V24" s="39">
        <f t="shared" si="16"/>
        <v>154</v>
      </c>
      <c r="W24" s="39">
        <f t="shared" si="16"/>
        <v>22</v>
      </c>
      <c r="X24" s="39">
        <f t="shared" si="16"/>
        <v>21</v>
      </c>
      <c r="Y24" s="39">
        <f t="shared" si="16"/>
        <v>131</v>
      </c>
      <c r="Z24" s="39">
        <f t="shared" si="16"/>
        <v>7</v>
      </c>
      <c r="AA24" s="39">
        <f t="shared" si="16"/>
        <v>12</v>
      </c>
      <c r="AB24" s="39">
        <f t="shared" si="16"/>
        <v>12</v>
      </c>
      <c r="AC24" s="39">
        <f t="shared" si="16"/>
        <v>165</v>
      </c>
      <c r="AD24" s="39">
        <f t="shared" si="16"/>
        <v>0</v>
      </c>
      <c r="AE24" s="40">
        <f t="shared" si="16"/>
        <v>706</v>
      </c>
      <c r="AF24" s="40">
        <f t="shared" si="16"/>
        <v>859</v>
      </c>
    </row>
    <row r="25" spans="2:32" ht="23.1" customHeight="1" x14ac:dyDescent="0.25">
      <c r="B25" s="23" t="s">
        <v>52</v>
      </c>
      <c r="C25" s="50">
        <v>40</v>
      </c>
      <c r="D25" s="50">
        <v>5</v>
      </c>
      <c r="E25" s="50">
        <v>0</v>
      </c>
      <c r="F25" s="50">
        <v>40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1</v>
      </c>
      <c r="M25" s="50">
        <v>18</v>
      </c>
      <c r="N25" s="50">
        <v>0</v>
      </c>
      <c r="O25" s="15">
        <f t="shared" si="0"/>
        <v>90</v>
      </c>
      <c r="P25" s="15">
        <f t="shared" si="1"/>
        <v>108</v>
      </c>
      <c r="R25" s="37" t="s">
        <v>85</v>
      </c>
      <c r="S25" s="35">
        <f t="shared" ref="S25:AF25" si="17">SUM(S10:S12)</f>
        <v>405</v>
      </c>
      <c r="T25" s="16">
        <f t="shared" si="17"/>
        <v>76</v>
      </c>
      <c r="U25" s="16">
        <f t="shared" si="17"/>
        <v>56</v>
      </c>
      <c r="V25" s="16">
        <f t="shared" si="17"/>
        <v>260</v>
      </c>
      <c r="W25" s="16">
        <f t="shared" si="17"/>
        <v>18</v>
      </c>
      <c r="X25" s="16">
        <f t="shared" si="17"/>
        <v>12</v>
      </c>
      <c r="Y25" s="16">
        <f t="shared" si="17"/>
        <v>148</v>
      </c>
      <c r="Z25" s="16">
        <f t="shared" si="17"/>
        <v>4</v>
      </c>
      <c r="AA25" s="16">
        <f t="shared" si="17"/>
        <v>3</v>
      </c>
      <c r="AB25" s="16">
        <f t="shared" si="17"/>
        <v>20</v>
      </c>
      <c r="AC25" s="16">
        <f t="shared" si="17"/>
        <v>271</v>
      </c>
      <c r="AD25" s="16">
        <f t="shared" si="17"/>
        <v>0</v>
      </c>
      <c r="AE25" s="32">
        <f t="shared" si="17"/>
        <v>1002</v>
      </c>
      <c r="AF25" s="32">
        <f t="shared" si="17"/>
        <v>1273</v>
      </c>
    </row>
    <row r="26" spans="2:32" ht="23.1" customHeight="1" x14ac:dyDescent="0.25">
      <c r="B26" s="23" t="s">
        <v>53</v>
      </c>
      <c r="C26" s="50">
        <v>50</v>
      </c>
      <c r="D26" s="50">
        <v>5</v>
      </c>
      <c r="E26" s="50">
        <v>3</v>
      </c>
      <c r="F26" s="50">
        <v>30</v>
      </c>
      <c r="G26" s="50">
        <v>3</v>
      </c>
      <c r="H26" s="50">
        <v>1</v>
      </c>
      <c r="I26" s="50">
        <v>12</v>
      </c>
      <c r="J26" s="50">
        <v>1</v>
      </c>
      <c r="K26" s="50">
        <v>0</v>
      </c>
      <c r="L26" s="50">
        <v>3</v>
      </c>
      <c r="M26" s="50">
        <v>25</v>
      </c>
      <c r="N26" s="50">
        <v>0</v>
      </c>
      <c r="O26" s="15">
        <f t="shared" si="0"/>
        <v>108</v>
      </c>
      <c r="P26" s="15">
        <f t="shared" si="1"/>
        <v>133</v>
      </c>
      <c r="R26" s="28" t="s">
        <v>86</v>
      </c>
      <c r="S26" s="16">
        <f t="shared" ref="S26:AF26" si="18">SUM(S13:S18)</f>
        <v>1328</v>
      </c>
      <c r="T26" s="16">
        <f t="shared" si="18"/>
        <v>280</v>
      </c>
      <c r="U26" s="16">
        <f t="shared" si="18"/>
        <v>187</v>
      </c>
      <c r="V26" s="16">
        <f t="shared" si="18"/>
        <v>824</v>
      </c>
      <c r="W26" s="16">
        <f t="shared" si="18"/>
        <v>65</v>
      </c>
      <c r="X26" s="16">
        <f t="shared" si="18"/>
        <v>49</v>
      </c>
      <c r="Y26" s="16">
        <f t="shared" si="18"/>
        <v>422</v>
      </c>
      <c r="Z26" s="16">
        <f t="shared" si="18"/>
        <v>21</v>
      </c>
      <c r="AA26" s="16">
        <f t="shared" si="18"/>
        <v>13</v>
      </c>
      <c r="AB26" s="16">
        <f t="shared" si="18"/>
        <v>33</v>
      </c>
      <c r="AC26" s="16">
        <f t="shared" si="18"/>
        <v>765</v>
      </c>
      <c r="AD26" s="16">
        <f t="shared" si="18"/>
        <v>1</v>
      </c>
      <c r="AE26" s="32">
        <f t="shared" si="18"/>
        <v>3223</v>
      </c>
      <c r="AF26" s="32">
        <f t="shared" si="18"/>
        <v>3988</v>
      </c>
    </row>
    <row r="27" spans="2:32" ht="23.1" customHeight="1" x14ac:dyDescent="0.25">
      <c r="B27" s="23" t="s">
        <v>54</v>
      </c>
      <c r="C27" s="50">
        <v>30</v>
      </c>
      <c r="D27" s="50">
        <v>5</v>
      </c>
      <c r="E27" s="50">
        <v>1</v>
      </c>
      <c r="F27" s="50">
        <v>40</v>
      </c>
      <c r="G27" s="50">
        <v>0</v>
      </c>
      <c r="H27" s="50">
        <v>0</v>
      </c>
      <c r="I27" s="50">
        <v>10</v>
      </c>
      <c r="J27" s="50">
        <v>0</v>
      </c>
      <c r="K27" s="50">
        <v>0</v>
      </c>
      <c r="L27" s="50">
        <v>1</v>
      </c>
      <c r="M27" s="50">
        <v>20</v>
      </c>
      <c r="N27" s="50">
        <v>0</v>
      </c>
      <c r="O27" s="15">
        <f t="shared" si="0"/>
        <v>87</v>
      </c>
      <c r="P27" s="15">
        <f t="shared" si="1"/>
        <v>107</v>
      </c>
      <c r="R27" s="29" t="s">
        <v>87</v>
      </c>
      <c r="S27" s="16">
        <f t="shared" ref="S27:AF27" si="19">SUM(S19:S21)</f>
        <v>690</v>
      </c>
      <c r="T27" s="16">
        <f t="shared" si="19"/>
        <v>167</v>
      </c>
      <c r="U27" s="16">
        <f t="shared" si="19"/>
        <v>105</v>
      </c>
      <c r="V27" s="16">
        <f t="shared" si="19"/>
        <v>433</v>
      </c>
      <c r="W27" s="16">
        <f t="shared" si="19"/>
        <v>52</v>
      </c>
      <c r="X27" s="16">
        <f t="shared" si="19"/>
        <v>54</v>
      </c>
      <c r="Y27" s="16">
        <f t="shared" si="19"/>
        <v>358</v>
      </c>
      <c r="Z27" s="16">
        <f t="shared" si="19"/>
        <v>16</v>
      </c>
      <c r="AA27" s="16">
        <f t="shared" si="19"/>
        <v>21</v>
      </c>
      <c r="AB27" s="16">
        <f t="shared" si="19"/>
        <v>31</v>
      </c>
      <c r="AC27" s="16">
        <f t="shared" si="19"/>
        <v>461</v>
      </c>
      <c r="AD27" s="16">
        <f t="shared" si="19"/>
        <v>0</v>
      </c>
      <c r="AE27" s="32">
        <f t="shared" si="19"/>
        <v>1927</v>
      </c>
      <c r="AF27" s="32">
        <f t="shared" si="19"/>
        <v>2388</v>
      </c>
    </row>
    <row r="28" spans="2:32" ht="23.1" customHeight="1" x14ac:dyDescent="0.25">
      <c r="B28" s="23" t="s">
        <v>55</v>
      </c>
      <c r="C28" s="50">
        <v>14</v>
      </c>
      <c r="D28" s="50">
        <v>7</v>
      </c>
      <c r="E28" s="50">
        <v>2</v>
      </c>
      <c r="F28" s="50">
        <v>19</v>
      </c>
      <c r="G28" s="50">
        <v>3</v>
      </c>
      <c r="H28" s="50">
        <v>1</v>
      </c>
      <c r="I28" s="50">
        <v>13</v>
      </c>
      <c r="J28" s="50">
        <v>0</v>
      </c>
      <c r="K28" s="50">
        <v>0</v>
      </c>
      <c r="L28" s="50">
        <v>0</v>
      </c>
      <c r="M28" s="50">
        <v>22</v>
      </c>
      <c r="N28" s="50">
        <v>0</v>
      </c>
      <c r="O28" s="15">
        <f t="shared" si="0"/>
        <v>59</v>
      </c>
      <c r="P28" s="15">
        <f t="shared" si="1"/>
        <v>81</v>
      </c>
      <c r="R28" s="5" t="s">
        <v>17</v>
      </c>
      <c r="S28" s="16">
        <f t="shared" ref="S28:AF28" si="20">SUM(S10:S21)</f>
        <v>2423</v>
      </c>
      <c r="T28" s="16">
        <f t="shared" si="20"/>
        <v>523</v>
      </c>
      <c r="U28" s="16">
        <f t="shared" si="20"/>
        <v>348</v>
      </c>
      <c r="V28" s="16">
        <f t="shared" si="20"/>
        <v>1517</v>
      </c>
      <c r="W28" s="16">
        <f t="shared" si="20"/>
        <v>135</v>
      </c>
      <c r="X28" s="16">
        <f t="shared" si="20"/>
        <v>115</v>
      </c>
      <c r="Y28" s="16">
        <f t="shared" si="20"/>
        <v>928</v>
      </c>
      <c r="Z28" s="16">
        <f t="shared" si="20"/>
        <v>41</v>
      </c>
      <c r="AA28" s="16">
        <f t="shared" si="20"/>
        <v>37</v>
      </c>
      <c r="AB28" s="16">
        <f t="shared" si="20"/>
        <v>84</v>
      </c>
      <c r="AC28" s="16">
        <f t="shared" si="20"/>
        <v>1497</v>
      </c>
      <c r="AD28" s="16">
        <f t="shared" si="20"/>
        <v>1</v>
      </c>
      <c r="AE28" s="32">
        <f t="shared" si="20"/>
        <v>6152</v>
      </c>
      <c r="AF28" s="32">
        <f t="shared" si="20"/>
        <v>7649</v>
      </c>
    </row>
    <row r="29" spans="2:32" ht="23.1" customHeight="1" x14ac:dyDescent="0.25">
      <c r="B29" s="23" t="s">
        <v>56</v>
      </c>
      <c r="C29" s="50">
        <v>71</v>
      </c>
      <c r="D29" s="50">
        <v>8</v>
      </c>
      <c r="E29" s="50">
        <v>5</v>
      </c>
      <c r="F29" s="50">
        <v>30</v>
      </c>
      <c r="G29" s="50">
        <v>5</v>
      </c>
      <c r="H29" s="50">
        <v>2</v>
      </c>
      <c r="I29" s="50">
        <v>20</v>
      </c>
      <c r="J29" s="50">
        <v>0</v>
      </c>
      <c r="K29" s="50">
        <v>0</v>
      </c>
      <c r="L29" s="50">
        <v>0</v>
      </c>
      <c r="M29" s="50">
        <v>32</v>
      </c>
      <c r="N29" s="50">
        <v>0</v>
      </c>
      <c r="O29" s="15">
        <f t="shared" si="0"/>
        <v>141</v>
      </c>
      <c r="P29" s="15">
        <f t="shared" si="1"/>
        <v>173</v>
      </c>
      <c r="R29"/>
      <c r="S29" s="20"/>
      <c r="T29" s="19"/>
    </row>
    <row r="30" spans="2:32" ht="23.1" customHeight="1" x14ac:dyDescent="0.25">
      <c r="B30" s="23" t="s">
        <v>57</v>
      </c>
      <c r="C30" s="50">
        <v>40</v>
      </c>
      <c r="D30" s="50">
        <v>19</v>
      </c>
      <c r="E30" s="50">
        <v>1</v>
      </c>
      <c r="F30" s="50">
        <v>24</v>
      </c>
      <c r="G30" s="50">
        <v>2</v>
      </c>
      <c r="H30" s="50">
        <v>3</v>
      </c>
      <c r="I30" s="50">
        <v>10</v>
      </c>
      <c r="J30" s="50">
        <v>1</v>
      </c>
      <c r="K30" s="50">
        <v>1</v>
      </c>
      <c r="L30" s="50">
        <v>0</v>
      </c>
      <c r="M30" s="50">
        <v>20</v>
      </c>
      <c r="N30" s="50">
        <v>0</v>
      </c>
      <c r="O30" s="15">
        <f t="shared" si="0"/>
        <v>101</v>
      </c>
      <c r="P30" s="15">
        <f t="shared" si="1"/>
        <v>121</v>
      </c>
    </row>
    <row r="31" spans="2:32" ht="23.1" customHeight="1" x14ac:dyDescent="0.25">
      <c r="B31" s="24" t="s">
        <v>58</v>
      </c>
      <c r="C31" s="50">
        <v>62</v>
      </c>
      <c r="D31" s="50">
        <v>3</v>
      </c>
      <c r="E31" s="50">
        <v>3</v>
      </c>
      <c r="F31" s="50">
        <v>36</v>
      </c>
      <c r="G31" s="50">
        <v>1</v>
      </c>
      <c r="H31" s="50">
        <v>1</v>
      </c>
      <c r="I31" s="50">
        <v>15</v>
      </c>
      <c r="J31" s="50">
        <v>1</v>
      </c>
      <c r="K31" s="50">
        <v>0</v>
      </c>
      <c r="L31" s="50">
        <v>0</v>
      </c>
      <c r="M31" s="50">
        <v>38</v>
      </c>
      <c r="N31" s="50">
        <v>0</v>
      </c>
      <c r="O31" s="15">
        <f t="shared" si="0"/>
        <v>122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38</v>
      </c>
      <c r="D32" s="50">
        <v>14</v>
      </c>
      <c r="E32" s="50">
        <v>8</v>
      </c>
      <c r="F32" s="50">
        <v>27</v>
      </c>
      <c r="G32" s="50">
        <v>3</v>
      </c>
      <c r="H32" s="50">
        <v>4</v>
      </c>
      <c r="I32" s="50">
        <v>20</v>
      </c>
      <c r="J32" s="50">
        <v>0</v>
      </c>
      <c r="K32" s="50">
        <v>0</v>
      </c>
      <c r="L32" s="50">
        <v>5</v>
      </c>
      <c r="M32" s="50">
        <v>32</v>
      </c>
      <c r="N32" s="50">
        <v>0</v>
      </c>
      <c r="O32" s="15">
        <f t="shared" si="0"/>
        <v>119</v>
      </c>
      <c r="P32" s="15">
        <f t="shared" si="1"/>
        <v>151</v>
      </c>
    </row>
    <row r="33" spans="2:20" ht="23.1" customHeight="1" x14ac:dyDescent="0.25">
      <c r="B33" s="23" t="s">
        <v>60</v>
      </c>
      <c r="C33" s="50">
        <v>37</v>
      </c>
      <c r="D33" s="50">
        <v>7</v>
      </c>
      <c r="E33" s="50">
        <v>13</v>
      </c>
      <c r="F33" s="50">
        <v>40</v>
      </c>
      <c r="G33" s="50">
        <v>4</v>
      </c>
      <c r="H33" s="50">
        <v>1</v>
      </c>
      <c r="I33" s="50">
        <v>12</v>
      </c>
      <c r="J33" s="50">
        <v>0</v>
      </c>
      <c r="K33" s="50">
        <v>1</v>
      </c>
      <c r="L33" s="50">
        <v>5</v>
      </c>
      <c r="M33" s="50">
        <v>32</v>
      </c>
      <c r="N33" s="50">
        <v>0</v>
      </c>
      <c r="O33" s="15">
        <f t="shared" si="0"/>
        <v>120</v>
      </c>
      <c r="P33" s="15">
        <f t="shared" si="1"/>
        <v>152</v>
      </c>
    </row>
    <row r="34" spans="2:20" ht="23.1" customHeight="1" x14ac:dyDescent="0.25">
      <c r="B34" s="24" t="s">
        <v>61</v>
      </c>
      <c r="C34" s="50">
        <v>47</v>
      </c>
      <c r="D34" s="50">
        <v>14</v>
      </c>
      <c r="E34" s="50">
        <v>6</v>
      </c>
      <c r="F34" s="50">
        <v>42</v>
      </c>
      <c r="G34" s="50">
        <v>3</v>
      </c>
      <c r="H34" s="50">
        <v>1</v>
      </c>
      <c r="I34" s="50">
        <v>21</v>
      </c>
      <c r="J34" s="50">
        <v>1</v>
      </c>
      <c r="K34" s="50">
        <v>0</v>
      </c>
      <c r="L34" s="50">
        <v>2</v>
      </c>
      <c r="M34" s="50">
        <v>45</v>
      </c>
      <c r="N34" s="50">
        <v>0</v>
      </c>
      <c r="O34" s="15">
        <f t="shared" si="0"/>
        <v>137</v>
      </c>
      <c r="P34" s="15">
        <f t="shared" si="1"/>
        <v>182</v>
      </c>
    </row>
    <row r="35" spans="2:20" ht="23.1" customHeight="1" x14ac:dyDescent="0.25">
      <c r="B35" s="24" t="s">
        <v>62</v>
      </c>
      <c r="C35" s="50">
        <v>71</v>
      </c>
      <c r="D35" s="50">
        <v>4</v>
      </c>
      <c r="E35" s="50">
        <v>5</v>
      </c>
      <c r="F35" s="50">
        <v>41</v>
      </c>
      <c r="G35" s="50">
        <v>1</v>
      </c>
      <c r="H35" s="50">
        <v>3</v>
      </c>
      <c r="I35" s="50">
        <v>12</v>
      </c>
      <c r="J35" s="50">
        <v>0</v>
      </c>
      <c r="K35" s="50">
        <v>0</v>
      </c>
      <c r="L35" s="50">
        <v>1</v>
      </c>
      <c r="M35" s="50">
        <v>48</v>
      </c>
      <c r="N35" s="50">
        <v>0</v>
      </c>
      <c r="O35" s="15">
        <f t="shared" si="0"/>
        <v>138</v>
      </c>
      <c r="P35" s="15">
        <f t="shared" si="1"/>
        <v>186</v>
      </c>
    </row>
    <row r="36" spans="2:20" ht="23.1" customHeight="1" x14ac:dyDescent="0.25">
      <c r="B36" s="24" t="s">
        <v>63</v>
      </c>
      <c r="C36" s="50">
        <v>48</v>
      </c>
      <c r="D36" s="50">
        <v>10</v>
      </c>
      <c r="E36" s="50">
        <v>2</v>
      </c>
      <c r="F36" s="50">
        <v>45</v>
      </c>
      <c r="G36" s="50">
        <v>2</v>
      </c>
      <c r="H36" s="50">
        <v>2</v>
      </c>
      <c r="I36" s="50">
        <v>13</v>
      </c>
      <c r="J36" s="50">
        <v>1</v>
      </c>
      <c r="K36" s="50">
        <v>3</v>
      </c>
      <c r="L36" s="50">
        <v>0</v>
      </c>
      <c r="M36" s="50">
        <v>35</v>
      </c>
      <c r="N36" s="50">
        <v>0</v>
      </c>
      <c r="O36" s="15">
        <f t="shared" si="0"/>
        <v>126</v>
      </c>
      <c r="P36" s="15">
        <f t="shared" si="1"/>
        <v>161</v>
      </c>
    </row>
    <row r="37" spans="2:20" ht="23.1" customHeight="1" x14ac:dyDescent="0.25">
      <c r="B37" s="23" t="s">
        <v>64</v>
      </c>
      <c r="C37" s="50">
        <v>60</v>
      </c>
      <c r="D37" s="50">
        <v>7</v>
      </c>
      <c r="E37" s="50">
        <v>4</v>
      </c>
      <c r="F37" s="50">
        <v>35</v>
      </c>
      <c r="G37" s="50">
        <v>4</v>
      </c>
      <c r="H37" s="50">
        <v>0</v>
      </c>
      <c r="I37" s="50">
        <v>10</v>
      </c>
      <c r="J37" s="50">
        <v>0</v>
      </c>
      <c r="K37" s="50">
        <v>1</v>
      </c>
      <c r="L37" s="50">
        <v>3</v>
      </c>
      <c r="M37" s="50">
        <v>45</v>
      </c>
      <c r="N37" s="50">
        <v>0</v>
      </c>
      <c r="O37" s="15">
        <f t="shared" si="0"/>
        <v>124</v>
      </c>
      <c r="P37" s="15">
        <f t="shared" si="1"/>
        <v>169</v>
      </c>
    </row>
    <row r="38" spans="2:20" ht="23.1" customHeight="1" x14ac:dyDescent="0.25">
      <c r="B38" s="24" t="s">
        <v>65</v>
      </c>
      <c r="C38" s="50">
        <v>65</v>
      </c>
      <c r="D38" s="50">
        <v>15</v>
      </c>
      <c r="E38" s="50">
        <v>11</v>
      </c>
      <c r="F38" s="50">
        <v>30</v>
      </c>
      <c r="G38" s="50">
        <v>4</v>
      </c>
      <c r="H38" s="50">
        <v>3</v>
      </c>
      <c r="I38" s="50">
        <v>23</v>
      </c>
      <c r="J38" s="50">
        <v>2</v>
      </c>
      <c r="K38" s="50">
        <v>1</v>
      </c>
      <c r="L38" s="50">
        <v>2</v>
      </c>
      <c r="M38" s="50">
        <v>42</v>
      </c>
      <c r="N38" s="50">
        <v>0</v>
      </c>
      <c r="O38" s="15">
        <f t="shared" si="0"/>
        <v>156</v>
      </c>
      <c r="P38" s="15">
        <f t="shared" si="1"/>
        <v>198</v>
      </c>
    </row>
    <row r="39" spans="2:20" ht="23.1" customHeight="1" x14ac:dyDescent="0.25">
      <c r="B39" s="24" t="s">
        <v>66</v>
      </c>
      <c r="C39" s="50">
        <v>35</v>
      </c>
      <c r="D39" s="50">
        <v>30</v>
      </c>
      <c r="E39" s="50">
        <v>18</v>
      </c>
      <c r="F39" s="50">
        <v>37</v>
      </c>
      <c r="G39" s="50">
        <v>2</v>
      </c>
      <c r="H39" s="50">
        <v>1</v>
      </c>
      <c r="I39" s="50">
        <v>25</v>
      </c>
      <c r="J39" s="50">
        <v>0</v>
      </c>
      <c r="K39" s="50">
        <v>0</v>
      </c>
      <c r="L39" s="50">
        <v>3</v>
      </c>
      <c r="M39" s="50">
        <v>34</v>
      </c>
      <c r="N39" s="50">
        <v>1</v>
      </c>
      <c r="O39" s="15">
        <f t="shared" si="0"/>
        <v>152</v>
      </c>
      <c r="P39" s="15">
        <f t="shared" si="1"/>
        <v>186</v>
      </c>
    </row>
    <row r="40" spans="2:20" ht="23.1" customHeight="1" x14ac:dyDescent="0.25">
      <c r="B40" s="24" t="s">
        <v>67</v>
      </c>
      <c r="C40" s="50">
        <v>75</v>
      </c>
      <c r="D40" s="50">
        <v>16</v>
      </c>
      <c r="E40" s="50">
        <v>22</v>
      </c>
      <c r="F40" s="50">
        <v>20</v>
      </c>
      <c r="G40" s="50">
        <v>2</v>
      </c>
      <c r="H40" s="50">
        <v>4</v>
      </c>
      <c r="I40" s="50">
        <v>24</v>
      </c>
      <c r="J40" s="50">
        <v>0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163</v>
      </c>
      <c r="P40" s="15">
        <f t="shared" si="1"/>
        <v>187</v>
      </c>
    </row>
    <row r="41" spans="2:20" ht="23.1" customHeight="1" x14ac:dyDescent="0.25">
      <c r="B41" s="23" t="s">
        <v>68</v>
      </c>
      <c r="C41" s="50">
        <v>95</v>
      </c>
      <c r="D41" s="50">
        <v>20</v>
      </c>
      <c r="E41" s="50">
        <v>25</v>
      </c>
      <c r="F41" s="50">
        <v>20</v>
      </c>
      <c r="G41" s="50">
        <v>5</v>
      </c>
      <c r="H41" s="50">
        <v>2</v>
      </c>
      <c r="I41" s="50">
        <v>15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182</v>
      </c>
      <c r="P41" s="15">
        <f t="shared" si="1"/>
        <v>198</v>
      </c>
    </row>
    <row r="42" spans="2:20" ht="23.1" customHeight="1" x14ac:dyDescent="0.25">
      <c r="B42" s="24" t="s">
        <v>69</v>
      </c>
      <c r="C42" s="50">
        <v>70</v>
      </c>
      <c r="D42" s="50">
        <v>23</v>
      </c>
      <c r="E42" s="50">
        <v>9</v>
      </c>
      <c r="F42" s="50">
        <v>52</v>
      </c>
      <c r="G42" s="50">
        <v>2</v>
      </c>
      <c r="H42" s="50">
        <v>3</v>
      </c>
      <c r="I42" s="50">
        <v>37</v>
      </c>
      <c r="J42" s="50">
        <v>1</v>
      </c>
      <c r="K42" s="50">
        <v>2</v>
      </c>
      <c r="L42" s="50">
        <v>3</v>
      </c>
      <c r="M42" s="50">
        <v>48</v>
      </c>
      <c r="N42" s="50">
        <v>0</v>
      </c>
      <c r="O42" s="15">
        <f t="shared" si="0"/>
        <v>202</v>
      </c>
      <c r="P42" s="15">
        <f t="shared" si="1"/>
        <v>250</v>
      </c>
    </row>
    <row r="43" spans="2:20" ht="23.1" customHeight="1" x14ac:dyDescent="0.25">
      <c r="B43" s="23" t="s">
        <v>70</v>
      </c>
      <c r="C43" s="50">
        <v>100</v>
      </c>
      <c r="D43" s="50">
        <v>8</v>
      </c>
      <c r="E43" s="50">
        <v>6</v>
      </c>
      <c r="F43" s="50">
        <v>30</v>
      </c>
      <c r="G43" s="50">
        <v>2</v>
      </c>
      <c r="H43" s="50">
        <v>6</v>
      </c>
      <c r="I43" s="50">
        <v>35</v>
      </c>
      <c r="J43" s="50">
        <v>3</v>
      </c>
      <c r="K43" s="50">
        <v>1</v>
      </c>
      <c r="L43" s="50">
        <v>0</v>
      </c>
      <c r="M43" s="50">
        <v>45</v>
      </c>
      <c r="N43" s="50">
        <v>0</v>
      </c>
      <c r="O43" s="15">
        <f t="shared" si="0"/>
        <v>191</v>
      </c>
      <c r="P43" s="15">
        <f t="shared" si="1"/>
        <v>236</v>
      </c>
    </row>
    <row r="44" spans="2:20" ht="23.1" customHeight="1" x14ac:dyDescent="0.25">
      <c r="B44" s="25" t="s">
        <v>71</v>
      </c>
      <c r="C44" s="50">
        <v>75</v>
      </c>
      <c r="D44" s="50">
        <v>14</v>
      </c>
      <c r="E44" s="50">
        <v>13</v>
      </c>
      <c r="F44" s="50">
        <v>45</v>
      </c>
      <c r="G44" s="50">
        <v>8</v>
      </c>
      <c r="H44" s="50">
        <v>1</v>
      </c>
      <c r="I44" s="50">
        <v>40</v>
      </c>
      <c r="J44" s="50">
        <v>5</v>
      </c>
      <c r="K44" s="50">
        <v>0</v>
      </c>
      <c r="L44" s="50">
        <v>0</v>
      </c>
      <c r="M44" s="50">
        <v>42</v>
      </c>
      <c r="N44" s="50">
        <v>0</v>
      </c>
      <c r="O44" s="15">
        <f t="shared" si="0"/>
        <v>201</v>
      </c>
      <c r="P44" s="15">
        <f t="shared" si="1"/>
        <v>243</v>
      </c>
    </row>
    <row r="45" spans="2:20" ht="23.1" customHeight="1" x14ac:dyDescent="0.25">
      <c r="B45" s="23" t="s">
        <v>72</v>
      </c>
      <c r="C45" s="50">
        <v>45</v>
      </c>
      <c r="D45" s="50">
        <v>6</v>
      </c>
      <c r="E45" s="50">
        <v>19</v>
      </c>
      <c r="F45" s="50">
        <v>60</v>
      </c>
      <c r="G45" s="50">
        <v>4</v>
      </c>
      <c r="H45" s="50">
        <v>3</v>
      </c>
      <c r="I45" s="50">
        <v>23</v>
      </c>
      <c r="J45" s="50">
        <v>4</v>
      </c>
      <c r="K45" s="50">
        <v>0</v>
      </c>
      <c r="L45" s="50">
        <v>1</v>
      </c>
      <c r="M45" s="50">
        <v>34</v>
      </c>
      <c r="N45" s="50">
        <v>0</v>
      </c>
      <c r="O45" s="15">
        <f t="shared" si="0"/>
        <v>165</v>
      </c>
      <c r="P45" s="15">
        <f t="shared" si="1"/>
        <v>199</v>
      </c>
    </row>
    <row r="46" spans="2:20" ht="23.1" customHeight="1" x14ac:dyDescent="0.25">
      <c r="B46" s="24" t="s">
        <v>73</v>
      </c>
      <c r="C46" s="50">
        <v>60</v>
      </c>
      <c r="D46" s="50">
        <v>27</v>
      </c>
      <c r="E46" s="50">
        <v>18</v>
      </c>
      <c r="F46" s="50">
        <v>40</v>
      </c>
      <c r="G46" s="50">
        <v>11</v>
      </c>
      <c r="H46" s="50">
        <v>8</v>
      </c>
      <c r="I46" s="50">
        <v>34</v>
      </c>
      <c r="J46" s="50">
        <v>1</v>
      </c>
      <c r="K46" s="50">
        <v>1</v>
      </c>
      <c r="L46" s="50">
        <v>5</v>
      </c>
      <c r="M46" s="50">
        <v>43</v>
      </c>
      <c r="N46" s="50">
        <v>0</v>
      </c>
      <c r="O46" s="15">
        <f t="shared" si="0"/>
        <v>205</v>
      </c>
      <c r="P46" s="15">
        <f t="shared" si="1"/>
        <v>248</v>
      </c>
      <c r="R46" s="8"/>
      <c r="T46"/>
    </row>
    <row r="47" spans="2:20" ht="23.1" customHeight="1" x14ac:dyDescent="0.25">
      <c r="B47" s="24" t="s">
        <v>74</v>
      </c>
      <c r="C47" s="50">
        <v>80</v>
      </c>
      <c r="D47" s="50">
        <v>24</v>
      </c>
      <c r="E47" s="50">
        <v>6</v>
      </c>
      <c r="F47" s="50">
        <v>30</v>
      </c>
      <c r="G47" s="50">
        <v>2</v>
      </c>
      <c r="H47" s="50">
        <v>2</v>
      </c>
      <c r="I47" s="50">
        <v>35</v>
      </c>
      <c r="J47" s="50">
        <v>0</v>
      </c>
      <c r="K47" s="50">
        <v>1</v>
      </c>
      <c r="L47" s="50">
        <v>3</v>
      </c>
      <c r="M47" s="50">
        <v>50</v>
      </c>
      <c r="N47" s="50">
        <v>0</v>
      </c>
      <c r="O47" s="15">
        <f t="shared" si="0"/>
        <v>183</v>
      </c>
      <c r="P47" s="15">
        <f t="shared" si="1"/>
        <v>233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10</v>
      </c>
      <c r="E48" s="50">
        <v>9</v>
      </c>
      <c r="F48" s="50">
        <v>27</v>
      </c>
      <c r="G48" s="50">
        <v>4</v>
      </c>
      <c r="H48" s="50">
        <v>4</v>
      </c>
      <c r="I48" s="50">
        <v>38</v>
      </c>
      <c r="J48" s="50">
        <v>0</v>
      </c>
      <c r="K48" s="50">
        <v>0</v>
      </c>
      <c r="L48" s="50">
        <v>0</v>
      </c>
      <c r="M48" s="50">
        <v>38</v>
      </c>
      <c r="N48" s="50">
        <v>0</v>
      </c>
      <c r="O48" s="15">
        <f t="shared" si="0"/>
        <v>147</v>
      </c>
      <c r="P48" s="15">
        <f t="shared" si="1"/>
        <v>185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4</v>
      </c>
      <c r="E49" s="50">
        <v>12</v>
      </c>
      <c r="F49" s="50">
        <v>35</v>
      </c>
      <c r="G49" s="50">
        <v>5</v>
      </c>
      <c r="H49" s="50">
        <v>6</v>
      </c>
      <c r="I49" s="50">
        <v>24</v>
      </c>
      <c r="J49" s="50">
        <v>4</v>
      </c>
      <c r="K49" s="50">
        <v>0</v>
      </c>
      <c r="L49" s="50">
        <v>3</v>
      </c>
      <c r="M49" s="50">
        <v>34</v>
      </c>
      <c r="N49" s="50">
        <v>0</v>
      </c>
      <c r="O49" s="15">
        <f t="shared" si="0"/>
        <v>153</v>
      </c>
      <c r="P49" s="15">
        <f t="shared" si="1"/>
        <v>187</v>
      </c>
      <c r="R49" s="8"/>
      <c r="T49"/>
    </row>
    <row r="50" spans="2:20" ht="23.1" customHeight="1" x14ac:dyDescent="0.25">
      <c r="B50" s="24" t="s">
        <v>77</v>
      </c>
      <c r="C50" s="50">
        <v>41</v>
      </c>
      <c r="D50" s="50">
        <v>5</v>
      </c>
      <c r="E50" s="50">
        <v>7</v>
      </c>
      <c r="F50" s="50">
        <v>33</v>
      </c>
      <c r="G50" s="50">
        <v>2</v>
      </c>
      <c r="H50" s="50">
        <v>4</v>
      </c>
      <c r="I50" s="50">
        <v>22</v>
      </c>
      <c r="J50" s="50">
        <v>1</v>
      </c>
      <c r="K50" s="50">
        <v>3</v>
      </c>
      <c r="L50" s="50">
        <v>2</v>
      </c>
      <c r="M50" s="50">
        <v>40</v>
      </c>
      <c r="N50" s="50">
        <v>0</v>
      </c>
      <c r="O50" s="15">
        <f t="shared" si="0"/>
        <v>120</v>
      </c>
      <c r="P50" s="15">
        <f t="shared" si="1"/>
        <v>160</v>
      </c>
      <c r="R50" s="8"/>
      <c r="T50"/>
    </row>
    <row r="51" spans="2:20" ht="23.1" customHeight="1" x14ac:dyDescent="0.25">
      <c r="B51" s="24" t="s">
        <v>78</v>
      </c>
      <c r="C51" s="50">
        <v>33</v>
      </c>
      <c r="D51" s="50">
        <v>4</v>
      </c>
      <c r="E51" s="50">
        <v>3</v>
      </c>
      <c r="F51" s="50">
        <v>43</v>
      </c>
      <c r="G51" s="50">
        <v>0</v>
      </c>
      <c r="H51" s="50">
        <v>6</v>
      </c>
      <c r="I51" s="50">
        <v>29</v>
      </c>
      <c r="J51" s="50">
        <v>0</v>
      </c>
      <c r="K51" s="50">
        <v>5</v>
      </c>
      <c r="L51" s="50">
        <v>4</v>
      </c>
      <c r="M51" s="50">
        <v>28</v>
      </c>
      <c r="N51" s="50">
        <v>0</v>
      </c>
      <c r="O51" s="15">
        <f t="shared" si="0"/>
        <v>127</v>
      </c>
      <c r="P51" s="15">
        <f t="shared" si="1"/>
        <v>155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6</v>
      </c>
      <c r="E52" s="50">
        <v>9</v>
      </c>
      <c r="F52" s="50">
        <v>46</v>
      </c>
      <c r="G52" s="50">
        <v>10</v>
      </c>
      <c r="H52" s="50">
        <v>9</v>
      </c>
      <c r="I52" s="50">
        <v>21</v>
      </c>
      <c r="J52" s="50">
        <v>0</v>
      </c>
      <c r="K52" s="50">
        <v>3</v>
      </c>
      <c r="L52" s="50">
        <v>2</v>
      </c>
      <c r="M52" s="50">
        <v>36</v>
      </c>
      <c r="N52" s="50">
        <v>0</v>
      </c>
      <c r="O52" s="15">
        <f t="shared" si="0"/>
        <v>144</v>
      </c>
      <c r="P52" s="15">
        <f t="shared" si="1"/>
        <v>180</v>
      </c>
      <c r="R52" s="8"/>
      <c r="T52"/>
    </row>
    <row r="53" spans="2:20" ht="23.1" customHeight="1" x14ac:dyDescent="0.25">
      <c r="B53" s="23" t="s">
        <v>80</v>
      </c>
      <c r="C53" s="50">
        <v>46</v>
      </c>
      <c r="D53" s="50">
        <v>8</v>
      </c>
      <c r="E53" s="50">
        <v>4</v>
      </c>
      <c r="F53" s="50">
        <v>32</v>
      </c>
      <c r="G53" s="50">
        <v>8</v>
      </c>
      <c r="H53" s="50">
        <v>2</v>
      </c>
      <c r="I53" s="50">
        <v>35</v>
      </c>
      <c r="J53" s="50">
        <v>6</v>
      </c>
      <c r="K53" s="50">
        <v>1</v>
      </c>
      <c r="L53" s="50">
        <v>0</v>
      </c>
      <c r="M53" s="50">
        <v>39</v>
      </c>
      <c r="N53" s="50">
        <v>0</v>
      </c>
      <c r="O53" s="15">
        <f t="shared" si="0"/>
        <v>142</v>
      </c>
      <c r="P53" s="15">
        <f t="shared" si="1"/>
        <v>181</v>
      </c>
      <c r="R53" s="8"/>
      <c r="T53"/>
    </row>
    <row r="54" spans="2:20" ht="23.1" customHeight="1" x14ac:dyDescent="0.25">
      <c r="B54" s="23" t="s">
        <v>81</v>
      </c>
      <c r="C54" s="50">
        <v>95</v>
      </c>
      <c r="D54" s="50">
        <v>45</v>
      </c>
      <c r="E54" s="50">
        <v>6</v>
      </c>
      <c r="F54" s="50">
        <v>40</v>
      </c>
      <c r="G54" s="50">
        <v>3</v>
      </c>
      <c r="H54" s="50">
        <v>7</v>
      </c>
      <c r="I54" s="50">
        <v>30</v>
      </c>
      <c r="J54" s="50">
        <v>1</v>
      </c>
      <c r="K54" s="50">
        <v>3</v>
      </c>
      <c r="L54" s="50">
        <v>5</v>
      </c>
      <c r="M54" s="50">
        <v>48</v>
      </c>
      <c r="N54" s="50">
        <v>0</v>
      </c>
      <c r="O54" s="15">
        <f t="shared" si="0"/>
        <v>235</v>
      </c>
      <c r="P54" s="15">
        <f t="shared" si="1"/>
        <v>283</v>
      </c>
      <c r="R54" s="8"/>
      <c r="T54"/>
    </row>
    <row r="55" spans="2:20" ht="23.1" customHeight="1" x14ac:dyDescent="0.25">
      <c r="B55" s="23" t="s">
        <v>82</v>
      </c>
      <c r="C55" s="50">
        <v>55</v>
      </c>
      <c r="D55" s="50">
        <v>23</v>
      </c>
      <c r="E55" s="50">
        <v>15</v>
      </c>
      <c r="F55" s="50">
        <v>43</v>
      </c>
      <c r="G55" s="50">
        <v>6</v>
      </c>
      <c r="H55" s="50">
        <v>2</v>
      </c>
      <c r="I55" s="50">
        <v>40</v>
      </c>
      <c r="J55" s="50">
        <v>0</v>
      </c>
      <c r="K55" s="50">
        <v>0</v>
      </c>
      <c r="L55" s="50">
        <v>5</v>
      </c>
      <c r="M55" s="50">
        <v>31</v>
      </c>
      <c r="N55" s="50">
        <v>0</v>
      </c>
      <c r="O55" s="15">
        <f t="shared" si="0"/>
        <v>189</v>
      </c>
      <c r="P55" s="15">
        <f t="shared" si="1"/>
        <v>220</v>
      </c>
      <c r="R55" s="8"/>
      <c r="T55"/>
    </row>
    <row r="56" spans="2:20" ht="23.1" customHeight="1" x14ac:dyDescent="0.25">
      <c r="B56" s="23" t="s">
        <v>83</v>
      </c>
      <c r="C56" s="50">
        <v>60</v>
      </c>
      <c r="D56" s="50">
        <v>10</v>
      </c>
      <c r="E56" s="50">
        <v>12</v>
      </c>
      <c r="F56" s="50">
        <v>43</v>
      </c>
      <c r="G56" s="50">
        <v>1</v>
      </c>
      <c r="H56" s="50">
        <v>3</v>
      </c>
      <c r="I56" s="50">
        <v>20</v>
      </c>
      <c r="J56" s="50">
        <v>3</v>
      </c>
      <c r="K56" s="50">
        <v>0</v>
      </c>
      <c r="L56" s="50">
        <v>0</v>
      </c>
      <c r="M56" s="50">
        <v>39</v>
      </c>
      <c r="N56" s="50">
        <v>0</v>
      </c>
      <c r="O56" s="15">
        <f t="shared" si="0"/>
        <v>152</v>
      </c>
      <c r="P56" s="15">
        <f t="shared" si="1"/>
        <v>191</v>
      </c>
      <c r="R56" s="8"/>
      <c r="T56"/>
    </row>
    <row r="57" spans="2:20" ht="23.1" customHeight="1" x14ac:dyDescent="0.25">
      <c r="B57" s="23" t="s">
        <v>84</v>
      </c>
      <c r="C57" s="50">
        <v>67</v>
      </c>
      <c r="D57" s="50">
        <v>1</v>
      </c>
      <c r="E57" s="50">
        <v>4</v>
      </c>
      <c r="F57" s="50">
        <v>21</v>
      </c>
      <c r="G57" s="50">
        <v>0</v>
      </c>
      <c r="H57" s="50">
        <v>1</v>
      </c>
      <c r="I57" s="50">
        <v>30</v>
      </c>
      <c r="J57" s="50">
        <v>0</v>
      </c>
      <c r="K57" s="50">
        <v>4</v>
      </c>
      <c r="L57" s="50">
        <v>2</v>
      </c>
      <c r="M57" s="50">
        <v>35</v>
      </c>
      <c r="N57" s="50">
        <v>0</v>
      </c>
      <c r="O57" s="15">
        <f t="shared" si="0"/>
        <v>130</v>
      </c>
      <c r="P57" s="15">
        <f t="shared" si="1"/>
        <v>165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2423</v>
      </c>
      <c r="D58" s="16">
        <f t="shared" si="21"/>
        <v>523</v>
      </c>
      <c r="E58" s="16">
        <f t="shared" si="21"/>
        <v>348</v>
      </c>
      <c r="F58" s="16">
        <f t="shared" si="21"/>
        <v>1517</v>
      </c>
      <c r="G58" s="16">
        <f t="shared" si="21"/>
        <v>135</v>
      </c>
      <c r="H58" s="16">
        <f t="shared" si="21"/>
        <v>115</v>
      </c>
      <c r="I58" s="16">
        <f t="shared" si="21"/>
        <v>928</v>
      </c>
      <c r="J58" s="16">
        <f t="shared" si="21"/>
        <v>41</v>
      </c>
      <c r="K58" s="16">
        <f t="shared" si="21"/>
        <v>37</v>
      </c>
      <c r="L58" s="16">
        <f t="shared" si="21"/>
        <v>84</v>
      </c>
      <c r="M58" s="16">
        <f t="shared" si="21"/>
        <v>1497</v>
      </c>
      <c r="N58" s="16">
        <f t="shared" si="21"/>
        <v>1</v>
      </c>
      <c r="O58" s="16">
        <f t="shared" si="21"/>
        <v>6152</v>
      </c>
      <c r="P58" s="16">
        <f t="shared" si="21"/>
        <v>7649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0.31677343443587397</v>
      </c>
      <c r="D59" s="43">
        <f t="shared" si="22"/>
        <v>6.8374950973983523E-2</v>
      </c>
      <c r="E59" s="43">
        <f t="shared" si="22"/>
        <v>4.5496143286704142E-2</v>
      </c>
      <c r="F59" s="43">
        <f t="shared" si="22"/>
        <v>0.19832657863773043</v>
      </c>
      <c r="G59" s="43">
        <f t="shared" si="22"/>
        <v>1.7649365930186952E-2</v>
      </c>
      <c r="H59" s="43">
        <f t="shared" si="22"/>
        <v>1.5034645051640738E-2</v>
      </c>
      <c r="I59" s="43">
        <f t="shared" si="22"/>
        <v>0.12132304876454439</v>
      </c>
      <c r="J59" s="43">
        <f t="shared" si="22"/>
        <v>5.3601778010197408E-3</v>
      </c>
      <c r="K59" s="43">
        <f t="shared" si="22"/>
        <v>4.8372336253104985E-3</v>
      </c>
      <c r="L59" s="43">
        <f t="shared" si="22"/>
        <v>1.0981827689894103E-2</v>
      </c>
      <c r="M59" s="43">
        <f t="shared" si="22"/>
        <v>0.1957118577591842</v>
      </c>
      <c r="N59" s="43">
        <f t="shared" si="22"/>
        <v>1.3073604392731077E-4</v>
      </c>
      <c r="R59" s="8"/>
      <c r="T59"/>
    </row>
    <row r="60" spans="2:20" ht="23.1" customHeight="1" x14ac:dyDescent="0.25">
      <c r="B60" s="42" t="s">
        <v>94</v>
      </c>
      <c r="C60" s="44">
        <f>C58/$O$58</f>
        <v>0.39385565669700912</v>
      </c>
      <c r="D60" s="44">
        <f t="shared" ref="D60:N60" si="23">D58/$O$58</f>
        <v>8.501300390117035E-2</v>
      </c>
      <c r="E60" s="44">
        <f t="shared" si="23"/>
        <v>5.6566970091027305E-2</v>
      </c>
      <c r="F60" s="44">
        <f t="shared" si="23"/>
        <v>0.24658647594278282</v>
      </c>
      <c r="G60" s="44">
        <f t="shared" si="23"/>
        <v>2.1944083224967489E-2</v>
      </c>
      <c r="H60" s="44">
        <f t="shared" si="23"/>
        <v>1.8693107932379716E-2</v>
      </c>
      <c r="I60" s="44">
        <f t="shared" si="23"/>
        <v>0.15084525357607281</v>
      </c>
      <c r="J60" s="44">
        <f t="shared" si="23"/>
        <v>6.6644993498049419E-3</v>
      </c>
      <c r="K60" s="44">
        <f t="shared" si="23"/>
        <v>6.0143042912873864E-3</v>
      </c>
      <c r="L60" s="44">
        <f t="shared" si="23"/>
        <v>1.3654096228868661E-2</v>
      </c>
      <c r="M60" s="44"/>
      <c r="N60" s="44">
        <f t="shared" si="23"/>
        <v>1.6254876462938882E-4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N16" zoomScale="60" workbookViewId="0">
      <selection activeCell="AD105" sqref="AD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'03.11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'03.11 Masaka-Maya'!G5:H5</f>
        <v>Maya</v>
      </c>
      <c r="H5" s="67"/>
      <c r="I5" s="14"/>
      <c r="J5" s="2" t="s">
        <v>5</v>
      </c>
      <c r="K5" s="66" t="str">
        <f>'03.11 Masaka-Maya'!K5:L5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'03.11 Masaka-Maya'!D6:E6</f>
        <v>Masaka</v>
      </c>
      <c r="E6" s="67"/>
      <c r="F6" s="2" t="s">
        <v>2</v>
      </c>
      <c r="G6" s="66" t="str">
        <f>'03.11 Masaka-Maya'!G6:H6</f>
        <v>Maya</v>
      </c>
      <c r="H6" s="67"/>
      <c r="J6" s="2" t="s">
        <v>21</v>
      </c>
      <c r="K6" s="66" t="str">
        <f>'03.11 Masaka-Maya'!K6:L6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AVERAGE('28.10 Masaka-Maya'!C10,'29.10 Masaka-Maya'!C10,'30.10 Masaka-Maya'!C10,'01.11 Masaka-Maya'!C10,'31.10 Masaka-Maya-24h'!C10,'02.11 Masaka-Maya-24h'!C10,'03.11 Masaka-Maya'!C10)</f>
        <v>10</v>
      </c>
      <c r="D10" s="49">
        <f>AVERAGE('28.10 Masaka-Maya'!D10,'29.10 Masaka-Maya'!D10,'30.10 Masaka-Maya'!D10,'01.11 Masaka-Maya'!D10,'31.10 Masaka-Maya-24h'!D10,'02.11 Masaka-Maya-24h'!D10,'03.11 Masaka-Maya'!D10)</f>
        <v>1.7142857142857142</v>
      </c>
      <c r="E10" s="49">
        <f>AVERAGE('28.10 Masaka-Maya'!E10,'29.10 Masaka-Maya'!E10,'30.10 Masaka-Maya'!E10,'01.11 Masaka-Maya'!E10,'31.10 Masaka-Maya-24h'!E10,'02.11 Masaka-Maya-24h'!E10,'03.11 Masaka-Maya'!E10)</f>
        <v>2</v>
      </c>
      <c r="F10" s="49">
        <f>AVERAGE('28.10 Masaka-Maya'!F10,'29.10 Masaka-Maya'!F10,'30.10 Masaka-Maya'!F10,'01.11 Masaka-Maya'!F10,'31.10 Masaka-Maya-24h'!F10,'02.11 Masaka-Maya-24h'!F10,'03.11 Masaka-Maya'!F10)</f>
        <v>16.142857142857142</v>
      </c>
      <c r="G10" s="49">
        <f>AVERAGE('28.10 Masaka-Maya'!G10,'29.10 Masaka-Maya'!G10,'30.10 Masaka-Maya'!G10,'01.11 Masaka-Maya'!G10,'31.10 Masaka-Maya-24h'!G10,'02.11 Masaka-Maya-24h'!G10,'03.11 Masaka-Maya'!G10)</f>
        <v>0.8571428571428571</v>
      </c>
      <c r="H10" s="49">
        <f>AVERAGE('28.10 Masaka-Maya'!H10,'29.10 Masaka-Maya'!H10,'30.10 Masaka-Maya'!H10,'01.11 Masaka-Maya'!H10,'31.10 Masaka-Maya-24h'!H10,'02.11 Masaka-Maya-24h'!H10,'03.11 Masaka-Maya'!H10)</f>
        <v>1.4285714285714286</v>
      </c>
      <c r="I10" s="49">
        <f>AVERAGE('28.10 Masaka-Maya'!I10,'29.10 Masaka-Maya'!I10,'30.10 Masaka-Maya'!I10,'01.11 Masaka-Maya'!I10,'31.10 Masaka-Maya-24h'!I10,'02.11 Masaka-Maya-24h'!I10,'03.11 Masaka-Maya'!I10)</f>
        <v>7.8571428571428568</v>
      </c>
      <c r="J10" s="49">
        <f>AVERAGE('28.10 Masaka-Maya'!J10,'29.10 Masaka-Maya'!J10,'30.10 Masaka-Maya'!J10,'01.11 Masaka-Maya'!J10,'31.10 Masaka-Maya-24h'!J10,'02.11 Masaka-Maya-24h'!J10,'03.11 Masaka-Maya'!J10)</f>
        <v>2.2857142857142856</v>
      </c>
      <c r="K10" s="49">
        <f>AVERAGE('28.10 Masaka-Maya'!K10,'29.10 Masaka-Maya'!K10,'30.10 Masaka-Maya'!K10,'01.11 Masaka-Maya'!K10,'31.10 Masaka-Maya-24h'!K10,'02.11 Masaka-Maya-24h'!K10,'03.11 Masaka-Maya'!K10)</f>
        <v>1.2857142857142858</v>
      </c>
      <c r="L10" s="49">
        <f>AVERAGE('28.10 Masaka-Maya'!L10,'29.10 Masaka-Maya'!L10,'30.10 Masaka-Maya'!L10,'01.11 Masaka-Maya'!L10,'31.10 Masaka-Maya-24h'!L10,'02.11 Masaka-Maya-24h'!L10,'03.11 Masaka-Maya'!L10)</f>
        <v>1.5714285714285714</v>
      </c>
      <c r="M10" s="49">
        <f>AVERAGE('28.10 Masaka-Maya'!M10,'29.10 Masaka-Maya'!M10,'30.10 Masaka-Maya'!M10,'01.11 Masaka-Maya'!M10,'31.10 Masaka-Maya-24h'!M10,'02.11 Masaka-Maya-24h'!M10,'03.11 Masaka-Maya'!M10)</f>
        <v>21</v>
      </c>
      <c r="N10" s="49">
        <f>AVERAGE('28.10 Masaka-Maya'!N10,'29.10 Masaka-Maya'!N10,'30.10 Masaka-Maya'!N10,'01.11 Masaka-Maya'!N10,'31.10 Masaka-Maya-24h'!N10,'02.11 Masaka-Maya-24h'!N10,'03.11 Masaka-Maya'!N10)</f>
        <v>0</v>
      </c>
      <c r="O10" s="15">
        <f t="shared" ref="O10:O73" si="0">SUM(C10:L10,N10)</f>
        <v>45.142857142857132</v>
      </c>
      <c r="P10" s="15">
        <f t="shared" ref="P10:P73" si="1">SUM(C10:N10)</f>
        <v>66.142857142857139</v>
      </c>
      <c r="R10" s="1" t="s">
        <v>6</v>
      </c>
      <c r="S10" s="17">
        <f t="shared" ref="S10:AF10" si="2">SUM(C10:C13)</f>
        <v>56.857142857142854</v>
      </c>
      <c r="T10" s="17">
        <f t="shared" si="2"/>
        <v>9.7142857142857153</v>
      </c>
      <c r="U10" s="17">
        <f t="shared" si="2"/>
        <v>8.1428571428571423</v>
      </c>
      <c r="V10" s="17">
        <f t="shared" si="2"/>
        <v>80.142857142857139</v>
      </c>
      <c r="W10" s="17">
        <f t="shared" si="2"/>
        <v>3.2857142857142856</v>
      </c>
      <c r="X10" s="17">
        <f t="shared" si="2"/>
        <v>3.2857142857142856</v>
      </c>
      <c r="Y10" s="17">
        <f t="shared" si="2"/>
        <v>33.714285714285715</v>
      </c>
      <c r="Z10" s="17">
        <f t="shared" si="2"/>
        <v>6.8571428571428577</v>
      </c>
      <c r="AA10" s="17">
        <f t="shared" si="2"/>
        <v>4</v>
      </c>
      <c r="AB10" s="17">
        <f t="shared" si="2"/>
        <v>8.4285714285714288</v>
      </c>
      <c r="AC10" s="17">
        <f t="shared" si="2"/>
        <v>110.71428571428571</v>
      </c>
      <c r="AD10" s="17">
        <f t="shared" si="2"/>
        <v>0</v>
      </c>
      <c r="AE10" s="31">
        <f t="shared" si="2"/>
        <v>214.42857142857142</v>
      </c>
      <c r="AF10" s="31">
        <f t="shared" si="2"/>
        <v>325.14285714285717</v>
      </c>
    </row>
    <row r="11" spans="2:32" s="6" customFormat="1" ht="23.1" customHeight="1" x14ac:dyDescent="0.25">
      <c r="B11" s="23" t="s">
        <v>38</v>
      </c>
      <c r="C11" s="49">
        <f>AVERAGE('28.10 Masaka-Maya'!C11,'29.10 Masaka-Maya'!C11,'30.10 Masaka-Maya'!C11,'01.11 Masaka-Maya'!C11,'31.10 Masaka-Maya-24h'!C11,'02.11 Masaka-Maya-24h'!C11,'03.11 Masaka-Maya'!C11)</f>
        <v>14.714285714285714</v>
      </c>
      <c r="D11" s="49">
        <f>AVERAGE('28.10 Masaka-Maya'!D11,'29.10 Masaka-Maya'!D11,'30.10 Masaka-Maya'!D11,'01.11 Masaka-Maya'!D11,'31.10 Masaka-Maya-24h'!D11,'02.11 Masaka-Maya-24h'!D11,'03.11 Masaka-Maya'!D11)</f>
        <v>2</v>
      </c>
      <c r="E11" s="49">
        <f>AVERAGE('28.10 Masaka-Maya'!E11,'29.10 Masaka-Maya'!E11,'30.10 Masaka-Maya'!E11,'01.11 Masaka-Maya'!E11,'31.10 Masaka-Maya-24h'!E11,'02.11 Masaka-Maya-24h'!E11,'03.11 Masaka-Maya'!E11)</f>
        <v>2.7142857142857144</v>
      </c>
      <c r="F11" s="49">
        <f>AVERAGE('28.10 Masaka-Maya'!F11,'29.10 Masaka-Maya'!F11,'30.10 Masaka-Maya'!F11,'01.11 Masaka-Maya'!F11,'31.10 Masaka-Maya-24h'!F11,'02.11 Masaka-Maya-24h'!F11,'03.11 Masaka-Maya'!F11)</f>
        <v>19.428571428571427</v>
      </c>
      <c r="G11" s="49">
        <f>AVERAGE('28.10 Masaka-Maya'!G11,'29.10 Masaka-Maya'!G11,'30.10 Masaka-Maya'!G11,'01.11 Masaka-Maya'!G11,'31.10 Masaka-Maya-24h'!G11,'02.11 Masaka-Maya-24h'!G11,'03.11 Masaka-Maya'!G11)</f>
        <v>0.5714285714285714</v>
      </c>
      <c r="H11" s="49">
        <f>AVERAGE('28.10 Masaka-Maya'!H11,'29.10 Masaka-Maya'!H11,'30.10 Masaka-Maya'!H11,'01.11 Masaka-Maya'!H11,'31.10 Masaka-Maya-24h'!H11,'02.11 Masaka-Maya-24h'!H11,'03.11 Masaka-Maya'!H11)</f>
        <v>0.42857142857142855</v>
      </c>
      <c r="I11" s="49">
        <f>AVERAGE('28.10 Masaka-Maya'!I11,'29.10 Masaka-Maya'!I11,'30.10 Masaka-Maya'!I11,'01.11 Masaka-Maya'!I11,'31.10 Masaka-Maya-24h'!I11,'02.11 Masaka-Maya-24h'!I11,'03.11 Masaka-Maya'!I11)</f>
        <v>9</v>
      </c>
      <c r="J11" s="49">
        <f>AVERAGE('28.10 Masaka-Maya'!J11,'29.10 Masaka-Maya'!J11,'30.10 Masaka-Maya'!J11,'01.11 Masaka-Maya'!J11,'31.10 Masaka-Maya-24h'!J11,'02.11 Masaka-Maya-24h'!J11,'03.11 Masaka-Maya'!J11)</f>
        <v>1</v>
      </c>
      <c r="K11" s="49">
        <f>AVERAGE('28.10 Masaka-Maya'!K11,'29.10 Masaka-Maya'!K11,'30.10 Masaka-Maya'!K11,'01.11 Masaka-Maya'!K11,'31.10 Masaka-Maya-24h'!K11,'02.11 Masaka-Maya-24h'!K11,'03.11 Masaka-Maya'!K11)</f>
        <v>0.8571428571428571</v>
      </c>
      <c r="L11" s="49">
        <f>AVERAGE('28.10 Masaka-Maya'!L11,'29.10 Masaka-Maya'!L11,'30.10 Masaka-Maya'!L11,'01.11 Masaka-Maya'!L11,'31.10 Masaka-Maya-24h'!L11,'02.11 Masaka-Maya-24h'!L11,'03.11 Masaka-Maya'!L11)</f>
        <v>1.7142857142857142</v>
      </c>
      <c r="M11" s="49">
        <f>AVERAGE('28.10 Masaka-Maya'!M11,'29.10 Masaka-Maya'!M11,'30.10 Masaka-Maya'!M11,'01.11 Masaka-Maya'!M11,'31.10 Masaka-Maya-24h'!M11,'02.11 Masaka-Maya-24h'!M11,'03.11 Masaka-Maya'!M11)</f>
        <v>27.857142857142858</v>
      </c>
      <c r="N11" s="49">
        <f>AVERAGE('28.10 Masaka-Maya'!N11,'29.10 Masaka-Maya'!N11,'30.10 Masaka-Maya'!N11,'01.11 Masaka-Maya'!N11,'31.10 Masaka-Maya-24h'!N11,'02.11 Masaka-Maya-24h'!N11,'03.11 Masaka-Maya'!N11)</f>
        <v>0</v>
      </c>
      <c r="O11" s="15">
        <f t="shared" si="0"/>
        <v>52.428571428571431</v>
      </c>
      <c r="P11" s="15">
        <f t="shared" si="1"/>
        <v>80.285714285714292</v>
      </c>
      <c r="R11" s="1" t="s">
        <v>7</v>
      </c>
      <c r="S11" s="17">
        <f t="shared" ref="S11:AF11" si="3">SUM(C14:C17)</f>
        <v>54.285714285714285</v>
      </c>
      <c r="T11" s="17">
        <f t="shared" si="3"/>
        <v>12</v>
      </c>
      <c r="U11" s="17">
        <f t="shared" si="3"/>
        <v>9.5714285714285712</v>
      </c>
      <c r="V11" s="17">
        <f t="shared" si="3"/>
        <v>95.428571428571416</v>
      </c>
      <c r="W11" s="17">
        <f t="shared" si="3"/>
        <v>2</v>
      </c>
      <c r="X11" s="17">
        <f t="shared" si="3"/>
        <v>2.4285714285714284</v>
      </c>
      <c r="Y11" s="17">
        <f t="shared" si="3"/>
        <v>35.142857142857139</v>
      </c>
      <c r="Z11" s="17">
        <f t="shared" si="3"/>
        <v>6.1428571428571432</v>
      </c>
      <c r="AA11" s="17">
        <f t="shared" si="3"/>
        <v>2.7142857142857144</v>
      </c>
      <c r="AB11" s="17">
        <f t="shared" si="3"/>
        <v>8.4285714285714288</v>
      </c>
      <c r="AC11" s="17">
        <f t="shared" si="3"/>
        <v>110.14285714285714</v>
      </c>
      <c r="AD11" s="17">
        <f t="shared" si="3"/>
        <v>0</v>
      </c>
      <c r="AE11" s="31">
        <f t="shared" si="3"/>
        <v>228.14285714285711</v>
      </c>
      <c r="AF11" s="31">
        <f t="shared" si="3"/>
        <v>338.28571428571422</v>
      </c>
    </row>
    <row r="12" spans="2:32" ht="23.1" customHeight="1" x14ac:dyDescent="0.25">
      <c r="B12" s="23" t="s">
        <v>39</v>
      </c>
      <c r="C12" s="49">
        <f>AVERAGE('28.10 Masaka-Maya'!C12,'29.10 Masaka-Maya'!C12,'30.10 Masaka-Maya'!C12,'01.11 Masaka-Maya'!C12,'31.10 Masaka-Maya-24h'!C12,'02.11 Masaka-Maya-24h'!C12,'03.11 Masaka-Maya'!C12)</f>
        <v>15.857142857142858</v>
      </c>
      <c r="D12" s="49">
        <f>AVERAGE('28.10 Masaka-Maya'!D12,'29.10 Masaka-Maya'!D12,'30.10 Masaka-Maya'!D12,'01.11 Masaka-Maya'!D12,'31.10 Masaka-Maya-24h'!D12,'02.11 Masaka-Maya-24h'!D12,'03.11 Masaka-Maya'!D12)</f>
        <v>1.7142857142857142</v>
      </c>
      <c r="E12" s="49">
        <f>AVERAGE('28.10 Masaka-Maya'!E12,'29.10 Masaka-Maya'!E12,'30.10 Masaka-Maya'!E12,'01.11 Masaka-Maya'!E12,'31.10 Masaka-Maya-24h'!E12,'02.11 Masaka-Maya-24h'!E12,'03.11 Masaka-Maya'!E12)</f>
        <v>2.2857142857142856</v>
      </c>
      <c r="F12" s="49">
        <f>AVERAGE('28.10 Masaka-Maya'!F12,'29.10 Masaka-Maya'!F12,'30.10 Masaka-Maya'!F12,'01.11 Masaka-Maya'!F12,'31.10 Masaka-Maya-24h'!F12,'02.11 Masaka-Maya-24h'!F12,'03.11 Masaka-Maya'!F12)</f>
        <v>19.142857142857142</v>
      </c>
      <c r="G12" s="49">
        <f>AVERAGE('28.10 Masaka-Maya'!G12,'29.10 Masaka-Maya'!G12,'30.10 Masaka-Maya'!G12,'01.11 Masaka-Maya'!G12,'31.10 Masaka-Maya-24h'!G12,'02.11 Masaka-Maya-24h'!G12,'03.11 Masaka-Maya'!G12)</f>
        <v>1.2857142857142858</v>
      </c>
      <c r="H12" s="49">
        <f>AVERAGE('28.10 Masaka-Maya'!H12,'29.10 Masaka-Maya'!H12,'30.10 Masaka-Maya'!H12,'01.11 Masaka-Maya'!H12,'31.10 Masaka-Maya-24h'!H12,'02.11 Masaka-Maya-24h'!H12,'03.11 Masaka-Maya'!H12)</f>
        <v>0.8571428571428571</v>
      </c>
      <c r="I12" s="49">
        <f>AVERAGE('28.10 Masaka-Maya'!I12,'29.10 Masaka-Maya'!I12,'30.10 Masaka-Maya'!I12,'01.11 Masaka-Maya'!I12,'31.10 Masaka-Maya-24h'!I12,'02.11 Masaka-Maya-24h'!I12,'03.11 Masaka-Maya'!I12)</f>
        <v>9.8571428571428577</v>
      </c>
      <c r="J12" s="49">
        <f>AVERAGE('28.10 Masaka-Maya'!J12,'29.10 Masaka-Maya'!J12,'30.10 Masaka-Maya'!J12,'01.11 Masaka-Maya'!J12,'31.10 Masaka-Maya-24h'!J12,'02.11 Masaka-Maya-24h'!J12,'03.11 Masaka-Maya'!J12)</f>
        <v>1.4285714285714286</v>
      </c>
      <c r="K12" s="49">
        <f>AVERAGE('28.10 Masaka-Maya'!K12,'29.10 Masaka-Maya'!K12,'30.10 Masaka-Maya'!K12,'01.11 Masaka-Maya'!K12,'31.10 Masaka-Maya-24h'!K12,'02.11 Masaka-Maya-24h'!K12,'03.11 Masaka-Maya'!K12)</f>
        <v>1</v>
      </c>
      <c r="L12" s="49">
        <f>AVERAGE('28.10 Masaka-Maya'!L12,'29.10 Masaka-Maya'!L12,'30.10 Masaka-Maya'!L12,'01.11 Masaka-Maya'!L12,'31.10 Masaka-Maya-24h'!L12,'02.11 Masaka-Maya-24h'!L12,'03.11 Masaka-Maya'!L12)</f>
        <v>1.4285714285714286</v>
      </c>
      <c r="M12" s="49">
        <f>AVERAGE('28.10 Masaka-Maya'!M12,'29.10 Masaka-Maya'!M12,'30.10 Masaka-Maya'!M12,'01.11 Masaka-Maya'!M12,'31.10 Masaka-Maya-24h'!M12,'02.11 Masaka-Maya-24h'!M12,'03.11 Masaka-Maya'!M12)</f>
        <v>31.285714285714285</v>
      </c>
      <c r="N12" s="49">
        <f>AVERAGE('28.10 Masaka-Maya'!N12,'29.10 Masaka-Maya'!N12,'30.10 Masaka-Maya'!N12,'01.11 Masaka-Maya'!N12,'31.10 Masaka-Maya-24h'!N12,'02.11 Masaka-Maya-24h'!N12,'03.11 Masaka-Maya'!N12)</f>
        <v>0</v>
      </c>
      <c r="O12" s="15">
        <f t="shared" si="0"/>
        <v>54.857142857142861</v>
      </c>
      <c r="P12" s="15">
        <f t="shared" si="1"/>
        <v>86.142857142857139</v>
      </c>
      <c r="R12" s="1" t="s">
        <v>8</v>
      </c>
      <c r="S12" s="17">
        <f t="shared" ref="S12:AF12" si="4">SUM(C18:C21)</f>
        <v>68</v>
      </c>
      <c r="T12" s="17">
        <f t="shared" si="4"/>
        <v>12.571428571428571</v>
      </c>
      <c r="U12" s="17">
        <f t="shared" si="4"/>
        <v>10.571428571428571</v>
      </c>
      <c r="V12" s="17">
        <f t="shared" si="4"/>
        <v>96.714285714285708</v>
      </c>
      <c r="W12" s="17">
        <f t="shared" si="4"/>
        <v>1.4285714285714284</v>
      </c>
      <c r="X12" s="17">
        <f t="shared" si="4"/>
        <v>2.5714285714285712</v>
      </c>
      <c r="Y12" s="17">
        <f t="shared" si="4"/>
        <v>35.857142857142854</v>
      </c>
      <c r="Z12" s="17">
        <f t="shared" si="4"/>
        <v>7.7142857142857144</v>
      </c>
      <c r="AA12" s="17">
        <f t="shared" si="4"/>
        <v>2.1428571428571428</v>
      </c>
      <c r="AB12" s="17">
        <f t="shared" si="4"/>
        <v>8.8571428571428559</v>
      </c>
      <c r="AC12" s="17">
        <f t="shared" si="4"/>
        <v>100.14285714285714</v>
      </c>
      <c r="AD12" s="17">
        <f t="shared" si="4"/>
        <v>0</v>
      </c>
      <c r="AE12" s="31">
        <f t="shared" si="4"/>
        <v>246.42857142857144</v>
      </c>
      <c r="AF12" s="31">
        <f t="shared" si="4"/>
        <v>346.57142857142861</v>
      </c>
    </row>
    <row r="13" spans="2:32" ht="23.1" customHeight="1" x14ac:dyDescent="0.25">
      <c r="B13" s="23" t="s">
        <v>40</v>
      </c>
      <c r="C13" s="49">
        <f>AVERAGE('28.10 Masaka-Maya'!C13,'29.10 Masaka-Maya'!C13,'30.10 Masaka-Maya'!C13,'01.11 Masaka-Maya'!C13,'31.10 Masaka-Maya-24h'!C13,'02.11 Masaka-Maya-24h'!C13,'03.11 Masaka-Maya'!C13)</f>
        <v>16.285714285714285</v>
      </c>
      <c r="D13" s="49">
        <f>AVERAGE('28.10 Masaka-Maya'!D13,'29.10 Masaka-Maya'!D13,'30.10 Masaka-Maya'!D13,'01.11 Masaka-Maya'!D13,'31.10 Masaka-Maya-24h'!D13,'02.11 Masaka-Maya-24h'!D13,'03.11 Masaka-Maya'!D13)</f>
        <v>4.2857142857142856</v>
      </c>
      <c r="E13" s="49">
        <f>AVERAGE('28.10 Masaka-Maya'!E13,'29.10 Masaka-Maya'!E13,'30.10 Masaka-Maya'!E13,'01.11 Masaka-Maya'!E13,'31.10 Masaka-Maya-24h'!E13,'02.11 Masaka-Maya-24h'!E13,'03.11 Masaka-Maya'!E13)</f>
        <v>1.1428571428571428</v>
      </c>
      <c r="F13" s="49">
        <f>AVERAGE('28.10 Masaka-Maya'!F13,'29.10 Masaka-Maya'!F13,'30.10 Masaka-Maya'!F13,'01.11 Masaka-Maya'!F13,'31.10 Masaka-Maya-24h'!F13,'02.11 Masaka-Maya-24h'!F13,'03.11 Masaka-Maya'!F13)</f>
        <v>25.428571428571427</v>
      </c>
      <c r="G13" s="49">
        <f>AVERAGE('28.10 Masaka-Maya'!G13,'29.10 Masaka-Maya'!G13,'30.10 Masaka-Maya'!G13,'01.11 Masaka-Maya'!G13,'31.10 Masaka-Maya-24h'!G13,'02.11 Masaka-Maya-24h'!G13,'03.11 Masaka-Maya'!G13)</f>
        <v>0.5714285714285714</v>
      </c>
      <c r="H13" s="49">
        <f>AVERAGE('28.10 Masaka-Maya'!H13,'29.10 Masaka-Maya'!H13,'30.10 Masaka-Maya'!H13,'01.11 Masaka-Maya'!H13,'31.10 Masaka-Maya-24h'!H13,'02.11 Masaka-Maya-24h'!H13,'03.11 Masaka-Maya'!H13)</f>
        <v>0.5714285714285714</v>
      </c>
      <c r="I13" s="49">
        <f>AVERAGE('28.10 Masaka-Maya'!I13,'29.10 Masaka-Maya'!I13,'30.10 Masaka-Maya'!I13,'01.11 Masaka-Maya'!I13,'31.10 Masaka-Maya-24h'!I13,'02.11 Masaka-Maya-24h'!I13,'03.11 Masaka-Maya'!I13)</f>
        <v>7</v>
      </c>
      <c r="J13" s="49">
        <f>AVERAGE('28.10 Masaka-Maya'!J13,'29.10 Masaka-Maya'!J13,'30.10 Masaka-Maya'!J13,'01.11 Masaka-Maya'!J13,'31.10 Masaka-Maya-24h'!J13,'02.11 Masaka-Maya-24h'!J13,'03.11 Masaka-Maya'!J13)</f>
        <v>2.1428571428571428</v>
      </c>
      <c r="K13" s="49">
        <f>AVERAGE('28.10 Masaka-Maya'!K13,'29.10 Masaka-Maya'!K13,'30.10 Masaka-Maya'!K13,'01.11 Masaka-Maya'!K13,'31.10 Masaka-Maya-24h'!K13,'02.11 Masaka-Maya-24h'!K13,'03.11 Masaka-Maya'!K13)</f>
        <v>0.8571428571428571</v>
      </c>
      <c r="L13" s="49">
        <f>AVERAGE('28.10 Masaka-Maya'!L13,'29.10 Masaka-Maya'!L13,'30.10 Masaka-Maya'!L13,'01.11 Masaka-Maya'!L13,'31.10 Masaka-Maya-24h'!L13,'02.11 Masaka-Maya-24h'!L13,'03.11 Masaka-Maya'!L13)</f>
        <v>3.7142857142857144</v>
      </c>
      <c r="M13" s="49">
        <f>AVERAGE('28.10 Masaka-Maya'!M13,'29.10 Masaka-Maya'!M13,'30.10 Masaka-Maya'!M13,'01.11 Masaka-Maya'!M13,'31.10 Masaka-Maya-24h'!M13,'02.11 Masaka-Maya-24h'!M13,'03.11 Masaka-Maya'!M13)</f>
        <v>30.571428571428573</v>
      </c>
      <c r="N13" s="49">
        <f>AVERAGE('28.10 Masaka-Maya'!N13,'29.10 Masaka-Maya'!N13,'30.10 Masaka-Maya'!N13,'01.11 Masaka-Maya'!N13,'31.10 Masaka-Maya-24h'!N13,'02.11 Masaka-Maya-24h'!N13,'03.11 Masaka-Maya'!N13)</f>
        <v>0</v>
      </c>
      <c r="O13" s="15">
        <f t="shared" si="0"/>
        <v>61.999999999999993</v>
      </c>
      <c r="P13" s="15">
        <f t="shared" si="1"/>
        <v>92.571428571428569</v>
      </c>
      <c r="R13" s="1" t="s">
        <v>9</v>
      </c>
      <c r="S13" s="17">
        <f t="shared" ref="S13:AF13" si="5">SUM(C22:C25)</f>
        <v>69.857142857142861</v>
      </c>
      <c r="T13" s="17">
        <f t="shared" si="5"/>
        <v>13</v>
      </c>
      <c r="U13" s="17">
        <f t="shared" si="5"/>
        <v>12.857142857142858</v>
      </c>
      <c r="V13" s="17">
        <f t="shared" si="5"/>
        <v>94</v>
      </c>
      <c r="W13" s="17">
        <f t="shared" si="5"/>
        <v>2.4285714285714284</v>
      </c>
      <c r="X13" s="17">
        <f t="shared" si="5"/>
        <v>1.9999999999999998</v>
      </c>
      <c r="Y13" s="17">
        <f t="shared" si="5"/>
        <v>42.857142857142854</v>
      </c>
      <c r="Z13" s="17">
        <f t="shared" si="5"/>
        <v>7.1428571428571423</v>
      </c>
      <c r="AA13" s="17">
        <f t="shared" si="5"/>
        <v>5</v>
      </c>
      <c r="AB13" s="17">
        <f t="shared" si="5"/>
        <v>9.5714285714285712</v>
      </c>
      <c r="AC13" s="17">
        <f t="shared" si="5"/>
        <v>87</v>
      </c>
      <c r="AD13" s="17">
        <f t="shared" si="5"/>
        <v>0</v>
      </c>
      <c r="AE13" s="31">
        <f t="shared" si="5"/>
        <v>258.71428571428572</v>
      </c>
      <c r="AF13" s="31">
        <f t="shared" si="5"/>
        <v>345.71428571428572</v>
      </c>
    </row>
    <row r="14" spans="2:32" ht="23.1" customHeight="1" x14ac:dyDescent="0.25">
      <c r="B14" s="23" t="s">
        <v>41</v>
      </c>
      <c r="C14" s="49">
        <f>AVERAGE('28.10 Masaka-Maya'!C14,'29.10 Masaka-Maya'!C14,'30.10 Masaka-Maya'!C14,'01.11 Masaka-Maya'!C14,'31.10 Masaka-Maya-24h'!C14,'02.11 Masaka-Maya-24h'!C14,'03.11 Masaka-Maya'!C14)</f>
        <v>13.428571428571429</v>
      </c>
      <c r="D14" s="49">
        <f>AVERAGE('28.10 Masaka-Maya'!D14,'29.10 Masaka-Maya'!D14,'30.10 Masaka-Maya'!D14,'01.11 Masaka-Maya'!D14,'31.10 Masaka-Maya-24h'!D14,'02.11 Masaka-Maya-24h'!D14,'03.11 Masaka-Maya'!D14)</f>
        <v>3.2857142857142856</v>
      </c>
      <c r="E14" s="49">
        <f>AVERAGE('28.10 Masaka-Maya'!E14,'29.10 Masaka-Maya'!E14,'30.10 Masaka-Maya'!E14,'01.11 Masaka-Maya'!E14,'31.10 Masaka-Maya-24h'!E14,'02.11 Masaka-Maya-24h'!E14,'03.11 Masaka-Maya'!E14)</f>
        <v>2.2857142857142856</v>
      </c>
      <c r="F14" s="49">
        <f>AVERAGE('28.10 Masaka-Maya'!F14,'29.10 Masaka-Maya'!F14,'30.10 Masaka-Maya'!F14,'01.11 Masaka-Maya'!F14,'31.10 Masaka-Maya-24h'!F14,'02.11 Masaka-Maya-24h'!F14,'03.11 Masaka-Maya'!F14)</f>
        <v>25.285714285714285</v>
      </c>
      <c r="G14" s="49">
        <f>AVERAGE('28.10 Masaka-Maya'!G14,'29.10 Masaka-Maya'!G14,'30.10 Masaka-Maya'!G14,'01.11 Masaka-Maya'!G14,'31.10 Masaka-Maya-24h'!G14,'02.11 Masaka-Maya-24h'!G14,'03.11 Masaka-Maya'!G14)</f>
        <v>0.14285714285714285</v>
      </c>
      <c r="H14" s="49">
        <f>AVERAGE('28.10 Masaka-Maya'!H14,'29.10 Masaka-Maya'!H14,'30.10 Masaka-Maya'!H14,'01.11 Masaka-Maya'!H14,'31.10 Masaka-Maya-24h'!H14,'02.11 Masaka-Maya-24h'!H14,'03.11 Masaka-Maya'!H14)</f>
        <v>0.7142857142857143</v>
      </c>
      <c r="I14" s="49">
        <f>AVERAGE('28.10 Masaka-Maya'!I14,'29.10 Masaka-Maya'!I14,'30.10 Masaka-Maya'!I14,'01.11 Masaka-Maya'!I14,'31.10 Masaka-Maya-24h'!I14,'02.11 Masaka-Maya-24h'!I14,'03.11 Masaka-Maya'!I14)</f>
        <v>8</v>
      </c>
      <c r="J14" s="49">
        <f>AVERAGE('28.10 Masaka-Maya'!J14,'29.10 Masaka-Maya'!J14,'30.10 Masaka-Maya'!J14,'01.11 Masaka-Maya'!J14,'31.10 Masaka-Maya-24h'!J14,'02.11 Masaka-Maya-24h'!J14,'03.11 Masaka-Maya'!J14)</f>
        <v>1.5714285714285714</v>
      </c>
      <c r="K14" s="49">
        <f>AVERAGE('28.10 Masaka-Maya'!K14,'29.10 Masaka-Maya'!K14,'30.10 Masaka-Maya'!K14,'01.11 Masaka-Maya'!K14,'31.10 Masaka-Maya-24h'!K14,'02.11 Masaka-Maya-24h'!K14,'03.11 Masaka-Maya'!K14)</f>
        <v>0.5714285714285714</v>
      </c>
      <c r="L14" s="49">
        <f>AVERAGE('28.10 Masaka-Maya'!L14,'29.10 Masaka-Maya'!L14,'30.10 Masaka-Maya'!L14,'01.11 Masaka-Maya'!L14,'31.10 Masaka-Maya-24h'!L14,'02.11 Masaka-Maya-24h'!L14,'03.11 Masaka-Maya'!L14)</f>
        <v>2.5714285714285716</v>
      </c>
      <c r="M14" s="49">
        <f>AVERAGE('28.10 Masaka-Maya'!M14,'29.10 Masaka-Maya'!M14,'30.10 Masaka-Maya'!M14,'01.11 Masaka-Maya'!M14,'31.10 Masaka-Maya-24h'!M14,'02.11 Masaka-Maya-24h'!M14,'03.11 Masaka-Maya'!M14)</f>
        <v>33.857142857142854</v>
      </c>
      <c r="N14" s="49">
        <f>AVERAGE('28.10 Masaka-Maya'!N14,'29.10 Masaka-Maya'!N14,'30.10 Masaka-Maya'!N14,'01.11 Masaka-Maya'!N14,'31.10 Masaka-Maya-24h'!N14,'02.11 Masaka-Maya-24h'!N14,'03.11 Masaka-Maya'!N14)</f>
        <v>0</v>
      </c>
      <c r="O14" s="15">
        <f t="shared" si="0"/>
        <v>57.857142857142854</v>
      </c>
      <c r="P14" s="15">
        <f t="shared" si="1"/>
        <v>91.714285714285708</v>
      </c>
      <c r="R14" s="1" t="s">
        <v>10</v>
      </c>
      <c r="S14" s="17">
        <f t="shared" ref="S14:AF14" si="6">SUM(C26:C29)</f>
        <v>78.428571428571416</v>
      </c>
      <c r="T14" s="17">
        <f t="shared" si="6"/>
        <v>14.285714285714286</v>
      </c>
      <c r="U14" s="17">
        <f t="shared" si="6"/>
        <v>14.857142857142858</v>
      </c>
      <c r="V14" s="17">
        <f t="shared" si="6"/>
        <v>85</v>
      </c>
      <c r="W14" s="17">
        <f t="shared" si="6"/>
        <v>1.857142857142857</v>
      </c>
      <c r="X14" s="17">
        <f t="shared" si="6"/>
        <v>2</v>
      </c>
      <c r="Y14" s="17">
        <f t="shared" si="6"/>
        <v>39.714285714285708</v>
      </c>
      <c r="Z14" s="17">
        <f t="shared" si="6"/>
        <v>5.1428571428571432</v>
      </c>
      <c r="AA14" s="17">
        <f t="shared" si="6"/>
        <v>2.1428571428571428</v>
      </c>
      <c r="AB14" s="17">
        <f t="shared" si="6"/>
        <v>8.571428571428573</v>
      </c>
      <c r="AC14" s="17">
        <f t="shared" si="6"/>
        <v>88.285714285714292</v>
      </c>
      <c r="AD14" s="17">
        <f t="shared" si="6"/>
        <v>0</v>
      </c>
      <c r="AE14" s="31">
        <f t="shared" si="6"/>
        <v>251.99999999999997</v>
      </c>
      <c r="AF14" s="31">
        <f t="shared" si="6"/>
        <v>340.28571428571428</v>
      </c>
    </row>
    <row r="15" spans="2:32" ht="23.1" customHeight="1" x14ac:dyDescent="0.25">
      <c r="B15" s="23" t="s">
        <v>42</v>
      </c>
      <c r="C15" s="49">
        <f>AVERAGE('28.10 Masaka-Maya'!C15,'29.10 Masaka-Maya'!C15,'30.10 Masaka-Maya'!C15,'01.11 Masaka-Maya'!C15,'31.10 Masaka-Maya-24h'!C15,'02.11 Masaka-Maya-24h'!C15,'03.11 Masaka-Maya'!C15)</f>
        <v>15</v>
      </c>
      <c r="D15" s="49">
        <f>AVERAGE('28.10 Masaka-Maya'!D15,'29.10 Masaka-Maya'!D15,'30.10 Masaka-Maya'!D15,'01.11 Masaka-Maya'!D15,'31.10 Masaka-Maya-24h'!D15,'02.11 Masaka-Maya-24h'!D15,'03.11 Masaka-Maya'!D15)</f>
        <v>2.1428571428571428</v>
      </c>
      <c r="E15" s="49">
        <f>AVERAGE('28.10 Masaka-Maya'!E15,'29.10 Masaka-Maya'!E15,'30.10 Masaka-Maya'!E15,'01.11 Masaka-Maya'!E15,'31.10 Masaka-Maya-24h'!E15,'02.11 Masaka-Maya-24h'!E15,'03.11 Masaka-Maya'!E15)</f>
        <v>3.1428571428571428</v>
      </c>
      <c r="F15" s="49">
        <f>AVERAGE('28.10 Masaka-Maya'!F15,'29.10 Masaka-Maya'!F15,'30.10 Masaka-Maya'!F15,'01.11 Masaka-Maya'!F15,'31.10 Masaka-Maya-24h'!F15,'02.11 Masaka-Maya-24h'!F15,'03.11 Masaka-Maya'!F15)</f>
        <v>25</v>
      </c>
      <c r="G15" s="49">
        <f>AVERAGE('28.10 Masaka-Maya'!G15,'29.10 Masaka-Maya'!G15,'30.10 Masaka-Maya'!G15,'01.11 Masaka-Maya'!G15,'31.10 Masaka-Maya-24h'!G15,'02.11 Masaka-Maya-24h'!G15,'03.11 Masaka-Maya'!G15)</f>
        <v>0.5714285714285714</v>
      </c>
      <c r="H15" s="49">
        <f>AVERAGE('28.10 Masaka-Maya'!H15,'29.10 Masaka-Maya'!H15,'30.10 Masaka-Maya'!H15,'01.11 Masaka-Maya'!H15,'31.10 Masaka-Maya-24h'!H15,'02.11 Masaka-Maya-24h'!H15,'03.11 Masaka-Maya'!H15)</f>
        <v>0.5714285714285714</v>
      </c>
      <c r="I15" s="49">
        <f>AVERAGE('28.10 Masaka-Maya'!I15,'29.10 Masaka-Maya'!I15,'30.10 Masaka-Maya'!I15,'01.11 Masaka-Maya'!I15,'31.10 Masaka-Maya-24h'!I15,'02.11 Masaka-Maya-24h'!I15,'03.11 Masaka-Maya'!I15)</f>
        <v>9.5714285714285712</v>
      </c>
      <c r="J15" s="49">
        <f>AVERAGE('28.10 Masaka-Maya'!J15,'29.10 Masaka-Maya'!J15,'30.10 Masaka-Maya'!J15,'01.11 Masaka-Maya'!J15,'31.10 Masaka-Maya-24h'!J15,'02.11 Masaka-Maya-24h'!J15,'03.11 Masaka-Maya'!J15)</f>
        <v>2</v>
      </c>
      <c r="K15" s="49">
        <f>AVERAGE('28.10 Masaka-Maya'!K15,'29.10 Masaka-Maya'!K15,'30.10 Masaka-Maya'!K15,'01.11 Masaka-Maya'!K15,'31.10 Masaka-Maya-24h'!K15,'02.11 Masaka-Maya-24h'!K15,'03.11 Masaka-Maya'!K15)</f>
        <v>0.14285714285714285</v>
      </c>
      <c r="L15" s="49">
        <f>AVERAGE('28.10 Masaka-Maya'!L15,'29.10 Masaka-Maya'!L15,'30.10 Masaka-Maya'!L15,'01.11 Masaka-Maya'!L15,'31.10 Masaka-Maya-24h'!L15,'02.11 Masaka-Maya-24h'!L15,'03.11 Masaka-Maya'!L15)</f>
        <v>1.8571428571428572</v>
      </c>
      <c r="M15" s="49">
        <f>AVERAGE('28.10 Masaka-Maya'!M15,'29.10 Masaka-Maya'!M15,'30.10 Masaka-Maya'!M15,'01.11 Masaka-Maya'!M15,'31.10 Masaka-Maya-24h'!M15,'02.11 Masaka-Maya-24h'!M15,'03.11 Masaka-Maya'!M15)</f>
        <v>26.857142857142858</v>
      </c>
      <c r="N15" s="49">
        <f>AVERAGE('28.10 Masaka-Maya'!N15,'29.10 Masaka-Maya'!N15,'30.10 Masaka-Maya'!N15,'01.11 Masaka-Maya'!N15,'31.10 Masaka-Maya-24h'!N15,'02.11 Masaka-Maya-24h'!N15,'03.11 Masaka-Maya'!N15)</f>
        <v>0</v>
      </c>
      <c r="O15" s="15">
        <f t="shared" si="0"/>
        <v>59.999999999999993</v>
      </c>
      <c r="P15" s="15">
        <f t="shared" si="1"/>
        <v>86.857142857142847</v>
      </c>
      <c r="R15" s="1" t="s">
        <v>11</v>
      </c>
      <c r="S15" s="17">
        <f t="shared" ref="S15:AF15" si="7">SUM(C30:C33)</f>
        <v>91.428571428571416</v>
      </c>
      <c r="T15" s="17">
        <f t="shared" si="7"/>
        <v>18.428571428571431</v>
      </c>
      <c r="U15" s="17">
        <f t="shared" si="7"/>
        <v>15.571428571428571</v>
      </c>
      <c r="V15" s="17">
        <f t="shared" si="7"/>
        <v>87.142857142857153</v>
      </c>
      <c r="W15" s="17">
        <f t="shared" si="7"/>
        <v>2.7142857142857144</v>
      </c>
      <c r="X15" s="17">
        <f t="shared" si="7"/>
        <v>7.5714285714285721</v>
      </c>
      <c r="Y15" s="17">
        <f t="shared" si="7"/>
        <v>44.285714285714285</v>
      </c>
      <c r="Z15" s="17">
        <f t="shared" si="7"/>
        <v>4.2857142857142856</v>
      </c>
      <c r="AA15" s="17">
        <f t="shared" si="7"/>
        <v>3</v>
      </c>
      <c r="AB15" s="17">
        <f t="shared" si="7"/>
        <v>8.2857142857142847</v>
      </c>
      <c r="AC15" s="17">
        <f t="shared" si="7"/>
        <v>90.571428571428569</v>
      </c>
      <c r="AD15" s="17">
        <f t="shared" si="7"/>
        <v>0.14285714285714285</v>
      </c>
      <c r="AE15" s="31">
        <f t="shared" si="7"/>
        <v>282.85714285714283</v>
      </c>
      <c r="AF15" s="31">
        <f t="shared" si="7"/>
        <v>373.42857142857139</v>
      </c>
    </row>
    <row r="16" spans="2:32" ht="23.1" customHeight="1" x14ac:dyDescent="0.25">
      <c r="B16" s="23" t="s">
        <v>43</v>
      </c>
      <c r="C16" s="49">
        <f>AVERAGE('28.10 Masaka-Maya'!C16,'29.10 Masaka-Maya'!C16,'30.10 Masaka-Maya'!C16,'01.11 Masaka-Maya'!C16,'31.10 Masaka-Maya-24h'!C16,'02.11 Masaka-Maya-24h'!C16,'03.11 Masaka-Maya'!C16)</f>
        <v>14.285714285714286</v>
      </c>
      <c r="D16" s="49">
        <f>AVERAGE('28.10 Masaka-Maya'!D16,'29.10 Masaka-Maya'!D16,'30.10 Masaka-Maya'!D16,'01.11 Masaka-Maya'!D16,'31.10 Masaka-Maya-24h'!D16,'02.11 Masaka-Maya-24h'!D16,'03.11 Masaka-Maya'!D16)</f>
        <v>3.8571428571428572</v>
      </c>
      <c r="E16" s="49">
        <f>AVERAGE('28.10 Masaka-Maya'!E16,'29.10 Masaka-Maya'!E16,'30.10 Masaka-Maya'!E16,'01.11 Masaka-Maya'!E16,'31.10 Masaka-Maya-24h'!E16,'02.11 Masaka-Maya-24h'!E16,'03.11 Masaka-Maya'!E16)</f>
        <v>2.7142857142857144</v>
      </c>
      <c r="F16" s="49">
        <f>AVERAGE('28.10 Masaka-Maya'!F16,'29.10 Masaka-Maya'!F16,'30.10 Masaka-Maya'!F16,'01.11 Masaka-Maya'!F16,'31.10 Masaka-Maya-24h'!F16,'02.11 Masaka-Maya-24h'!F16,'03.11 Masaka-Maya'!F16)</f>
        <v>20.857142857142858</v>
      </c>
      <c r="G16" s="49">
        <f>AVERAGE('28.10 Masaka-Maya'!G16,'29.10 Masaka-Maya'!G16,'30.10 Masaka-Maya'!G16,'01.11 Masaka-Maya'!G16,'31.10 Masaka-Maya-24h'!G16,'02.11 Masaka-Maya-24h'!G16,'03.11 Masaka-Maya'!G16)</f>
        <v>1</v>
      </c>
      <c r="H16" s="49">
        <f>AVERAGE('28.10 Masaka-Maya'!H16,'29.10 Masaka-Maya'!H16,'30.10 Masaka-Maya'!H16,'01.11 Masaka-Maya'!H16,'31.10 Masaka-Maya-24h'!H16,'02.11 Masaka-Maya-24h'!H16,'03.11 Masaka-Maya'!H16)</f>
        <v>0.5714285714285714</v>
      </c>
      <c r="I16" s="49">
        <f>AVERAGE('28.10 Masaka-Maya'!I16,'29.10 Masaka-Maya'!I16,'30.10 Masaka-Maya'!I16,'01.11 Masaka-Maya'!I16,'31.10 Masaka-Maya-24h'!I16,'02.11 Masaka-Maya-24h'!I16,'03.11 Masaka-Maya'!I16)</f>
        <v>9.1428571428571423</v>
      </c>
      <c r="J16" s="49">
        <f>AVERAGE('28.10 Masaka-Maya'!J16,'29.10 Masaka-Maya'!J16,'30.10 Masaka-Maya'!J16,'01.11 Masaka-Maya'!J16,'31.10 Masaka-Maya-24h'!J16,'02.11 Masaka-Maya-24h'!J16,'03.11 Masaka-Maya'!J16)</f>
        <v>1.8571428571428572</v>
      </c>
      <c r="K16" s="49">
        <f>AVERAGE('28.10 Masaka-Maya'!K16,'29.10 Masaka-Maya'!K16,'30.10 Masaka-Maya'!K16,'01.11 Masaka-Maya'!K16,'31.10 Masaka-Maya-24h'!K16,'02.11 Masaka-Maya-24h'!K16,'03.11 Masaka-Maya'!K16)</f>
        <v>0.5714285714285714</v>
      </c>
      <c r="L16" s="49">
        <f>AVERAGE('28.10 Masaka-Maya'!L16,'29.10 Masaka-Maya'!L16,'30.10 Masaka-Maya'!L16,'01.11 Masaka-Maya'!L16,'31.10 Masaka-Maya-24h'!L16,'02.11 Masaka-Maya-24h'!L16,'03.11 Masaka-Maya'!L16)</f>
        <v>2.1428571428571428</v>
      </c>
      <c r="M16" s="49">
        <f>AVERAGE('28.10 Masaka-Maya'!M16,'29.10 Masaka-Maya'!M16,'30.10 Masaka-Maya'!M16,'01.11 Masaka-Maya'!M16,'31.10 Masaka-Maya-24h'!M16,'02.11 Masaka-Maya-24h'!M16,'03.11 Masaka-Maya'!M16)</f>
        <v>24.142857142857142</v>
      </c>
      <c r="N16" s="49">
        <f>AVERAGE('28.10 Masaka-Maya'!N16,'29.10 Masaka-Maya'!N16,'30.10 Masaka-Maya'!N16,'01.11 Masaka-Maya'!N16,'31.10 Masaka-Maya-24h'!N16,'02.11 Masaka-Maya-24h'!N16,'03.11 Masaka-Maya'!N16)</f>
        <v>0</v>
      </c>
      <c r="O16" s="15">
        <f t="shared" si="0"/>
        <v>57</v>
      </c>
      <c r="P16" s="15">
        <f t="shared" si="1"/>
        <v>81.142857142857139</v>
      </c>
      <c r="R16" s="1" t="s">
        <v>12</v>
      </c>
      <c r="S16" s="17">
        <f t="shared" ref="S16:AF16" si="8">SUM(C34:C37)</f>
        <v>96.285714285714292</v>
      </c>
      <c r="T16" s="17">
        <f t="shared" si="8"/>
        <v>20.428571428571431</v>
      </c>
      <c r="U16" s="17">
        <f t="shared" si="8"/>
        <v>20.571428571428573</v>
      </c>
      <c r="V16" s="17">
        <f t="shared" si="8"/>
        <v>78.285714285714292</v>
      </c>
      <c r="W16" s="17">
        <f t="shared" si="8"/>
        <v>1.8571428571428572</v>
      </c>
      <c r="X16" s="17">
        <f t="shared" si="8"/>
        <v>4.7142857142857144</v>
      </c>
      <c r="Y16" s="17">
        <f t="shared" si="8"/>
        <v>45.285714285714285</v>
      </c>
      <c r="Z16" s="17">
        <f t="shared" si="8"/>
        <v>3</v>
      </c>
      <c r="AA16" s="17">
        <f t="shared" si="8"/>
        <v>1.7142857142857142</v>
      </c>
      <c r="AB16" s="17">
        <f t="shared" si="8"/>
        <v>9.1428571428571423</v>
      </c>
      <c r="AC16" s="17">
        <f t="shared" si="8"/>
        <v>75.857142857142861</v>
      </c>
      <c r="AD16" s="17">
        <f t="shared" si="8"/>
        <v>0</v>
      </c>
      <c r="AE16" s="31">
        <f t="shared" si="8"/>
        <v>281.28571428571428</v>
      </c>
      <c r="AF16" s="31">
        <f t="shared" si="8"/>
        <v>357.14285714285711</v>
      </c>
    </row>
    <row r="17" spans="2:32" ht="23.1" customHeight="1" x14ac:dyDescent="0.25">
      <c r="B17" s="23" t="s">
        <v>44</v>
      </c>
      <c r="C17" s="49">
        <f>AVERAGE('28.10 Masaka-Maya'!C17,'29.10 Masaka-Maya'!C17,'30.10 Masaka-Maya'!C17,'01.11 Masaka-Maya'!C17,'31.10 Masaka-Maya-24h'!C17,'02.11 Masaka-Maya-24h'!C17,'03.11 Masaka-Maya'!C17)</f>
        <v>11.571428571428571</v>
      </c>
      <c r="D17" s="49">
        <f>AVERAGE('28.10 Masaka-Maya'!D17,'29.10 Masaka-Maya'!D17,'30.10 Masaka-Maya'!D17,'01.11 Masaka-Maya'!D17,'31.10 Masaka-Maya-24h'!D17,'02.11 Masaka-Maya-24h'!D17,'03.11 Masaka-Maya'!D17)</f>
        <v>2.7142857142857144</v>
      </c>
      <c r="E17" s="49">
        <f>AVERAGE('28.10 Masaka-Maya'!E17,'29.10 Masaka-Maya'!E17,'30.10 Masaka-Maya'!E17,'01.11 Masaka-Maya'!E17,'31.10 Masaka-Maya-24h'!E17,'02.11 Masaka-Maya-24h'!E17,'03.11 Masaka-Maya'!E17)</f>
        <v>1.4285714285714286</v>
      </c>
      <c r="F17" s="49">
        <f>AVERAGE('28.10 Masaka-Maya'!F17,'29.10 Masaka-Maya'!F17,'30.10 Masaka-Maya'!F17,'01.11 Masaka-Maya'!F17,'31.10 Masaka-Maya-24h'!F17,'02.11 Masaka-Maya-24h'!F17,'03.11 Masaka-Maya'!F17)</f>
        <v>24.285714285714285</v>
      </c>
      <c r="G17" s="49">
        <f>AVERAGE('28.10 Masaka-Maya'!G17,'29.10 Masaka-Maya'!G17,'30.10 Masaka-Maya'!G17,'01.11 Masaka-Maya'!G17,'31.10 Masaka-Maya-24h'!G17,'02.11 Masaka-Maya-24h'!G17,'03.11 Masaka-Maya'!G17)</f>
        <v>0.2857142857142857</v>
      </c>
      <c r="H17" s="49">
        <f>AVERAGE('28.10 Masaka-Maya'!H17,'29.10 Masaka-Maya'!H17,'30.10 Masaka-Maya'!H17,'01.11 Masaka-Maya'!H17,'31.10 Masaka-Maya-24h'!H17,'02.11 Masaka-Maya-24h'!H17,'03.11 Masaka-Maya'!H17)</f>
        <v>0.5714285714285714</v>
      </c>
      <c r="I17" s="49">
        <f>AVERAGE('28.10 Masaka-Maya'!I17,'29.10 Masaka-Maya'!I17,'30.10 Masaka-Maya'!I17,'01.11 Masaka-Maya'!I17,'31.10 Masaka-Maya-24h'!I17,'02.11 Masaka-Maya-24h'!I17,'03.11 Masaka-Maya'!I17)</f>
        <v>8.4285714285714288</v>
      </c>
      <c r="J17" s="49">
        <f>AVERAGE('28.10 Masaka-Maya'!J17,'29.10 Masaka-Maya'!J17,'30.10 Masaka-Maya'!J17,'01.11 Masaka-Maya'!J17,'31.10 Masaka-Maya-24h'!J17,'02.11 Masaka-Maya-24h'!J17,'03.11 Masaka-Maya'!J17)</f>
        <v>0.7142857142857143</v>
      </c>
      <c r="K17" s="49">
        <f>AVERAGE('28.10 Masaka-Maya'!K17,'29.10 Masaka-Maya'!K17,'30.10 Masaka-Maya'!K17,'01.11 Masaka-Maya'!K17,'31.10 Masaka-Maya-24h'!K17,'02.11 Masaka-Maya-24h'!K17,'03.11 Masaka-Maya'!K17)</f>
        <v>1.4285714285714286</v>
      </c>
      <c r="L17" s="49">
        <f>AVERAGE('28.10 Masaka-Maya'!L17,'29.10 Masaka-Maya'!L17,'30.10 Masaka-Maya'!L17,'01.11 Masaka-Maya'!L17,'31.10 Masaka-Maya-24h'!L17,'02.11 Masaka-Maya-24h'!L17,'03.11 Masaka-Maya'!L17)</f>
        <v>1.8571428571428572</v>
      </c>
      <c r="M17" s="49">
        <f>AVERAGE('28.10 Masaka-Maya'!M17,'29.10 Masaka-Maya'!M17,'30.10 Masaka-Maya'!M17,'01.11 Masaka-Maya'!M17,'31.10 Masaka-Maya-24h'!M17,'02.11 Masaka-Maya-24h'!M17,'03.11 Masaka-Maya'!M17)</f>
        <v>25.285714285714285</v>
      </c>
      <c r="N17" s="49">
        <f>AVERAGE('28.10 Masaka-Maya'!N17,'29.10 Masaka-Maya'!N17,'30.10 Masaka-Maya'!N17,'01.11 Masaka-Maya'!N17,'31.10 Masaka-Maya-24h'!N17,'02.11 Masaka-Maya-24h'!N17,'03.11 Masaka-Maya'!N17)</f>
        <v>0</v>
      </c>
      <c r="O17" s="15">
        <f t="shared" si="0"/>
        <v>53.285714285714285</v>
      </c>
      <c r="P17" s="15">
        <f t="shared" si="1"/>
        <v>78.571428571428569</v>
      </c>
      <c r="R17" s="1" t="s">
        <v>13</v>
      </c>
      <c r="S17" s="17">
        <f t="shared" ref="S17:AF17" si="9">SUM(C38:C41)</f>
        <v>109.42857142857143</v>
      </c>
      <c r="T17" s="17">
        <f t="shared" si="9"/>
        <v>21.285714285714285</v>
      </c>
      <c r="U17" s="17">
        <f t="shared" si="9"/>
        <v>24.571428571428569</v>
      </c>
      <c r="V17" s="17">
        <f t="shared" si="9"/>
        <v>79.571428571428569</v>
      </c>
      <c r="W17" s="17">
        <f t="shared" si="9"/>
        <v>2.7142857142857144</v>
      </c>
      <c r="X17" s="17">
        <f t="shared" si="9"/>
        <v>5.2857142857142865</v>
      </c>
      <c r="Y17" s="17">
        <f t="shared" si="9"/>
        <v>50.142857142857146</v>
      </c>
      <c r="Z17" s="17">
        <f t="shared" si="9"/>
        <v>5</v>
      </c>
      <c r="AA17" s="17">
        <f t="shared" si="9"/>
        <v>2.1428571428571428</v>
      </c>
      <c r="AB17" s="17">
        <f t="shared" si="9"/>
        <v>10.142857142857144</v>
      </c>
      <c r="AC17" s="17">
        <f t="shared" si="9"/>
        <v>78.142857142857139</v>
      </c>
      <c r="AD17" s="17">
        <f t="shared" si="9"/>
        <v>0.14285714285714285</v>
      </c>
      <c r="AE17" s="31">
        <f t="shared" si="9"/>
        <v>310.42857142857144</v>
      </c>
      <c r="AF17" s="31">
        <f t="shared" si="9"/>
        <v>388.57142857142861</v>
      </c>
    </row>
    <row r="18" spans="2:32" ht="23.1" customHeight="1" x14ac:dyDescent="0.25">
      <c r="B18" s="23" t="s">
        <v>45</v>
      </c>
      <c r="C18" s="49">
        <f>AVERAGE('28.10 Masaka-Maya'!C18,'29.10 Masaka-Maya'!C18,'30.10 Masaka-Maya'!C18,'01.11 Masaka-Maya'!C18,'31.10 Masaka-Maya-24h'!C18,'02.11 Masaka-Maya-24h'!C18,'03.11 Masaka-Maya'!C18)</f>
        <v>17.428571428571427</v>
      </c>
      <c r="D18" s="49">
        <f>AVERAGE('28.10 Masaka-Maya'!D18,'29.10 Masaka-Maya'!D18,'30.10 Masaka-Maya'!D18,'01.11 Masaka-Maya'!D18,'31.10 Masaka-Maya-24h'!D18,'02.11 Masaka-Maya-24h'!D18,'03.11 Masaka-Maya'!D18)</f>
        <v>1.5714285714285714</v>
      </c>
      <c r="E18" s="49">
        <f>AVERAGE('28.10 Masaka-Maya'!E18,'29.10 Masaka-Maya'!E18,'30.10 Masaka-Maya'!E18,'01.11 Masaka-Maya'!E18,'31.10 Masaka-Maya-24h'!E18,'02.11 Masaka-Maya-24h'!E18,'03.11 Masaka-Maya'!E18)</f>
        <v>3.1428571428571428</v>
      </c>
      <c r="F18" s="49">
        <f>AVERAGE('28.10 Masaka-Maya'!F18,'29.10 Masaka-Maya'!F18,'30.10 Masaka-Maya'!F18,'01.11 Masaka-Maya'!F18,'31.10 Masaka-Maya-24h'!F18,'02.11 Masaka-Maya-24h'!F18,'03.11 Masaka-Maya'!F18)</f>
        <v>28</v>
      </c>
      <c r="G18" s="49">
        <f>AVERAGE('28.10 Masaka-Maya'!G18,'29.10 Masaka-Maya'!G18,'30.10 Masaka-Maya'!G18,'01.11 Masaka-Maya'!G18,'31.10 Masaka-Maya-24h'!G18,'02.11 Masaka-Maya-24h'!G18,'03.11 Masaka-Maya'!G18)</f>
        <v>0.42857142857142855</v>
      </c>
      <c r="H18" s="49">
        <f>AVERAGE('28.10 Masaka-Maya'!H18,'29.10 Masaka-Maya'!H18,'30.10 Masaka-Maya'!H18,'01.11 Masaka-Maya'!H18,'31.10 Masaka-Maya-24h'!H18,'02.11 Masaka-Maya-24h'!H18,'03.11 Masaka-Maya'!H18)</f>
        <v>1.4285714285714286</v>
      </c>
      <c r="I18" s="49">
        <f>AVERAGE('28.10 Masaka-Maya'!I18,'29.10 Masaka-Maya'!I18,'30.10 Masaka-Maya'!I18,'01.11 Masaka-Maya'!I18,'31.10 Masaka-Maya-24h'!I18,'02.11 Masaka-Maya-24h'!I18,'03.11 Masaka-Maya'!I18)</f>
        <v>8.7142857142857135</v>
      </c>
      <c r="J18" s="49">
        <f>AVERAGE('28.10 Masaka-Maya'!J18,'29.10 Masaka-Maya'!J18,'30.10 Masaka-Maya'!J18,'01.11 Masaka-Maya'!J18,'31.10 Masaka-Maya-24h'!J18,'02.11 Masaka-Maya-24h'!J18,'03.11 Masaka-Maya'!J18)</f>
        <v>2.8571428571428572</v>
      </c>
      <c r="K18" s="49">
        <f>AVERAGE('28.10 Masaka-Maya'!K18,'29.10 Masaka-Maya'!K18,'30.10 Masaka-Maya'!K18,'01.11 Masaka-Maya'!K18,'31.10 Masaka-Maya-24h'!K18,'02.11 Masaka-Maya-24h'!K18,'03.11 Masaka-Maya'!K18)</f>
        <v>1.4285714285714286</v>
      </c>
      <c r="L18" s="49">
        <f>AVERAGE('28.10 Masaka-Maya'!L18,'29.10 Masaka-Maya'!L18,'30.10 Masaka-Maya'!L18,'01.11 Masaka-Maya'!L18,'31.10 Masaka-Maya-24h'!L18,'02.11 Masaka-Maya-24h'!L18,'03.11 Masaka-Maya'!L18)</f>
        <v>3.1428571428571428</v>
      </c>
      <c r="M18" s="49">
        <f>AVERAGE('28.10 Masaka-Maya'!M18,'29.10 Masaka-Maya'!M18,'30.10 Masaka-Maya'!M18,'01.11 Masaka-Maya'!M18,'31.10 Masaka-Maya-24h'!M18,'02.11 Masaka-Maya-24h'!M18,'03.11 Masaka-Maya'!M18)</f>
        <v>28.142857142857142</v>
      </c>
      <c r="N18" s="49">
        <f>AVERAGE('28.10 Masaka-Maya'!N18,'29.10 Masaka-Maya'!N18,'30.10 Masaka-Maya'!N18,'01.11 Masaka-Maya'!N18,'31.10 Masaka-Maya-24h'!N18,'02.11 Masaka-Maya-24h'!N18,'03.11 Masaka-Maya'!N18)</f>
        <v>0</v>
      </c>
      <c r="O18" s="15">
        <f t="shared" si="0"/>
        <v>68.142857142857139</v>
      </c>
      <c r="P18" s="15">
        <f t="shared" si="1"/>
        <v>96.285714285714278</v>
      </c>
      <c r="R18" s="1" t="s">
        <v>14</v>
      </c>
      <c r="S18" s="17">
        <f t="shared" ref="S18:AF18" si="10">SUM(C42:C45)</f>
        <v>130.28571428571428</v>
      </c>
      <c r="T18" s="17">
        <f t="shared" si="10"/>
        <v>26</v>
      </c>
      <c r="U18" s="17">
        <f t="shared" si="10"/>
        <v>29</v>
      </c>
      <c r="V18" s="17">
        <f t="shared" si="10"/>
        <v>83.857142857142861</v>
      </c>
      <c r="W18" s="17">
        <f t="shared" si="10"/>
        <v>2.7142857142857144</v>
      </c>
      <c r="X18" s="17">
        <f t="shared" si="10"/>
        <v>8.1428571428571423</v>
      </c>
      <c r="Y18" s="17">
        <f t="shared" si="10"/>
        <v>54.714285714285715</v>
      </c>
      <c r="Z18" s="17">
        <f t="shared" si="10"/>
        <v>9.7142857142857135</v>
      </c>
      <c r="AA18" s="17">
        <f t="shared" si="10"/>
        <v>3.5714285714285712</v>
      </c>
      <c r="AB18" s="17">
        <f t="shared" si="10"/>
        <v>8.4285714285714288</v>
      </c>
      <c r="AC18" s="17">
        <f t="shared" si="10"/>
        <v>88.428571428571416</v>
      </c>
      <c r="AD18" s="17">
        <f t="shared" si="10"/>
        <v>0</v>
      </c>
      <c r="AE18" s="31">
        <f t="shared" si="10"/>
        <v>356.42857142857144</v>
      </c>
      <c r="AF18" s="31">
        <f t="shared" si="10"/>
        <v>444.85714285714283</v>
      </c>
    </row>
    <row r="19" spans="2:32" ht="23.1" customHeight="1" x14ac:dyDescent="0.25">
      <c r="B19" s="23" t="s">
        <v>46</v>
      </c>
      <c r="C19" s="49">
        <f>AVERAGE('28.10 Masaka-Maya'!C19,'29.10 Masaka-Maya'!C19,'30.10 Masaka-Maya'!C19,'01.11 Masaka-Maya'!C19,'31.10 Masaka-Maya-24h'!C19,'02.11 Masaka-Maya-24h'!C19,'03.11 Masaka-Maya'!C19)</f>
        <v>16.142857142857142</v>
      </c>
      <c r="D19" s="49">
        <f>AVERAGE('28.10 Masaka-Maya'!D19,'29.10 Masaka-Maya'!D19,'30.10 Masaka-Maya'!D19,'01.11 Masaka-Maya'!D19,'31.10 Masaka-Maya-24h'!D19,'02.11 Masaka-Maya-24h'!D19,'03.11 Masaka-Maya'!D19)</f>
        <v>3</v>
      </c>
      <c r="E19" s="49">
        <f>AVERAGE('28.10 Masaka-Maya'!E19,'29.10 Masaka-Maya'!E19,'30.10 Masaka-Maya'!E19,'01.11 Masaka-Maya'!E19,'31.10 Masaka-Maya-24h'!E19,'02.11 Masaka-Maya-24h'!E19,'03.11 Masaka-Maya'!E19)</f>
        <v>2.4285714285714284</v>
      </c>
      <c r="F19" s="49">
        <f>AVERAGE('28.10 Masaka-Maya'!F19,'29.10 Masaka-Maya'!F19,'30.10 Masaka-Maya'!F19,'01.11 Masaka-Maya'!F19,'31.10 Masaka-Maya-24h'!F19,'02.11 Masaka-Maya-24h'!F19,'03.11 Masaka-Maya'!F19)</f>
        <v>25.285714285714285</v>
      </c>
      <c r="G19" s="49">
        <f>AVERAGE('28.10 Masaka-Maya'!G19,'29.10 Masaka-Maya'!G19,'30.10 Masaka-Maya'!G19,'01.11 Masaka-Maya'!G19,'31.10 Masaka-Maya-24h'!G19,'02.11 Masaka-Maya-24h'!G19,'03.11 Masaka-Maya'!G19)</f>
        <v>0.7142857142857143</v>
      </c>
      <c r="H19" s="49">
        <f>AVERAGE('28.10 Masaka-Maya'!H19,'29.10 Masaka-Maya'!H19,'30.10 Masaka-Maya'!H19,'01.11 Masaka-Maya'!H19,'31.10 Masaka-Maya-24h'!H19,'02.11 Masaka-Maya-24h'!H19,'03.11 Masaka-Maya'!H19)</f>
        <v>0.14285714285714285</v>
      </c>
      <c r="I19" s="49">
        <f>AVERAGE('28.10 Masaka-Maya'!I19,'29.10 Masaka-Maya'!I19,'30.10 Masaka-Maya'!I19,'01.11 Masaka-Maya'!I19,'31.10 Masaka-Maya-24h'!I19,'02.11 Masaka-Maya-24h'!I19,'03.11 Masaka-Maya'!I19)</f>
        <v>8.8571428571428577</v>
      </c>
      <c r="J19" s="49">
        <f>AVERAGE('28.10 Masaka-Maya'!J19,'29.10 Masaka-Maya'!J19,'30.10 Masaka-Maya'!J19,'01.11 Masaka-Maya'!J19,'31.10 Masaka-Maya-24h'!J19,'02.11 Masaka-Maya-24h'!J19,'03.11 Masaka-Maya'!J19)</f>
        <v>2.1428571428571428</v>
      </c>
      <c r="K19" s="49">
        <f>AVERAGE('28.10 Masaka-Maya'!K19,'29.10 Masaka-Maya'!K19,'30.10 Masaka-Maya'!K19,'01.11 Masaka-Maya'!K19,'31.10 Masaka-Maya-24h'!K19,'02.11 Masaka-Maya-24h'!K19,'03.11 Masaka-Maya'!K19)</f>
        <v>0.14285714285714285</v>
      </c>
      <c r="L19" s="49">
        <f>AVERAGE('28.10 Masaka-Maya'!L19,'29.10 Masaka-Maya'!L19,'30.10 Masaka-Maya'!L19,'01.11 Masaka-Maya'!L19,'31.10 Masaka-Maya-24h'!L19,'02.11 Masaka-Maya-24h'!L19,'03.11 Masaka-Maya'!L19)</f>
        <v>2</v>
      </c>
      <c r="M19" s="49">
        <f>AVERAGE('28.10 Masaka-Maya'!M19,'29.10 Masaka-Maya'!M19,'30.10 Masaka-Maya'!M19,'01.11 Masaka-Maya'!M19,'31.10 Masaka-Maya-24h'!M19,'02.11 Masaka-Maya-24h'!M19,'03.11 Masaka-Maya'!M19)</f>
        <v>24.285714285714285</v>
      </c>
      <c r="N19" s="49">
        <f>AVERAGE('28.10 Masaka-Maya'!N19,'29.10 Masaka-Maya'!N19,'30.10 Masaka-Maya'!N19,'01.11 Masaka-Maya'!N19,'31.10 Masaka-Maya-24h'!N19,'02.11 Masaka-Maya-24h'!N19,'03.11 Masaka-Maya'!N19)</f>
        <v>0</v>
      </c>
      <c r="O19" s="15">
        <f t="shared" si="0"/>
        <v>60.857142857142861</v>
      </c>
      <c r="P19" s="15">
        <f t="shared" si="1"/>
        <v>85.142857142857139</v>
      </c>
      <c r="R19" s="1" t="s">
        <v>15</v>
      </c>
      <c r="S19" s="17">
        <f t="shared" ref="S19:AF19" si="11">SUM(C46:C49)</f>
        <v>158.85714285714286</v>
      </c>
      <c r="T19" s="17">
        <f t="shared" si="11"/>
        <v>36.428571428571431</v>
      </c>
      <c r="U19" s="17">
        <f t="shared" si="11"/>
        <v>28.571428571428573</v>
      </c>
      <c r="V19" s="17">
        <f t="shared" si="11"/>
        <v>99.857142857142861</v>
      </c>
      <c r="W19" s="17">
        <f t="shared" si="11"/>
        <v>7.8571428571428577</v>
      </c>
      <c r="X19" s="17">
        <f t="shared" si="11"/>
        <v>7.5714285714285712</v>
      </c>
      <c r="Y19" s="17">
        <f t="shared" si="11"/>
        <v>62.571428571428569</v>
      </c>
      <c r="Z19" s="17">
        <f t="shared" si="11"/>
        <v>10.142857142857142</v>
      </c>
      <c r="AA19" s="17">
        <f t="shared" si="11"/>
        <v>5.5714285714285712</v>
      </c>
      <c r="AB19" s="17">
        <f t="shared" si="11"/>
        <v>11.142857142857142</v>
      </c>
      <c r="AC19" s="17">
        <f t="shared" si="11"/>
        <v>111.57142857142858</v>
      </c>
      <c r="AD19" s="17">
        <f t="shared" si="11"/>
        <v>0</v>
      </c>
      <c r="AE19" s="31">
        <f t="shared" si="11"/>
        <v>428.57142857142861</v>
      </c>
      <c r="AF19" s="31">
        <f t="shared" si="11"/>
        <v>540.14285714285711</v>
      </c>
    </row>
    <row r="20" spans="2:32" ht="23.1" customHeight="1" x14ac:dyDescent="0.25">
      <c r="B20" s="23" t="s">
        <v>47</v>
      </c>
      <c r="C20" s="49">
        <f>AVERAGE('28.10 Masaka-Maya'!C20,'29.10 Masaka-Maya'!C20,'30.10 Masaka-Maya'!C20,'01.11 Masaka-Maya'!C20,'31.10 Masaka-Maya-24h'!C20,'02.11 Masaka-Maya-24h'!C20,'03.11 Masaka-Maya'!C20)</f>
        <v>16</v>
      </c>
      <c r="D20" s="49">
        <f>AVERAGE('28.10 Masaka-Maya'!D20,'29.10 Masaka-Maya'!D20,'30.10 Masaka-Maya'!D20,'01.11 Masaka-Maya'!D20,'31.10 Masaka-Maya-24h'!D20,'02.11 Masaka-Maya-24h'!D20,'03.11 Masaka-Maya'!D20)</f>
        <v>3</v>
      </c>
      <c r="E20" s="49">
        <f>AVERAGE('28.10 Masaka-Maya'!E20,'29.10 Masaka-Maya'!E20,'30.10 Masaka-Maya'!E20,'01.11 Masaka-Maya'!E20,'31.10 Masaka-Maya-24h'!E20,'02.11 Masaka-Maya-24h'!E20,'03.11 Masaka-Maya'!E20)</f>
        <v>3.5714285714285716</v>
      </c>
      <c r="F20" s="49">
        <f>AVERAGE('28.10 Masaka-Maya'!F20,'29.10 Masaka-Maya'!F20,'30.10 Masaka-Maya'!F20,'01.11 Masaka-Maya'!F20,'31.10 Masaka-Maya-24h'!F20,'02.11 Masaka-Maya-24h'!F20,'03.11 Masaka-Maya'!F20)</f>
        <v>22.285714285714285</v>
      </c>
      <c r="G20" s="49">
        <f>AVERAGE('28.10 Masaka-Maya'!G20,'29.10 Masaka-Maya'!G20,'30.10 Masaka-Maya'!G20,'01.11 Masaka-Maya'!G20,'31.10 Masaka-Maya-24h'!G20,'02.11 Masaka-Maya-24h'!G20,'03.11 Masaka-Maya'!G20)</f>
        <v>0.14285714285714285</v>
      </c>
      <c r="H20" s="49">
        <f>AVERAGE('28.10 Masaka-Maya'!H20,'29.10 Masaka-Maya'!H20,'30.10 Masaka-Maya'!H20,'01.11 Masaka-Maya'!H20,'31.10 Masaka-Maya-24h'!H20,'02.11 Masaka-Maya-24h'!H20,'03.11 Masaka-Maya'!H20)</f>
        <v>0.5714285714285714</v>
      </c>
      <c r="I20" s="49">
        <f>AVERAGE('28.10 Masaka-Maya'!I20,'29.10 Masaka-Maya'!I20,'30.10 Masaka-Maya'!I20,'01.11 Masaka-Maya'!I20,'31.10 Masaka-Maya-24h'!I20,'02.11 Masaka-Maya-24h'!I20,'03.11 Masaka-Maya'!I20)</f>
        <v>8</v>
      </c>
      <c r="J20" s="49">
        <f>AVERAGE('28.10 Masaka-Maya'!J20,'29.10 Masaka-Maya'!J20,'30.10 Masaka-Maya'!J20,'01.11 Masaka-Maya'!J20,'31.10 Masaka-Maya-24h'!J20,'02.11 Masaka-Maya-24h'!J20,'03.11 Masaka-Maya'!J20)</f>
        <v>1.4285714285714286</v>
      </c>
      <c r="K20" s="49">
        <f>AVERAGE('28.10 Masaka-Maya'!K20,'29.10 Masaka-Maya'!K20,'30.10 Masaka-Maya'!K20,'01.11 Masaka-Maya'!K20,'31.10 Masaka-Maya-24h'!K20,'02.11 Masaka-Maya-24h'!K20,'03.11 Masaka-Maya'!K20)</f>
        <v>0.42857142857142855</v>
      </c>
      <c r="L20" s="49">
        <f>AVERAGE('28.10 Masaka-Maya'!L20,'29.10 Masaka-Maya'!L20,'30.10 Masaka-Maya'!L20,'01.11 Masaka-Maya'!L20,'31.10 Masaka-Maya-24h'!L20,'02.11 Masaka-Maya-24h'!L20,'03.11 Masaka-Maya'!L20)</f>
        <v>2.2857142857142856</v>
      </c>
      <c r="M20" s="49">
        <f>AVERAGE('28.10 Masaka-Maya'!M20,'29.10 Masaka-Maya'!M20,'30.10 Masaka-Maya'!M20,'01.11 Masaka-Maya'!M20,'31.10 Masaka-Maya-24h'!M20,'02.11 Masaka-Maya-24h'!M20,'03.11 Masaka-Maya'!M20)</f>
        <v>20.714285714285715</v>
      </c>
      <c r="N20" s="49">
        <f>AVERAGE('28.10 Masaka-Maya'!N20,'29.10 Masaka-Maya'!N20,'30.10 Masaka-Maya'!N20,'01.11 Masaka-Maya'!N20,'31.10 Masaka-Maya-24h'!N20,'02.11 Masaka-Maya-24h'!N20,'03.11 Masaka-Maya'!N20)</f>
        <v>0</v>
      </c>
      <c r="O20" s="15">
        <f t="shared" si="0"/>
        <v>57.714285714285722</v>
      </c>
      <c r="P20" s="15">
        <f t="shared" si="1"/>
        <v>78.428571428571445</v>
      </c>
      <c r="R20" s="1" t="s">
        <v>16</v>
      </c>
      <c r="S20" s="17">
        <f t="shared" ref="S20:AF20" si="12">SUM(C50:C53)</f>
        <v>184.00000000000003</v>
      </c>
      <c r="T20" s="17">
        <f t="shared" si="12"/>
        <v>43.285714285714285</v>
      </c>
      <c r="U20" s="17">
        <f t="shared" si="12"/>
        <v>32.142857142857146</v>
      </c>
      <c r="V20" s="17">
        <f t="shared" si="12"/>
        <v>109.57142857142857</v>
      </c>
      <c r="W20" s="17">
        <f t="shared" si="12"/>
        <v>11.857142857142858</v>
      </c>
      <c r="X20" s="17">
        <f t="shared" si="12"/>
        <v>7.5714285714285712</v>
      </c>
      <c r="Y20" s="17">
        <f t="shared" si="12"/>
        <v>60.428571428571431</v>
      </c>
      <c r="Z20" s="17">
        <f t="shared" si="12"/>
        <v>10.142857142857142</v>
      </c>
      <c r="AA20" s="17">
        <f t="shared" si="12"/>
        <v>3.7142857142857144</v>
      </c>
      <c r="AB20" s="17">
        <f t="shared" si="12"/>
        <v>10.285714285714286</v>
      </c>
      <c r="AC20" s="17">
        <f t="shared" si="12"/>
        <v>132.28571428571428</v>
      </c>
      <c r="AD20" s="17">
        <f t="shared" si="12"/>
        <v>0</v>
      </c>
      <c r="AE20" s="31">
        <f t="shared" si="12"/>
        <v>473</v>
      </c>
      <c r="AF20" s="31">
        <f t="shared" si="12"/>
        <v>605.28571428571433</v>
      </c>
    </row>
    <row r="21" spans="2:32" ht="23.1" customHeight="1" x14ac:dyDescent="0.25">
      <c r="B21" s="23" t="s">
        <v>48</v>
      </c>
      <c r="C21" s="49">
        <f>AVERAGE('28.10 Masaka-Maya'!C21,'29.10 Masaka-Maya'!C21,'30.10 Masaka-Maya'!C21,'01.11 Masaka-Maya'!C21,'31.10 Masaka-Maya-24h'!C21,'02.11 Masaka-Maya-24h'!C21,'03.11 Masaka-Maya'!C21)</f>
        <v>18.428571428571427</v>
      </c>
      <c r="D21" s="49">
        <f>AVERAGE('28.10 Masaka-Maya'!D21,'29.10 Masaka-Maya'!D21,'30.10 Masaka-Maya'!D21,'01.11 Masaka-Maya'!D21,'31.10 Masaka-Maya-24h'!D21,'02.11 Masaka-Maya-24h'!D21,'03.11 Masaka-Maya'!D21)</f>
        <v>5</v>
      </c>
      <c r="E21" s="49">
        <f>AVERAGE('28.10 Masaka-Maya'!E21,'29.10 Masaka-Maya'!E21,'30.10 Masaka-Maya'!E21,'01.11 Masaka-Maya'!E21,'31.10 Masaka-Maya-24h'!E21,'02.11 Masaka-Maya-24h'!E21,'03.11 Masaka-Maya'!E21)</f>
        <v>1.4285714285714286</v>
      </c>
      <c r="F21" s="49">
        <f>AVERAGE('28.10 Masaka-Maya'!F21,'29.10 Masaka-Maya'!F21,'30.10 Masaka-Maya'!F21,'01.11 Masaka-Maya'!F21,'31.10 Masaka-Maya-24h'!F21,'02.11 Masaka-Maya-24h'!F21,'03.11 Masaka-Maya'!F21)</f>
        <v>21.142857142857142</v>
      </c>
      <c r="G21" s="49">
        <f>AVERAGE('28.10 Masaka-Maya'!G21,'29.10 Masaka-Maya'!G21,'30.10 Masaka-Maya'!G21,'01.11 Masaka-Maya'!G21,'31.10 Masaka-Maya-24h'!G21,'02.11 Masaka-Maya-24h'!G21,'03.11 Masaka-Maya'!G21)</f>
        <v>0.14285714285714285</v>
      </c>
      <c r="H21" s="49">
        <f>AVERAGE('28.10 Masaka-Maya'!H21,'29.10 Masaka-Maya'!H21,'30.10 Masaka-Maya'!H21,'01.11 Masaka-Maya'!H21,'31.10 Masaka-Maya-24h'!H21,'02.11 Masaka-Maya-24h'!H21,'03.11 Masaka-Maya'!H21)</f>
        <v>0.42857142857142855</v>
      </c>
      <c r="I21" s="49">
        <f>AVERAGE('28.10 Masaka-Maya'!I21,'29.10 Masaka-Maya'!I21,'30.10 Masaka-Maya'!I21,'01.11 Masaka-Maya'!I21,'31.10 Masaka-Maya-24h'!I21,'02.11 Masaka-Maya-24h'!I21,'03.11 Masaka-Maya'!I21)</f>
        <v>10.285714285714286</v>
      </c>
      <c r="J21" s="49">
        <f>AVERAGE('28.10 Masaka-Maya'!J21,'29.10 Masaka-Maya'!J21,'30.10 Masaka-Maya'!J21,'01.11 Masaka-Maya'!J21,'31.10 Masaka-Maya-24h'!J21,'02.11 Masaka-Maya-24h'!J21,'03.11 Masaka-Maya'!J21)</f>
        <v>1.2857142857142858</v>
      </c>
      <c r="K21" s="49">
        <f>AVERAGE('28.10 Masaka-Maya'!K21,'29.10 Masaka-Maya'!K21,'30.10 Masaka-Maya'!K21,'01.11 Masaka-Maya'!K21,'31.10 Masaka-Maya-24h'!K21,'02.11 Masaka-Maya-24h'!K21,'03.11 Masaka-Maya'!K21)</f>
        <v>0.14285714285714285</v>
      </c>
      <c r="L21" s="49">
        <f>AVERAGE('28.10 Masaka-Maya'!L21,'29.10 Masaka-Maya'!L21,'30.10 Masaka-Maya'!L21,'01.11 Masaka-Maya'!L21,'31.10 Masaka-Maya-24h'!L21,'02.11 Masaka-Maya-24h'!L21,'03.11 Masaka-Maya'!L21)</f>
        <v>1.4285714285714286</v>
      </c>
      <c r="M21" s="49">
        <f>AVERAGE('28.10 Masaka-Maya'!M21,'29.10 Masaka-Maya'!M21,'30.10 Masaka-Maya'!M21,'01.11 Masaka-Maya'!M21,'31.10 Masaka-Maya-24h'!M21,'02.11 Masaka-Maya-24h'!M21,'03.11 Masaka-Maya'!M21)</f>
        <v>27</v>
      </c>
      <c r="N21" s="49">
        <f>AVERAGE('28.10 Masaka-Maya'!N21,'29.10 Masaka-Maya'!N21,'30.10 Masaka-Maya'!N21,'01.11 Masaka-Maya'!N21,'31.10 Masaka-Maya-24h'!N21,'02.11 Masaka-Maya-24h'!N21,'03.11 Masaka-Maya'!N21)</f>
        <v>0</v>
      </c>
      <c r="O21" s="15">
        <f t="shared" si="0"/>
        <v>59.714285714285722</v>
      </c>
      <c r="P21" s="15">
        <f t="shared" si="1"/>
        <v>86.714285714285722</v>
      </c>
      <c r="R21" s="36" t="s">
        <v>20</v>
      </c>
      <c r="S21" s="34">
        <f t="shared" ref="S21:AF21" si="13">SUM(C54:C57)</f>
        <v>222.71428571428572</v>
      </c>
      <c r="T21" s="17">
        <f t="shared" si="13"/>
        <v>40.714285714285715</v>
      </c>
      <c r="U21" s="17">
        <f t="shared" si="13"/>
        <v>30</v>
      </c>
      <c r="V21" s="17">
        <f t="shared" si="13"/>
        <v>124.42857142857143</v>
      </c>
      <c r="W21" s="17">
        <f t="shared" si="13"/>
        <v>17.142857142857142</v>
      </c>
      <c r="X21" s="17">
        <f t="shared" si="13"/>
        <v>5.7142857142857144</v>
      </c>
      <c r="Y21" s="17">
        <f t="shared" si="13"/>
        <v>65</v>
      </c>
      <c r="Z21" s="17">
        <f t="shared" si="13"/>
        <v>12.285714285714285</v>
      </c>
      <c r="AA21" s="17">
        <f t="shared" si="13"/>
        <v>5.4285714285714279</v>
      </c>
      <c r="AB21" s="17">
        <f t="shared" si="13"/>
        <v>11.285714285714285</v>
      </c>
      <c r="AC21" s="17">
        <f t="shared" si="13"/>
        <v>125.71428571428571</v>
      </c>
      <c r="AD21" s="17">
        <f t="shared" si="13"/>
        <v>0</v>
      </c>
      <c r="AE21" s="31">
        <f t="shared" si="13"/>
        <v>534.71428571428567</v>
      </c>
      <c r="AF21" s="31">
        <f t="shared" si="13"/>
        <v>660.42857142857133</v>
      </c>
    </row>
    <row r="22" spans="2:32" ht="23.1" customHeight="1" x14ac:dyDescent="0.25">
      <c r="B22" s="23" t="s">
        <v>49</v>
      </c>
      <c r="C22" s="49">
        <f>AVERAGE('28.10 Masaka-Maya'!C22,'29.10 Masaka-Maya'!C22,'30.10 Masaka-Maya'!C22,'01.11 Masaka-Maya'!C22,'31.10 Masaka-Maya-24h'!C22,'02.11 Masaka-Maya-24h'!C22,'03.11 Masaka-Maya'!C22)</f>
        <v>16.142857142857142</v>
      </c>
      <c r="D22" s="49">
        <f>AVERAGE('28.10 Masaka-Maya'!D22,'29.10 Masaka-Maya'!D22,'30.10 Masaka-Maya'!D22,'01.11 Masaka-Maya'!D22,'31.10 Masaka-Maya-24h'!D22,'02.11 Masaka-Maya-24h'!D22,'03.11 Masaka-Maya'!D22)</f>
        <v>2.8571428571428572</v>
      </c>
      <c r="E22" s="49">
        <f>AVERAGE('28.10 Masaka-Maya'!E22,'29.10 Masaka-Maya'!E22,'30.10 Masaka-Maya'!E22,'01.11 Masaka-Maya'!E22,'31.10 Masaka-Maya-24h'!E22,'02.11 Masaka-Maya-24h'!E22,'03.11 Masaka-Maya'!E22)</f>
        <v>2.8571428571428572</v>
      </c>
      <c r="F22" s="49">
        <f>AVERAGE('28.10 Masaka-Maya'!F22,'29.10 Masaka-Maya'!F22,'30.10 Masaka-Maya'!F22,'01.11 Masaka-Maya'!F22,'31.10 Masaka-Maya-24h'!F22,'02.11 Masaka-Maya-24h'!F22,'03.11 Masaka-Maya'!F22)</f>
        <v>23</v>
      </c>
      <c r="G22" s="49">
        <f>AVERAGE('28.10 Masaka-Maya'!G22,'29.10 Masaka-Maya'!G22,'30.10 Masaka-Maya'!G22,'01.11 Masaka-Maya'!G22,'31.10 Masaka-Maya-24h'!G22,'02.11 Masaka-Maya-24h'!G22,'03.11 Masaka-Maya'!G22)</f>
        <v>0.42857142857142855</v>
      </c>
      <c r="H22" s="49">
        <f>AVERAGE('28.10 Masaka-Maya'!H22,'29.10 Masaka-Maya'!H22,'30.10 Masaka-Maya'!H22,'01.11 Masaka-Maya'!H22,'31.10 Masaka-Maya-24h'!H22,'02.11 Masaka-Maya-24h'!H22,'03.11 Masaka-Maya'!H22)</f>
        <v>0.5714285714285714</v>
      </c>
      <c r="I22" s="49">
        <f>AVERAGE('28.10 Masaka-Maya'!I22,'29.10 Masaka-Maya'!I22,'30.10 Masaka-Maya'!I22,'01.11 Masaka-Maya'!I22,'31.10 Masaka-Maya-24h'!I22,'02.11 Masaka-Maya-24h'!I22,'03.11 Masaka-Maya'!I22)</f>
        <v>11.142857142857142</v>
      </c>
      <c r="J22" s="49">
        <f>AVERAGE('28.10 Masaka-Maya'!J22,'29.10 Masaka-Maya'!J22,'30.10 Masaka-Maya'!J22,'01.11 Masaka-Maya'!J22,'31.10 Masaka-Maya-24h'!J22,'02.11 Masaka-Maya-24h'!J22,'03.11 Masaka-Maya'!J22)</f>
        <v>2</v>
      </c>
      <c r="K22" s="49">
        <f>AVERAGE('28.10 Masaka-Maya'!K22,'29.10 Masaka-Maya'!K22,'30.10 Masaka-Maya'!K22,'01.11 Masaka-Maya'!K22,'31.10 Masaka-Maya-24h'!K22,'02.11 Masaka-Maya-24h'!K22,'03.11 Masaka-Maya'!K22)</f>
        <v>0.8571428571428571</v>
      </c>
      <c r="L22" s="49">
        <f>AVERAGE('28.10 Masaka-Maya'!L22,'29.10 Masaka-Maya'!L22,'30.10 Masaka-Maya'!L22,'01.11 Masaka-Maya'!L22,'31.10 Masaka-Maya-24h'!L22,'02.11 Masaka-Maya-24h'!L22,'03.11 Masaka-Maya'!L22)</f>
        <v>2.4285714285714284</v>
      </c>
      <c r="M22" s="49">
        <f>AVERAGE('28.10 Masaka-Maya'!M22,'29.10 Masaka-Maya'!M22,'30.10 Masaka-Maya'!M22,'01.11 Masaka-Maya'!M22,'31.10 Masaka-Maya-24h'!M22,'02.11 Masaka-Maya-24h'!M22,'03.11 Masaka-Maya'!M22)</f>
        <v>24.571428571428573</v>
      </c>
      <c r="N22" s="49">
        <f>AVERAGE('28.10 Masaka-Maya'!N22,'29.10 Masaka-Maya'!N22,'30.10 Masaka-Maya'!N22,'01.11 Masaka-Maya'!N22,'31.10 Masaka-Maya-24h'!N22,'02.11 Masaka-Maya-24h'!N22,'03.11 Masaka-Maya'!N22)</f>
        <v>0</v>
      </c>
      <c r="O22" s="15">
        <f t="shared" si="0"/>
        <v>62.285714285714285</v>
      </c>
      <c r="P22" s="15">
        <f t="shared" si="1"/>
        <v>86.857142857142861</v>
      </c>
      <c r="R22" s="1" t="s">
        <v>146</v>
      </c>
      <c r="S22" s="34">
        <f>SUM(C58:C61)</f>
        <v>123</v>
      </c>
      <c r="T22" s="34">
        <f t="shared" ref="T22:AF22" si="14">SUM(D58:D61)</f>
        <v>41</v>
      </c>
      <c r="U22" s="34">
        <f t="shared" si="14"/>
        <v>34</v>
      </c>
      <c r="V22" s="34">
        <f t="shared" si="14"/>
        <v>153</v>
      </c>
      <c r="W22" s="34">
        <f t="shared" si="14"/>
        <v>22.5</v>
      </c>
      <c r="X22" s="34">
        <f t="shared" si="14"/>
        <v>18</v>
      </c>
      <c r="Y22" s="34">
        <f t="shared" si="14"/>
        <v>67</v>
      </c>
      <c r="Z22" s="34">
        <f t="shared" si="14"/>
        <v>15.5</v>
      </c>
      <c r="AA22" s="34">
        <f t="shared" si="14"/>
        <v>13</v>
      </c>
      <c r="AB22" s="34">
        <f t="shared" si="14"/>
        <v>21.5</v>
      </c>
      <c r="AC22" s="34">
        <f t="shared" si="14"/>
        <v>90</v>
      </c>
      <c r="AD22" s="34">
        <f t="shared" si="14"/>
        <v>0</v>
      </c>
      <c r="AE22" s="31">
        <f t="shared" si="14"/>
        <v>508.5</v>
      </c>
      <c r="AF22" s="31">
        <f t="shared" si="14"/>
        <v>598.5</v>
      </c>
    </row>
    <row r="23" spans="2:32" ht="23.1" customHeight="1" x14ac:dyDescent="0.25">
      <c r="B23" s="23" t="s">
        <v>50</v>
      </c>
      <c r="C23" s="49">
        <f>AVERAGE('28.10 Masaka-Maya'!C23,'29.10 Masaka-Maya'!C23,'30.10 Masaka-Maya'!C23,'01.11 Masaka-Maya'!C23,'31.10 Masaka-Maya-24h'!C23,'02.11 Masaka-Maya-24h'!C23,'03.11 Masaka-Maya'!C23)</f>
        <v>19.428571428571427</v>
      </c>
      <c r="D23" s="49">
        <f>AVERAGE('28.10 Masaka-Maya'!D23,'29.10 Masaka-Maya'!D23,'30.10 Masaka-Maya'!D23,'01.11 Masaka-Maya'!D23,'31.10 Masaka-Maya-24h'!D23,'02.11 Masaka-Maya-24h'!D23,'03.11 Masaka-Maya'!D23)</f>
        <v>2.2857142857142856</v>
      </c>
      <c r="E23" s="49">
        <f>AVERAGE('28.10 Masaka-Maya'!E23,'29.10 Masaka-Maya'!E23,'30.10 Masaka-Maya'!E23,'01.11 Masaka-Maya'!E23,'31.10 Masaka-Maya-24h'!E23,'02.11 Masaka-Maya-24h'!E23,'03.11 Masaka-Maya'!E23)</f>
        <v>3.1428571428571428</v>
      </c>
      <c r="F23" s="49">
        <f>AVERAGE('28.10 Masaka-Maya'!F23,'29.10 Masaka-Maya'!F23,'30.10 Masaka-Maya'!F23,'01.11 Masaka-Maya'!F23,'31.10 Masaka-Maya-24h'!F23,'02.11 Masaka-Maya-24h'!F23,'03.11 Masaka-Maya'!F23)</f>
        <v>24.571428571428573</v>
      </c>
      <c r="G23" s="49">
        <f>AVERAGE('28.10 Masaka-Maya'!G23,'29.10 Masaka-Maya'!G23,'30.10 Masaka-Maya'!G23,'01.11 Masaka-Maya'!G23,'31.10 Masaka-Maya-24h'!G23,'02.11 Masaka-Maya-24h'!G23,'03.11 Masaka-Maya'!G23)</f>
        <v>0.7142857142857143</v>
      </c>
      <c r="H23" s="49">
        <f>AVERAGE('28.10 Masaka-Maya'!H23,'29.10 Masaka-Maya'!H23,'30.10 Masaka-Maya'!H23,'01.11 Masaka-Maya'!H23,'31.10 Masaka-Maya-24h'!H23,'02.11 Masaka-Maya-24h'!H23,'03.11 Masaka-Maya'!H23)</f>
        <v>0.2857142857142857</v>
      </c>
      <c r="I23" s="49">
        <f>AVERAGE('28.10 Masaka-Maya'!I23,'29.10 Masaka-Maya'!I23,'30.10 Masaka-Maya'!I23,'01.11 Masaka-Maya'!I23,'31.10 Masaka-Maya-24h'!I23,'02.11 Masaka-Maya-24h'!I23,'03.11 Masaka-Maya'!I23)</f>
        <v>9</v>
      </c>
      <c r="J23" s="49">
        <f>AVERAGE('28.10 Masaka-Maya'!J23,'29.10 Masaka-Maya'!J23,'30.10 Masaka-Maya'!J23,'01.11 Masaka-Maya'!J23,'31.10 Masaka-Maya-24h'!J23,'02.11 Masaka-Maya-24h'!J23,'03.11 Masaka-Maya'!J23)</f>
        <v>1.2857142857142858</v>
      </c>
      <c r="K23" s="49">
        <f>AVERAGE('28.10 Masaka-Maya'!K23,'29.10 Masaka-Maya'!K23,'30.10 Masaka-Maya'!K23,'01.11 Masaka-Maya'!K23,'31.10 Masaka-Maya-24h'!K23,'02.11 Masaka-Maya-24h'!K23,'03.11 Masaka-Maya'!K23)</f>
        <v>1.7142857142857142</v>
      </c>
      <c r="L23" s="49">
        <f>AVERAGE('28.10 Masaka-Maya'!L23,'29.10 Masaka-Maya'!L23,'30.10 Masaka-Maya'!L23,'01.11 Masaka-Maya'!L23,'31.10 Masaka-Maya-24h'!L23,'02.11 Masaka-Maya-24h'!L23,'03.11 Masaka-Maya'!L23)</f>
        <v>1.7142857142857142</v>
      </c>
      <c r="M23" s="49">
        <f>AVERAGE('28.10 Masaka-Maya'!M23,'29.10 Masaka-Maya'!M23,'30.10 Masaka-Maya'!M23,'01.11 Masaka-Maya'!M23,'31.10 Masaka-Maya-24h'!M23,'02.11 Masaka-Maya-24h'!M23,'03.11 Masaka-Maya'!M23)</f>
        <v>19</v>
      </c>
      <c r="N23" s="49">
        <f>AVERAGE('28.10 Masaka-Maya'!N23,'29.10 Masaka-Maya'!N23,'30.10 Masaka-Maya'!N23,'01.11 Masaka-Maya'!N23,'31.10 Masaka-Maya-24h'!N23,'02.11 Masaka-Maya-24h'!N23,'03.11 Masaka-Maya'!N23)</f>
        <v>0</v>
      </c>
      <c r="O23" s="15">
        <f t="shared" si="0"/>
        <v>64.142857142857139</v>
      </c>
      <c r="P23" s="15">
        <f t="shared" si="1"/>
        <v>83.142857142857139</v>
      </c>
      <c r="R23" s="1" t="s">
        <v>147</v>
      </c>
      <c r="S23" s="34">
        <f>SUM(C62:C65)</f>
        <v>118</v>
      </c>
      <c r="T23" s="34">
        <f t="shared" ref="T23:AF23" si="15">SUM(D62:D65)</f>
        <v>39</v>
      </c>
      <c r="U23" s="34">
        <f t="shared" si="15"/>
        <v>26.5</v>
      </c>
      <c r="V23" s="34">
        <f t="shared" si="15"/>
        <v>96.5</v>
      </c>
      <c r="W23" s="34">
        <f t="shared" si="15"/>
        <v>11.5</v>
      </c>
      <c r="X23" s="34">
        <f t="shared" si="15"/>
        <v>10.5</v>
      </c>
      <c r="Y23" s="34">
        <f t="shared" si="15"/>
        <v>71</v>
      </c>
      <c r="Z23" s="34">
        <f t="shared" si="15"/>
        <v>9.5</v>
      </c>
      <c r="AA23" s="34">
        <f t="shared" si="15"/>
        <v>13</v>
      </c>
      <c r="AB23" s="34">
        <f t="shared" si="15"/>
        <v>9.5</v>
      </c>
      <c r="AC23" s="34">
        <f t="shared" si="15"/>
        <v>78</v>
      </c>
      <c r="AD23" s="34">
        <f t="shared" si="15"/>
        <v>0</v>
      </c>
      <c r="AE23" s="31">
        <f t="shared" si="15"/>
        <v>405</v>
      </c>
      <c r="AF23" s="31">
        <f t="shared" si="15"/>
        <v>483</v>
      </c>
    </row>
    <row r="24" spans="2:32" ht="23.1" customHeight="1" x14ac:dyDescent="0.25">
      <c r="B24" s="23" t="s">
        <v>51</v>
      </c>
      <c r="C24" s="49">
        <f>AVERAGE('28.10 Masaka-Maya'!C24,'29.10 Masaka-Maya'!C24,'30.10 Masaka-Maya'!C24,'01.11 Masaka-Maya'!C24,'31.10 Masaka-Maya-24h'!C24,'02.11 Masaka-Maya-24h'!C24,'03.11 Masaka-Maya'!C24)</f>
        <v>17.285714285714285</v>
      </c>
      <c r="D24" s="49">
        <f>AVERAGE('28.10 Masaka-Maya'!D24,'29.10 Masaka-Maya'!D24,'30.10 Masaka-Maya'!D24,'01.11 Masaka-Maya'!D24,'31.10 Masaka-Maya-24h'!D24,'02.11 Masaka-Maya-24h'!D24,'03.11 Masaka-Maya'!D24)</f>
        <v>4</v>
      </c>
      <c r="E24" s="49">
        <f>AVERAGE('28.10 Masaka-Maya'!E24,'29.10 Masaka-Maya'!E24,'30.10 Masaka-Maya'!E24,'01.11 Masaka-Maya'!E24,'31.10 Masaka-Maya-24h'!E24,'02.11 Masaka-Maya-24h'!E24,'03.11 Masaka-Maya'!E24)</f>
        <v>3</v>
      </c>
      <c r="F24" s="49">
        <f>AVERAGE('28.10 Masaka-Maya'!F24,'29.10 Masaka-Maya'!F24,'30.10 Masaka-Maya'!F24,'01.11 Masaka-Maya'!F24,'31.10 Masaka-Maya-24h'!F24,'02.11 Masaka-Maya-24h'!F24,'03.11 Masaka-Maya'!F24)</f>
        <v>24.714285714285715</v>
      </c>
      <c r="G24" s="49">
        <f>AVERAGE('28.10 Masaka-Maya'!G24,'29.10 Masaka-Maya'!G24,'30.10 Masaka-Maya'!G24,'01.11 Masaka-Maya'!G24,'31.10 Masaka-Maya-24h'!G24,'02.11 Masaka-Maya-24h'!G24,'03.11 Masaka-Maya'!G24)</f>
        <v>1.1428571428571428</v>
      </c>
      <c r="H24" s="49">
        <f>AVERAGE('28.10 Masaka-Maya'!H24,'29.10 Masaka-Maya'!H24,'30.10 Masaka-Maya'!H24,'01.11 Masaka-Maya'!H24,'31.10 Masaka-Maya-24h'!H24,'02.11 Masaka-Maya-24h'!H24,'03.11 Masaka-Maya'!H24)</f>
        <v>0.5714285714285714</v>
      </c>
      <c r="I24" s="49">
        <f>AVERAGE('28.10 Masaka-Maya'!I24,'29.10 Masaka-Maya'!I24,'30.10 Masaka-Maya'!I24,'01.11 Masaka-Maya'!I24,'31.10 Masaka-Maya-24h'!I24,'02.11 Masaka-Maya-24h'!I24,'03.11 Masaka-Maya'!I24)</f>
        <v>10.142857142857142</v>
      </c>
      <c r="J24" s="49">
        <f>AVERAGE('28.10 Masaka-Maya'!J24,'29.10 Masaka-Maya'!J24,'30.10 Masaka-Maya'!J24,'01.11 Masaka-Maya'!J24,'31.10 Masaka-Maya-24h'!J24,'02.11 Masaka-Maya-24h'!J24,'03.11 Masaka-Maya'!J24)</f>
        <v>1.7142857142857142</v>
      </c>
      <c r="K24" s="49">
        <f>AVERAGE('28.10 Masaka-Maya'!K24,'29.10 Masaka-Maya'!K24,'30.10 Masaka-Maya'!K24,'01.11 Masaka-Maya'!K24,'31.10 Masaka-Maya-24h'!K24,'02.11 Masaka-Maya-24h'!K24,'03.11 Masaka-Maya'!K24)</f>
        <v>1.1428571428571428</v>
      </c>
      <c r="L24" s="49">
        <f>AVERAGE('28.10 Masaka-Maya'!L24,'29.10 Masaka-Maya'!L24,'30.10 Masaka-Maya'!L24,'01.11 Masaka-Maya'!L24,'31.10 Masaka-Maya-24h'!L24,'02.11 Masaka-Maya-24h'!L24,'03.11 Masaka-Maya'!L24)</f>
        <v>2.5714285714285716</v>
      </c>
      <c r="M24" s="49">
        <f>AVERAGE('28.10 Masaka-Maya'!M24,'29.10 Masaka-Maya'!M24,'30.10 Masaka-Maya'!M24,'01.11 Masaka-Maya'!M24,'31.10 Masaka-Maya-24h'!M24,'02.11 Masaka-Maya-24h'!M24,'03.11 Masaka-Maya'!M24)</f>
        <v>22.142857142857142</v>
      </c>
      <c r="N24" s="49">
        <f>AVERAGE('28.10 Masaka-Maya'!N24,'29.10 Masaka-Maya'!N24,'30.10 Masaka-Maya'!N24,'01.11 Masaka-Maya'!N24,'31.10 Masaka-Maya-24h'!N24,'02.11 Masaka-Maya-24h'!N24,'03.11 Masaka-Maya'!N24)</f>
        <v>0</v>
      </c>
      <c r="O24" s="15">
        <f t="shared" si="0"/>
        <v>66.285714285714292</v>
      </c>
      <c r="P24" s="15">
        <f t="shared" si="1"/>
        <v>88.428571428571431</v>
      </c>
      <c r="R24" s="1" t="s">
        <v>148</v>
      </c>
      <c r="S24" s="34">
        <f>SUM(C66:C69)</f>
        <v>136</v>
      </c>
      <c r="T24" s="34">
        <f t="shared" ref="T24:AF24" si="16">SUM(D66:D69)</f>
        <v>30.5</v>
      </c>
      <c r="U24" s="34">
        <f t="shared" si="16"/>
        <v>23.5</v>
      </c>
      <c r="V24" s="34">
        <f t="shared" si="16"/>
        <v>91.5</v>
      </c>
      <c r="W24" s="34">
        <f t="shared" si="16"/>
        <v>11.5</v>
      </c>
      <c r="X24" s="34">
        <f t="shared" si="16"/>
        <v>7</v>
      </c>
      <c r="Y24" s="34">
        <f t="shared" si="16"/>
        <v>73.5</v>
      </c>
      <c r="Z24" s="34">
        <f t="shared" si="16"/>
        <v>18.5</v>
      </c>
      <c r="AA24" s="34">
        <f t="shared" si="16"/>
        <v>11.5</v>
      </c>
      <c r="AB24" s="34">
        <f t="shared" si="16"/>
        <v>12.5</v>
      </c>
      <c r="AC24" s="34">
        <f t="shared" si="16"/>
        <v>47</v>
      </c>
      <c r="AD24" s="34">
        <f t="shared" si="16"/>
        <v>0</v>
      </c>
      <c r="AE24" s="31">
        <f t="shared" si="16"/>
        <v>416</v>
      </c>
      <c r="AF24" s="31">
        <f t="shared" si="16"/>
        <v>463</v>
      </c>
    </row>
    <row r="25" spans="2:32" ht="23.1" customHeight="1" x14ac:dyDescent="0.25">
      <c r="B25" s="23" t="s">
        <v>52</v>
      </c>
      <c r="C25" s="49">
        <f>AVERAGE('28.10 Masaka-Maya'!C25,'29.10 Masaka-Maya'!C25,'30.10 Masaka-Maya'!C25,'01.11 Masaka-Maya'!C25,'31.10 Masaka-Maya-24h'!C25,'02.11 Masaka-Maya-24h'!C25,'03.11 Masaka-Maya'!C25)</f>
        <v>17</v>
      </c>
      <c r="D25" s="49">
        <f>AVERAGE('28.10 Masaka-Maya'!D25,'29.10 Masaka-Maya'!D25,'30.10 Masaka-Maya'!D25,'01.11 Masaka-Maya'!D25,'31.10 Masaka-Maya-24h'!D25,'02.11 Masaka-Maya-24h'!D25,'03.11 Masaka-Maya'!D25)</f>
        <v>3.8571428571428572</v>
      </c>
      <c r="E25" s="49">
        <f>AVERAGE('28.10 Masaka-Maya'!E25,'29.10 Masaka-Maya'!E25,'30.10 Masaka-Maya'!E25,'01.11 Masaka-Maya'!E25,'31.10 Masaka-Maya-24h'!E25,'02.11 Masaka-Maya-24h'!E25,'03.11 Masaka-Maya'!E25)</f>
        <v>3.8571428571428572</v>
      </c>
      <c r="F25" s="49">
        <f>AVERAGE('28.10 Masaka-Maya'!F25,'29.10 Masaka-Maya'!F25,'30.10 Masaka-Maya'!F25,'01.11 Masaka-Maya'!F25,'31.10 Masaka-Maya-24h'!F25,'02.11 Masaka-Maya-24h'!F25,'03.11 Masaka-Maya'!F25)</f>
        <v>21.714285714285715</v>
      </c>
      <c r="G25" s="49">
        <f>AVERAGE('28.10 Masaka-Maya'!G25,'29.10 Masaka-Maya'!G25,'30.10 Masaka-Maya'!G25,'01.11 Masaka-Maya'!G25,'31.10 Masaka-Maya-24h'!G25,'02.11 Masaka-Maya-24h'!G25,'03.11 Masaka-Maya'!G25)</f>
        <v>0.14285714285714285</v>
      </c>
      <c r="H25" s="49">
        <f>AVERAGE('28.10 Masaka-Maya'!H25,'29.10 Masaka-Maya'!H25,'30.10 Masaka-Maya'!H25,'01.11 Masaka-Maya'!H25,'31.10 Masaka-Maya-24h'!H25,'02.11 Masaka-Maya-24h'!H25,'03.11 Masaka-Maya'!H25)</f>
        <v>0.5714285714285714</v>
      </c>
      <c r="I25" s="49">
        <f>AVERAGE('28.10 Masaka-Maya'!I25,'29.10 Masaka-Maya'!I25,'30.10 Masaka-Maya'!I25,'01.11 Masaka-Maya'!I25,'31.10 Masaka-Maya-24h'!I25,'02.11 Masaka-Maya-24h'!I25,'03.11 Masaka-Maya'!I25)</f>
        <v>12.571428571428571</v>
      </c>
      <c r="J25" s="49">
        <f>AVERAGE('28.10 Masaka-Maya'!J25,'29.10 Masaka-Maya'!J25,'30.10 Masaka-Maya'!J25,'01.11 Masaka-Maya'!J25,'31.10 Masaka-Maya-24h'!J25,'02.11 Masaka-Maya-24h'!J25,'03.11 Masaka-Maya'!J25)</f>
        <v>2.1428571428571428</v>
      </c>
      <c r="K25" s="49">
        <f>AVERAGE('28.10 Masaka-Maya'!K25,'29.10 Masaka-Maya'!K25,'30.10 Masaka-Maya'!K25,'01.11 Masaka-Maya'!K25,'31.10 Masaka-Maya-24h'!K25,'02.11 Masaka-Maya-24h'!K25,'03.11 Masaka-Maya'!K25)</f>
        <v>1.2857142857142858</v>
      </c>
      <c r="L25" s="49">
        <f>AVERAGE('28.10 Masaka-Maya'!L25,'29.10 Masaka-Maya'!L25,'30.10 Masaka-Maya'!L25,'01.11 Masaka-Maya'!L25,'31.10 Masaka-Maya-24h'!L25,'02.11 Masaka-Maya-24h'!L25,'03.11 Masaka-Maya'!L25)</f>
        <v>2.8571428571428572</v>
      </c>
      <c r="M25" s="49">
        <f>AVERAGE('28.10 Masaka-Maya'!M25,'29.10 Masaka-Maya'!M25,'30.10 Masaka-Maya'!M25,'01.11 Masaka-Maya'!M25,'31.10 Masaka-Maya-24h'!M25,'02.11 Masaka-Maya-24h'!M25,'03.11 Masaka-Maya'!M25)</f>
        <v>21.285714285714285</v>
      </c>
      <c r="N25" s="49">
        <f>AVERAGE('28.10 Masaka-Maya'!N25,'29.10 Masaka-Maya'!N25,'30.10 Masaka-Maya'!N25,'01.11 Masaka-Maya'!N25,'31.10 Masaka-Maya-24h'!N25,'02.11 Masaka-Maya-24h'!N25,'03.11 Masaka-Maya'!N25)</f>
        <v>0</v>
      </c>
      <c r="O25" s="15">
        <f t="shared" si="0"/>
        <v>66</v>
      </c>
      <c r="P25" s="15">
        <f t="shared" si="1"/>
        <v>87.285714285714278</v>
      </c>
      <c r="R25" s="1" t="s">
        <v>149</v>
      </c>
      <c r="S25" s="34">
        <f>SUM(C70:C73)</f>
        <v>67.5</v>
      </c>
      <c r="T25" s="34">
        <f t="shared" ref="T25:AF25" si="17">SUM(D70:D73)</f>
        <v>21.5</v>
      </c>
      <c r="U25" s="34">
        <f t="shared" si="17"/>
        <v>16</v>
      </c>
      <c r="V25" s="34">
        <f t="shared" si="17"/>
        <v>59.5</v>
      </c>
      <c r="W25" s="34">
        <f t="shared" si="17"/>
        <v>9</v>
      </c>
      <c r="X25" s="34">
        <f t="shared" si="17"/>
        <v>6.5</v>
      </c>
      <c r="Y25" s="34">
        <f t="shared" si="17"/>
        <v>55.5</v>
      </c>
      <c r="Z25" s="34">
        <f t="shared" si="17"/>
        <v>19</v>
      </c>
      <c r="AA25" s="34">
        <f t="shared" si="17"/>
        <v>17</v>
      </c>
      <c r="AB25" s="34">
        <f t="shared" si="17"/>
        <v>19</v>
      </c>
      <c r="AC25" s="34">
        <f t="shared" si="17"/>
        <v>39</v>
      </c>
      <c r="AD25" s="34">
        <f t="shared" si="17"/>
        <v>0</v>
      </c>
      <c r="AE25" s="31">
        <f t="shared" si="17"/>
        <v>290.5</v>
      </c>
      <c r="AF25" s="31">
        <f t="shared" si="17"/>
        <v>329.5</v>
      </c>
    </row>
    <row r="26" spans="2:32" ht="23.1" customHeight="1" x14ac:dyDescent="0.25">
      <c r="B26" s="23" t="s">
        <v>53</v>
      </c>
      <c r="C26" s="49">
        <f>AVERAGE('28.10 Masaka-Maya'!C26,'29.10 Masaka-Maya'!C26,'30.10 Masaka-Maya'!C26,'01.11 Masaka-Maya'!C26,'31.10 Masaka-Maya-24h'!C26,'02.11 Masaka-Maya-24h'!C26,'03.11 Masaka-Maya'!C26)</f>
        <v>16.714285714285715</v>
      </c>
      <c r="D26" s="49">
        <f>AVERAGE('28.10 Masaka-Maya'!D26,'29.10 Masaka-Maya'!D26,'30.10 Masaka-Maya'!D26,'01.11 Masaka-Maya'!D26,'31.10 Masaka-Maya-24h'!D26,'02.11 Masaka-Maya-24h'!D26,'03.11 Masaka-Maya'!D26)</f>
        <v>4.2857142857142856</v>
      </c>
      <c r="E26" s="49">
        <f>AVERAGE('28.10 Masaka-Maya'!E26,'29.10 Masaka-Maya'!E26,'30.10 Masaka-Maya'!E26,'01.11 Masaka-Maya'!E26,'31.10 Masaka-Maya-24h'!E26,'02.11 Masaka-Maya-24h'!E26,'03.11 Masaka-Maya'!E26)</f>
        <v>2.7142857142857144</v>
      </c>
      <c r="F26" s="49">
        <f>AVERAGE('28.10 Masaka-Maya'!F26,'29.10 Masaka-Maya'!F26,'30.10 Masaka-Maya'!F26,'01.11 Masaka-Maya'!F26,'31.10 Masaka-Maya-24h'!F26,'02.11 Masaka-Maya-24h'!F26,'03.11 Masaka-Maya'!F26)</f>
        <v>21</v>
      </c>
      <c r="G26" s="49">
        <f>AVERAGE('28.10 Masaka-Maya'!G26,'29.10 Masaka-Maya'!G26,'30.10 Masaka-Maya'!G26,'01.11 Masaka-Maya'!G26,'31.10 Masaka-Maya-24h'!G26,'02.11 Masaka-Maya-24h'!G26,'03.11 Masaka-Maya'!G26)</f>
        <v>0.2857142857142857</v>
      </c>
      <c r="H26" s="49">
        <f>AVERAGE('28.10 Masaka-Maya'!H26,'29.10 Masaka-Maya'!H26,'30.10 Masaka-Maya'!H26,'01.11 Masaka-Maya'!H26,'31.10 Masaka-Maya-24h'!H26,'02.11 Masaka-Maya-24h'!H26,'03.11 Masaka-Maya'!H26)</f>
        <v>0.5714285714285714</v>
      </c>
      <c r="I26" s="49">
        <f>AVERAGE('28.10 Masaka-Maya'!I26,'29.10 Masaka-Maya'!I26,'30.10 Masaka-Maya'!I26,'01.11 Masaka-Maya'!I26,'31.10 Masaka-Maya-24h'!I26,'02.11 Masaka-Maya-24h'!I26,'03.11 Masaka-Maya'!I26)</f>
        <v>8.8571428571428577</v>
      </c>
      <c r="J26" s="49">
        <f>AVERAGE('28.10 Masaka-Maya'!J26,'29.10 Masaka-Maya'!J26,'30.10 Masaka-Maya'!J26,'01.11 Masaka-Maya'!J26,'31.10 Masaka-Maya-24h'!J26,'02.11 Masaka-Maya-24h'!J26,'03.11 Masaka-Maya'!J26)</f>
        <v>1.4285714285714286</v>
      </c>
      <c r="K26" s="49">
        <f>AVERAGE('28.10 Masaka-Maya'!K26,'29.10 Masaka-Maya'!K26,'30.10 Masaka-Maya'!K26,'01.11 Masaka-Maya'!K26,'31.10 Masaka-Maya-24h'!K26,'02.11 Masaka-Maya-24h'!K26,'03.11 Masaka-Maya'!K26)</f>
        <v>0.42857142857142855</v>
      </c>
      <c r="L26" s="49">
        <f>AVERAGE('28.10 Masaka-Maya'!L26,'29.10 Masaka-Maya'!L26,'30.10 Masaka-Maya'!L26,'01.11 Masaka-Maya'!L26,'31.10 Masaka-Maya-24h'!L26,'02.11 Masaka-Maya-24h'!L26,'03.11 Masaka-Maya'!L26)</f>
        <v>2</v>
      </c>
      <c r="M26" s="49">
        <f>AVERAGE('28.10 Masaka-Maya'!M26,'29.10 Masaka-Maya'!M26,'30.10 Masaka-Maya'!M26,'01.11 Masaka-Maya'!M26,'31.10 Masaka-Maya-24h'!M26,'02.11 Masaka-Maya-24h'!M26,'03.11 Masaka-Maya'!M26)</f>
        <v>20.571428571428573</v>
      </c>
      <c r="N26" s="49">
        <f>AVERAGE('28.10 Masaka-Maya'!N26,'29.10 Masaka-Maya'!N26,'30.10 Masaka-Maya'!N26,'01.11 Masaka-Maya'!N26,'31.10 Masaka-Maya-24h'!N26,'02.11 Masaka-Maya-24h'!N26,'03.11 Masaka-Maya'!N26)</f>
        <v>0</v>
      </c>
      <c r="O26" s="15">
        <f t="shared" si="0"/>
        <v>58.285714285714292</v>
      </c>
      <c r="P26" s="15">
        <f t="shared" si="1"/>
        <v>78.857142857142861</v>
      </c>
      <c r="R26" s="1" t="s">
        <v>150</v>
      </c>
      <c r="S26" s="34">
        <f>SUM(C74:C77)</f>
        <v>63.5</v>
      </c>
      <c r="T26" s="34">
        <f t="shared" ref="T26:AF26" si="18">SUM(D74:D77)</f>
        <v>17.5</v>
      </c>
      <c r="U26" s="34">
        <f t="shared" si="18"/>
        <v>17.5</v>
      </c>
      <c r="V26" s="34">
        <f t="shared" si="18"/>
        <v>42.5</v>
      </c>
      <c r="W26" s="34">
        <f t="shared" si="18"/>
        <v>9</v>
      </c>
      <c r="X26" s="34">
        <f t="shared" si="18"/>
        <v>6</v>
      </c>
      <c r="Y26" s="34">
        <f t="shared" si="18"/>
        <v>54</v>
      </c>
      <c r="Z26" s="34">
        <f t="shared" si="18"/>
        <v>26</v>
      </c>
      <c r="AA26" s="34">
        <f t="shared" si="18"/>
        <v>22</v>
      </c>
      <c r="AB26" s="34">
        <f t="shared" si="18"/>
        <v>8</v>
      </c>
      <c r="AC26" s="34">
        <f t="shared" si="18"/>
        <v>20.5</v>
      </c>
      <c r="AD26" s="34">
        <f t="shared" si="18"/>
        <v>0</v>
      </c>
      <c r="AE26" s="31">
        <f t="shared" si="18"/>
        <v>266</v>
      </c>
      <c r="AF26" s="31">
        <f t="shared" si="18"/>
        <v>286.5</v>
      </c>
    </row>
    <row r="27" spans="2:32" ht="23.1" customHeight="1" x14ac:dyDescent="0.25">
      <c r="B27" s="23" t="s">
        <v>54</v>
      </c>
      <c r="C27" s="49">
        <f>AVERAGE('28.10 Masaka-Maya'!C27,'29.10 Masaka-Maya'!C27,'30.10 Masaka-Maya'!C27,'01.11 Masaka-Maya'!C27,'31.10 Masaka-Maya-24h'!C27,'02.11 Masaka-Maya-24h'!C27,'03.11 Masaka-Maya'!C27)</f>
        <v>21.285714285714285</v>
      </c>
      <c r="D27" s="49">
        <f>AVERAGE('28.10 Masaka-Maya'!D27,'29.10 Masaka-Maya'!D27,'30.10 Masaka-Maya'!D27,'01.11 Masaka-Maya'!D27,'31.10 Masaka-Maya-24h'!D27,'02.11 Masaka-Maya-24h'!D27,'03.11 Masaka-Maya'!D27)</f>
        <v>2.7142857142857144</v>
      </c>
      <c r="E27" s="49">
        <f>AVERAGE('28.10 Masaka-Maya'!E27,'29.10 Masaka-Maya'!E27,'30.10 Masaka-Maya'!E27,'01.11 Masaka-Maya'!E27,'31.10 Masaka-Maya-24h'!E27,'02.11 Masaka-Maya-24h'!E27,'03.11 Masaka-Maya'!E27)</f>
        <v>3.7142857142857144</v>
      </c>
      <c r="F27" s="49">
        <f>AVERAGE('28.10 Masaka-Maya'!F27,'29.10 Masaka-Maya'!F27,'30.10 Masaka-Maya'!F27,'01.11 Masaka-Maya'!F27,'31.10 Masaka-Maya-24h'!F27,'02.11 Masaka-Maya-24h'!F27,'03.11 Masaka-Maya'!F27)</f>
        <v>22.142857142857142</v>
      </c>
      <c r="G27" s="49">
        <f>AVERAGE('28.10 Masaka-Maya'!G27,'29.10 Masaka-Maya'!G27,'30.10 Masaka-Maya'!G27,'01.11 Masaka-Maya'!G27,'31.10 Masaka-Maya-24h'!G27,'02.11 Masaka-Maya-24h'!G27,'03.11 Masaka-Maya'!G27)</f>
        <v>0</v>
      </c>
      <c r="H27" s="49">
        <f>AVERAGE('28.10 Masaka-Maya'!H27,'29.10 Masaka-Maya'!H27,'30.10 Masaka-Maya'!H27,'01.11 Masaka-Maya'!H27,'31.10 Masaka-Maya-24h'!H27,'02.11 Masaka-Maya-24h'!H27,'03.11 Masaka-Maya'!H27)</f>
        <v>0.2857142857142857</v>
      </c>
      <c r="I27" s="49">
        <f>AVERAGE('28.10 Masaka-Maya'!I27,'29.10 Masaka-Maya'!I27,'30.10 Masaka-Maya'!I27,'01.11 Masaka-Maya'!I27,'31.10 Masaka-Maya-24h'!I27,'02.11 Masaka-Maya-24h'!I27,'03.11 Masaka-Maya'!I27)</f>
        <v>8.7142857142857135</v>
      </c>
      <c r="J27" s="49">
        <f>AVERAGE('28.10 Masaka-Maya'!J27,'29.10 Masaka-Maya'!J27,'30.10 Masaka-Maya'!J27,'01.11 Masaka-Maya'!J27,'31.10 Masaka-Maya-24h'!J27,'02.11 Masaka-Maya-24h'!J27,'03.11 Masaka-Maya'!J27)</f>
        <v>1.4285714285714286</v>
      </c>
      <c r="K27" s="49">
        <f>AVERAGE('28.10 Masaka-Maya'!K27,'29.10 Masaka-Maya'!K27,'30.10 Masaka-Maya'!K27,'01.11 Masaka-Maya'!K27,'31.10 Masaka-Maya-24h'!K27,'02.11 Masaka-Maya-24h'!K27,'03.11 Masaka-Maya'!K27)</f>
        <v>0.5714285714285714</v>
      </c>
      <c r="L27" s="49">
        <f>AVERAGE('28.10 Masaka-Maya'!L27,'29.10 Masaka-Maya'!L27,'30.10 Masaka-Maya'!L27,'01.11 Masaka-Maya'!L27,'31.10 Masaka-Maya-24h'!L27,'02.11 Masaka-Maya-24h'!L27,'03.11 Masaka-Maya'!L27)</f>
        <v>1.7142857142857142</v>
      </c>
      <c r="M27" s="49">
        <f>AVERAGE('28.10 Masaka-Maya'!M27,'29.10 Masaka-Maya'!M27,'30.10 Masaka-Maya'!M27,'01.11 Masaka-Maya'!M27,'31.10 Masaka-Maya-24h'!M27,'02.11 Masaka-Maya-24h'!M27,'03.11 Masaka-Maya'!M27)</f>
        <v>19.857142857142858</v>
      </c>
      <c r="N27" s="49">
        <f>AVERAGE('28.10 Masaka-Maya'!N27,'29.10 Masaka-Maya'!N27,'30.10 Masaka-Maya'!N27,'01.11 Masaka-Maya'!N27,'31.10 Masaka-Maya-24h'!N27,'02.11 Masaka-Maya-24h'!N27,'03.11 Masaka-Maya'!N27)</f>
        <v>0</v>
      </c>
      <c r="O27" s="15">
        <f t="shared" si="0"/>
        <v>62.571428571428577</v>
      </c>
      <c r="P27" s="15">
        <f t="shared" si="1"/>
        <v>82.428571428571431</v>
      </c>
      <c r="R27" s="1" t="s">
        <v>151</v>
      </c>
      <c r="S27" s="34">
        <f>SUM(C78:C81)</f>
        <v>35</v>
      </c>
      <c r="T27" s="34">
        <f t="shared" ref="T27:AF27" si="19">SUM(D78:D81)</f>
        <v>10.5</v>
      </c>
      <c r="U27" s="34">
        <f t="shared" si="19"/>
        <v>4.5</v>
      </c>
      <c r="V27" s="34">
        <f t="shared" si="19"/>
        <v>18.5</v>
      </c>
      <c r="W27" s="34">
        <f t="shared" si="19"/>
        <v>2.5</v>
      </c>
      <c r="X27" s="34">
        <f t="shared" si="19"/>
        <v>3.5</v>
      </c>
      <c r="Y27" s="34">
        <f t="shared" si="19"/>
        <v>44</v>
      </c>
      <c r="Z27" s="34">
        <f t="shared" si="19"/>
        <v>19.5</v>
      </c>
      <c r="AA27" s="34">
        <f t="shared" si="19"/>
        <v>13.5</v>
      </c>
      <c r="AB27" s="34">
        <f t="shared" si="19"/>
        <v>10.5</v>
      </c>
      <c r="AC27" s="34">
        <f t="shared" si="19"/>
        <v>8</v>
      </c>
      <c r="AD27" s="34">
        <f t="shared" si="19"/>
        <v>0</v>
      </c>
      <c r="AE27" s="31">
        <f t="shared" si="19"/>
        <v>162</v>
      </c>
      <c r="AF27" s="31">
        <f t="shared" si="19"/>
        <v>170</v>
      </c>
    </row>
    <row r="28" spans="2:32" ht="23.1" customHeight="1" x14ac:dyDescent="0.25">
      <c r="B28" s="23" t="s">
        <v>55</v>
      </c>
      <c r="C28" s="49">
        <f>AVERAGE('28.10 Masaka-Maya'!C28,'29.10 Masaka-Maya'!C28,'30.10 Masaka-Maya'!C28,'01.11 Masaka-Maya'!C28,'31.10 Masaka-Maya-24h'!C28,'02.11 Masaka-Maya-24h'!C28,'03.11 Masaka-Maya'!C28)</f>
        <v>20.142857142857142</v>
      </c>
      <c r="D28" s="49">
        <f>AVERAGE('28.10 Masaka-Maya'!D28,'29.10 Masaka-Maya'!D28,'30.10 Masaka-Maya'!D28,'01.11 Masaka-Maya'!D28,'31.10 Masaka-Maya-24h'!D28,'02.11 Masaka-Maya-24h'!D28,'03.11 Masaka-Maya'!D28)</f>
        <v>3.4285714285714284</v>
      </c>
      <c r="E28" s="49">
        <f>AVERAGE('28.10 Masaka-Maya'!E28,'29.10 Masaka-Maya'!E28,'30.10 Masaka-Maya'!E28,'01.11 Masaka-Maya'!E28,'31.10 Masaka-Maya-24h'!E28,'02.11 Masaka-Maya-24h'!E28,'03.11 Masaka-Maya'!E28)</f>
        <v>3.4285714285714284</v>
      </c>
      <c r="F28" s="49">
        <f>AVERAGE('28.10 Masaka-Maya'!F28,'29.10 Masaka-Maya'!F28,'30.10 Masaka-Maya'!F28,'01.11 Masaka-Maya'!F28,'31.10 Masaka-Maya-24h'!F28,'02.11 Masaka-Maya-24h'!F28,'03.11 Masaka-Maya'!F28)</f>
        <v>21.714285714285715</v>
      </c>
      <c r="G28" s="49">
        <f>AVERAGE('28.10 Masaka-Maya'!G28,'29.10 Masaka-Maya'!G28,'30.10 Masaka-Maya'!G28,'01.11 Masaka-Maya'!G28,'31.10 Masaka-Maya-24h'!G28,'02.11 Masaka-Maya-24h'!G28,'03.11 Masaka-Maya'!G28)</f>
        <v>1</v>
      </c>
      <c r="H28" s="49">
        <f>AVERAGE('28.10 Masaka-Maya'!H28,'29.10 Masaka-Maya'!H28,'30.10 Masaka-Maya'!H28,'01.11 Masaka-Maya'!H28,'31.10 Masaka-Maya-24h'!H28,'02.11 Masaka-Maya-24h'!H28,'03.11 Masaka-Maya'!H28)</f>
        <v>0.7142857142857143</v>
      </c>
      <c r="I28" s="49">
        <f>AVERAGE('28.10 Masaka-Maya'!I28,'29.10 Masaka-Maya'!I28,'30.10 Masaka-Maya'!I28,'01.11 Masaka-Maya'!I28,'31.10 Masaka-Maya-24h'!I28,'02.11 Masaka-Maya-24h'!I28,'03.11 Masaka-Maya'!I28)</f>
        <v>12.285714285714286</v>
      </c>
      <c r="J28" s="49">
        <f>AVERAGE('28.10 Masaka-Maya'!J28,'29.10 Masaka-Maya'!J28,'30.10 Masaka-Maya'!J28,'01.11 Masaka-Maya'!J28,'31.10 Masaka-Maya-24h'!J28,'02.11 Masaka-Maya-24h'!J28,'03.11 Masaka-Maya'!J28)</f>
        <v>0.8571428571428571</v>
      </c>
      <c r="K28" s="49">
        <f>AVERAGE('28.10 Masaka-Maya'!K28,'29.10 Masaka-Maya'!K28,'30.10 Masaka-Maya'!K28,'01.11 Masaka-Maya'!K28,'31.10 Masaka-Maya-24h'!K28,'02.11 Masaka-Maya-24h'!K28,'03.11 Masaka-Maya'!K28)</f>
        <v>0.8571428571428571</v>
      </c>
      <c r="L28" s="49">
        <f>AVERAGE('28.10 Masaka-Maya'!L28,'29.10 Masaka-Maya'!L28,'30.10 Masaka-Maya'!L28,'01.11 Masaka-Maya'!L28,'31.10 Masaka-Maya-24h'!L28,'02.11 Masaka-Maya-24h'!L28,'03.11 Masaka-Maya'!L28)</f>
        <v>2.5714285714285716</v>
      </c>
      <c r="M28" s="49">
        <f>AVERAGE('28.10 Masaka-Maya'!M28,'29.10 Masaka-Maya'!M28,'30.10 Masaka-Maya'!M28,'01.11 Masaka-Maya'!M28,'31.10 Masaka-Maya-24h'!M28,'02.11 Masaka-Maya-24h'!M28,'03.11 Masaka-Maya'!M28)</f>
        <v>23.285714285714285</v>
      </c>
      <c r="N28" s="49">
        <f>AVERAGE('28.10 Masaka-Maya'!N28,'29.10 Masaka-Maya'!N28,'30.10 Masaka-Maya'!N28,'01.11 Masaka-Maya'!N28,'31.10 Masaka-Maya-24h'!N28,'02.11 Masaka-Maya-24h'!N28,'03.11 Masaka-Maya'!N28)</f>
        <v>0</v>
      </c>
      <c r="O28" s="15">
        <f t="shared" si="0"/>
        <v>66.999999999999986</v>
      </c>
      <c r="P28" s="15">
        <f t="shared" si="1"/>
        <v>90.285714285714278</v>
      </c>
      <c r="R28" s="1" t="s">
        <v>152</v>
      </c>
      <c r="S28" s="34">
        <f>SUM(C82:C85)</f>
        <v>22.5</v>
      </c>
      <c r="T28" s="34">
        <f t="shared" ref="T28:AF28" si="20">SUM(D82:D85)</f>
        <v>2.5</v>
      </c>
      <c r="U28" s="34">
        <f t="shared" si="20"/>
        <v>0.5</v>
      </c>
      <c r="V28" s="34">
        <f t="shared" si="20"/>
        <v>5.5</v>
      </c>
      <c r="W28" s="34">
        <f t="shared" si="20"/>
        <v>0.5</v>
      </c>
      <c r="X28" s="34">
        <f t="shared" si="20"/>
        <v>1.5</v>
      </c>
      <c r="Y28" s="34">
        <f t="shared" si="20"/>
        <v>54</v>
      </c>
      <c r="Z28" s="34">
        <f t="shared" si="20"/>
        <v>37.5</v>
      </c>
      <c r="AA28" s="34">
        <f t="shared" si="20"/>
        <v>20.5</v>
      </c>
      <c r="AB28" s="34">
        <f t="shared" si="20"/>
        <v>19</v>
      </c>
      <c r="AC28" s="34">
        <f t="shared" si="20"/>
        <v>4</v>
      </c>
      <c r="AD28" s="34">
        <f t="shared" si="20"/>
        <v>0</v>
      </c>
      <c r="AE28" s="31">
        <f t="shared" si="20"/>
        <v>164</v>
      </c>
      <c r="AF28" s="31">
        <f t="shared" si="20"/>
        <v>168</v>
      </c>
    </row>
    <row r="29" spans="2:32" ht="23.1" customHeight="1" x14ac:dyDescent="0.25">
      <c r="B29" s="23" t="s">
        <v>56</v>
      </c>
      <c r="C29" s="49">
        <f>AVERAGE('28.10 Masaka-Maya'!C29,'29.10 Masaka-Maya'!C29,'30.10 Masaka-Maya'!C29,'01.11 Masaka-Maya'!C29,'31.10 Masaka-Maya-24h'!C29,'02.11 Masaka-Maya-24h'!C29,'03.11 Masaka-Maya'!C29)</f>
        <v>20.285714285714285</v>
      </c>
      <c r="D29" s="49">
        <f>AVERAGE('28.10 Masaka-Maya'!D29,'29.10 Masaka-Maya'!D29,'30.10 Masaka-Maya'!D29,'01.11 Masaka-Maya'!D29,'31.10 Masaka-Maya-24h'!D29,'02.11 Masaka-Maya-24h'!D29,'03.11 Masaka-Maya'!D29)</f>
        <v>3.8571428571428572</v>
      </c>
      <c r="E29" s="49">
        <f>AVERAGE('28.10 Masaka-Maya'!E29,'29.10 Masaka-Maya'!E29,'30.10 Masaka-Maya'!E29,'01.11 Masaka-Maya'!E29,'31.10 Masaka-Maya-24h'!E29,'02.11 Masaka-Maya-24h'!E29,'03.11 Masaka-Maya'!E29)</f>
        <v>5</v>
      </c>
      <c r="F29" s="49">
        <f>AVERAGE('28.10 Masaka-Maya'!F29,'29.10 Masaka-Maya'!F29,'30.10 Masaka-Maya'!F29,'01.11 Masaka-Maya'!F29,'31.10 Masaka-Maya-24h'!F29,'02.11 Masaka-Maya-24h'!F29,'03.11 Masaka-Maya'!F29)</f>
        <v>20.142857142857142</v>
      </c>
      <c r="G29" s="49">
        <f>AVERAGE('28.10 Masaka-Maya'!G29,'29.10 Masaka-Maya'!G29,'30.10 Masaka-Maya'!G29,'01.11 Masaka-Maya'!G29,'31.10 Masaka-Maya-24h'!G29,'02.11 Masaka-Maya-24h'!G29,'03.11 Masaka-Maya'!G29)</f>
        <v>0.5714285714285714</v>
      </c>
      <c r="H29" s="49">
        <f>AVERAGE('28.10 Masaka-Maya'!H29,'29.10 Masaka-Maya'!H29,'30.10 Masaka-Maya'!H29,'01.11 Masaka-Maya'!H29,'31.10 Masaka-Maya-24h'!H29,'02.11 Masaka-Maya-24h'!H29,'03.11 Masaka-Maya'!H29)</f>
        <v>0.42857142857142855</v>
      </c>
      <c r="I29" s="49">
        <f>AVERAGE('28.10 Masaka-Maya'!I29,'29.10 Masaka-Maya'!I29,'30.10 Masaka-Maya'!I29,'01.11 Masaka-Maya'!I29,'31.10 Masaka-Maya-24h'!I29,'02.11 Masaka-Maya-24h'!I29,'03.11 Masaka-Maya'!I29)</f>
        <v>9.8571428571428577</v>
      </c>
      <c r="J29" s="49">
        <f>AVERAGE('28.10 Masaka-Maya'!J29,'29.10 Masaka-Maya'!J29,'30.10 Masaka-Maya'!J29,'01.11 Masaka-Maya'!J29,'31.10 Masaka-Maya-24h'!J29,'02.11 Masaka-Maya-24h'!J29,'03.11 Masaka-Maya'!J29)</f>
        <v>1.4285714285714286</v>
      </c>
      <c r="K29" s="49">
        <f>AVERAGE('28.10 Masaka-Maya'!K29,'29.10 Masaka-Maya'!K29,'30.10 Masaka-Maya'!K29,'01.11 Masaka-Maya'!K29,'31.10 Masaka-Maya-24h'!K29,'02.11 Masaka-Maya-24h'!K29,'03.11 Masaka-Maya'!K29)</f>
        <v>0.2857142857142857</v>
      </c>
      <c r="L29" s="49">
        <f>AVERAGE('28.10 Masaka-Maya'!L29,'29.10 Masaka-Maya'!L29,'30.10 Masaka-Maya'!L29,'01.11 Masaka-Maya'!L29,'31.10 Masaka-Maya-24h'!L29,'02.11 Masaka-Maya-24h'!L29,'03.11 Masaka-Maya'!L29)</f>
        <v>2.2857142857142856</v>
      </c>
      <c r="M29" s="49">
        <f>AVERAGE('28.10 Masaka-Maya'!M29,'29.10 Masaka-Maya'!M29,'30.10 Masaka-Maya'!M29,'01.11 Masaka-Maya'!M29,'31.10 Masaka-Maya-24h'!M29,'02.11 Masaka-Maya-24h'!M29,'03.11 Masaka-Maya'!M29)</f>
        <v>24.571428571428573</v>
      </c>
      <c r="N29" s="49">
        <f>AVERAGE('28.10 Masaka-Maya'!N29,'29.10 Masaka-Maya'!N29,'30.10 Masaka-Maya'!N29,'01.11 Masaka-Maya'!N29,'31.10 Masaka-Maya-24h'!N29,'02.11 Masaka-Maya-24h'!N29,'03.11 Masaka-Maya'!N29)</f>
        <v>0</v>
      </c>
      <c r="O29" s="15">
        <f t="shared" si="0"/>
        <v>64.142857142857139</v>
      </c>
      <c r="P29" s="15">
        <f t="shared" si="1"/>
        <v>88.714285714285708</v>
      </c>
      <c r="R29" s="1" t="s">
        <v>153</v>
      </c>
      <c r="S29" s="34">
        <f>SUM(C86:C89)</f>
        <v>15</v>
      </c>
      <c r="T29" s="34">
        <f t="shared" ref="T29:AF29" si="21">SUM(D86:D89)</f>
        <v>2</v>
      </c>
      <c r="U29" s="34">
        <f t="shared" si="21"/>
        <v>3</v>
      </c>
      <c r="V29" s="34">
        <f t="shared" si="21"/>
        <v>2.5</v>
      </c>
      <c r="W29" s="34">
        <f t="shared" si="21"/>
        <v>0</v>
      </c>
      <c r="X29" s="34">
        <f t="shared" si="21"/>
        <v>6.5</v>
      </c>
      <c r="Y29" s="34">
        <f t="shared" si="21"/>
        <v>42.5</v>
      </c>
      <c r="Z29" s="34">
        <f t="shared" si="21"/>
        <v>33.5</v>
      </c>
      <c r="AA29" s="34">
        <f t="shared" si="21"/>
        <v>27</v>
      </c>
      <c r="AB29" s="34">
        <f t="shared" si="21"/>
        <v>29.5</v>
      </c>
      <c r="AC29" s="34">
        <f t="shared" si="21"/>
        <v>3</v>
      </c>
      <c r="AD29" s="34">
        <f t="shared" si="21"/>
        <v>0</v>
      </c>
      <c r="AE29" s="31">
        <f t="shared" si="21"/>
        <v>161.5</v>
      </c>
      <c r="AF29" s="31">
        <f t="shared" si="21"/>
        <v>164.5</v>
      </c>
    </row>
    <row r="30" spans="2:32" ht="23.1" customHeight="1" x14ac:dyDescent="0.25">
      <c r="B30" s="23" t="s">
        <v>57</v>
      </c>
      <c r="C30" s="49">
        <f>AVERAGE('28.10 Masaka-Maya'!C30,'29.10 Masaka-Maya'!C30,'30.10 Masaka-Maya'!C30,'01.11 Masaka-Maya'!C30,'31.10 Masaka-Maya-24h'!C30,'02.11 Masaka-Maya-24h'!C30,'03.11 Masaka-Maya'!C30)</f>
        <v>23.285714285714285</v>
      </c>
      <c r="D30" s="49">
        <f>AVERAGE('28.10 Masaka-Maya'!D30,'29.10 Masaka-Maya'!D30,'30.10 Masaka-Maya'!D30,'01.11 Masaka-Maya'!D30,'31.10 Masaka-Maya-24h'!D30,'02.11 Masaka-Maya-24h'!D30,'03.11 Masaka-Maya'!D30)</f>
        <v>4.1428571428571432</v>
      </c>
      <c r="E30" s="49">
        <f>AVERAGE('28.10 Masaka-Maya'!E30,'29.10 Masaka-Maya'!E30,'30.10 Masaka-Maya'!E30,'01.11 Masaka-Maya'!E30,'31.10 Masaka-Maya-24h'!E30,'02.11 Masaka-Maya-24h'!E30,'03.11 Masaka-Maya'!E30)</f>
        <v>5.1428571428571432</v>
      </c>
      <c r="F30" s="49">
        <f>AVERAGE('28.10 Masaka-Maya'!F30,'29.10 Masaka-Maya'!F30,'30.10 Masaka-Maya'!F30,'01.11 Masaka-Maya'!F30,'31.10 Masaka-Maya-24h'!F30,'02.11 Masaka-Maya-24h'!F30,'03.11 Masaka-Maya'!F30)</f>
        <v>25.142857142857142</v>
      </c>
      <c r="G30" s="49">
        <f>AVERAGE('28.10 Masaka-Maya'!G30,'29.10 Masaka-Maya'!G30,'30.10 Masaka-Maya'!G30,'01.11 Masaka-Maya'!G30,'31.10 Masaka-Maya-24h'!G30,'02.11 Masaka-Maya-24h'!G30,'03.11 Masaka-Maya'!G30)</f>
        <v>0.7142857142857143</v>
      </c>
      <c r="H30" s="49">
        <f>AVERAGE('28.10 Masaka-Maya'!H30,'29.10 Masaka-Maya'!H30,'30.10 Masaka-Maya'!H30,'01.11 Masaka-Maya'!H30,'31.10 Masaka-Maya-24h'!H30,'02.11 Masaka-Maya-24h'!H30,'03.11 Masaka-Maya'!H30)</f>
        <v>1.1428571428571428</v>
      </c>
      <c r="I30" s="49">
        <f>AVERAGE('28.10 Masaka-Maya'!I30,'29.10 Masaka-Maya'!I30,'30.10 Masaka-Maya'!I30,'01.11 Masaka-Maya'!I30,'31.10 Masaka-Maya-24h'!I30,'02.11 Masaka-Maya-24h'!I30,'03.11 Masaka-Maya'!I30)</f>
        <v>11.714285714285714</v>
      </c>
      <c r="J30" s="49">
        <f>AVERAGE('28.10 Masaka-Maya'!J30,'29.10 Masaka-Maya'!J30,'30.10 Masaka-Maya'!J30,'01.11 Masaka-Maya'!J30,'31.10 Masaka-Maya-24h'!J30,'02.11 Masaka-Maya-24h'!J30,'03.11 Masaka-Maya'!J30)</f>
        <v>0.8571428571428571</v>
      </c>
      <c r="K30" s="49">
        <f>AVERAGE('28.10 Masaka-Maya'!K30,'29.10 Masaka-Maya'!K30,'30.10 Masaka-Maya'!K30,'01.11 Masaka-Maya'!K30,'31.10 Masaka-Maya-24h'!K30,'02.11 Masaka-Maya-24h'!K30,'03.11 Masaka-Maya'!K30)</f>
        <v>1</v>
      </c>
      <c r="L30" s="49">
        <f>AVERAGE('28.10 Masaka-Maya'!L30,'29.10 Masaka-Maya'!L30,'30.10 Masaka-Maya'!L30,'01.11 Masaka-Maya'!L30,'31.10 Masaka-Maya-24h'!L30,'02.11 Masaka-Maya-24h'!L30,'03.11 Masaka-Maya'!L30)</f>
        <v>1.5714285714285714</v>
      </c>
      <c r="M30" s="49">
        <f>AVERAGE('28.10 Masaka-Maya'!M30,'29.10 Masaka-Maya'!M30,'30.10 Masaka-Maya'!M30,'01.11 Masaka-Maya'!M30,'31.10 Masaka-Maya-24h'!M30,'02.11 Masaka-Maya-24h'!M30,'03.11 Masaka-Maya'!M30)</f>
        <v>22.142857142857142</v>
      </c>
      <c r="N30" s="49">
        <f>AVERAGE('28.10 Masaka-Maya'!N30,'29.10 Masaka-Maya'!N30,'30.10 Masaka-Maya'!N30,'01.11 Masaka-Maya'!N30,'31.10 Masaka-Maya-24h'!N30,'02.11 Masaka-Maya-24h'!N30,'03.11 Masaka-Maya'!N30)</f>
        <v>0</v>
      </c>
      <c r="O30" s="15">
        <f t="shared" si="0"/>
        <v>74.714285714285708</v>
      </c>
      <c r="P30" s="15">
        <f t="shared" si="1"/>
        <v>96.857142857142847</v>
      </c>
      <c r="R30" s="1" t="s">
        <v>154</v>
      </c>
      <c r="S30" s="34">
        <f>SUM(C90:C93)</f>
        <v>5.5</v>
      </c>
      <c r="T30" s="34">
        <f t="shared" ref="T30:AF30" si="22">SUM(D90:D93)</f>
        <v>0.5</v>
      </c>
      <c r="U30" s="34">
        <f t="shared" si="22"/>
        <v>1</v>
      </c>
      <c r="V30" s="34">
        <f t="shared" si="22"/>
        <v>1</v>
      </c>
      <c r="W30" s="34">
        <f t="shared" si="22"/>
        <v>2.5</v>
      </c>
      <c r="X30" s="34">
        <f t="shared" si="22"/>
        <v>13.5</v>
      </c>
      <c r="Y30" s="34">
        <f t="shared" si="22"/>
        <v>32.5</v>
      </c>
      <c r="Z30" s="34">
        <f t="shared" si="22"/>
        <v>29</v>
      </c>
      <c r="AA30" s="34">
        <f t="shared" si="22"/>
        <v>18</v>
      </c>
      <c r="AB30" s="34">
        <f t="shared" si="22"/>
        <v>25.5</v>
      </c>
      <c r="AC30" s="34">
        <f t="shared" si="22"/>
        <v>6</v>
      </c>
      <c r="AD30" s="34">
        <f t="shared" si="22"/>
        <v>0</v>
      </c>
      <c r="AE30" s="31">
        <f t="shared" si="22"/>
        <v>129</v>
      </c>
      <c r="AF30" s="31">
        <f t="shared" si="22"/>
        <v>135</v>
      </c>
    </row>
    <row r="31" spans="2:32" ht="23.1" customHeight="1" x14ac:dyDescent="0.25">
      <c r="B31" s="24" t="s">
        <v>58</v>
      </c>
      <c r="C31" s="49">
        <f>AVERAGE('28.10 Masaka-Maya'!C31,'29.10 Masaka-Maya'!C31,'30.10 Masaka-Maya'!C31,'01.11 Masaka-Maya'!C31,'31.10 Masaka-Maya-24h'!C31,'02.11 Masaka-Maya-24h'!C31,'03.11 Masaka-Maya'!C31)</f>
        <v>21.714285714285715</v>
      </c>
      <c r="D31" s="49">
        <f>AVERAGE('28.10 Masaka-Maya'!D31,'29.10 Masaka-Maya'!D31,'30.10 Masaka-Maya'!D31,'01.11 Masaka-Maya'!D31,'31.10 Masaka-Maya-24h'!D31,'02.11 Masaka-Maya-24h'!D31,'03.11 Masaka-Maya'!D31)</f>
        <v>4.8571428571428568</v>
      </c>
      <c r="E31" s="49">
        <f>AVERAGE('28.10 Masaka-Maya'!E31,'29.10 Masaka-Maya'!E31,'30.10 Masaka-Maya'!E31,'01.11 Masaka-Maya'!E31,'31.10 Masaka-Maya-24h'!E31,'02.11 Masaka-Maya-24h'!E31,'03.11 Masaka-Maya'!E31)</f>
        <v>2.8571428571428572</v>
      </c>
      <c r="F31" s="49">
        <f>AVERAGE('28.10 Masaka-Maya'!F31,'29.10 Masaka-Maya'!F31,'30.10 Masaka-Maya'!F31,'01.11 Masaka-Maya'!F31,'31.10 Masaka-Maya-24h'!F31,'02.11 Masaka-Maya-24h'!F31,'03.11 Masaka-Maya'!F31)</f>
        <v>19.857142857142858</v>
      </c>
      <c r="G31" s="49">
        <f>AVERAGE('28.10 Masaka-Maya'!G31,'29.10 Masaka-Maya'!G31,'30.10 Masaka-Maya'!G31,'01.11 Masaka-Maya'!G31,'31.10 Masaka-Maya-24h'!G31,'02.11 Masaka-Maya-24h'!G31,'03.11 Masaka-Maya'!G31)</f>
        <v>0.5714285714285714</v>
      </c>
      <c r="H31" s="49">
        <f>AVERAGE('28.10 Masaka-Maya'!H31,'29.10 Masaka-Maya'!H31,'30.10 Masaka-Maya'!H31,'01.11 Masaka-Maya'!H31,'31.10 Masaka-Maya-24h'!H31,'02.11 Masaka-Maya-24h'!H31,'03.11 Masaka-Maya'!H31)</f>
        <v>1.8571428571428572</v>
      </c>
      <c r="I31" s="49">
        <f>AVERAGE('28.10 Masaka-Maya'!I31,'29.10 Masaka-Maya'!I31,'30.10 Masaka-Maya'!I31,'01.11 Masaka-Maya'!I31,'31.10 Masaka-Maya-24h'!I31,'02.11 Masaka-Maya-24h'!I31,'03.11 Masaka-Maya'!I31)</f>
        <v>10.285714285714286</v>
      </c>
      <c r="J31" s="49">
        <f>AVERAGE('28.10 Masaka-Maya'!J31,'29.10 Masaka-Maya'!J31,'30.10 Masaka-Maya'!J31,'01.11 Masaka-Maya'!J31,'31.10 Masaka-Maya-24h'!J31,'02.11 Masaka-Maya-24h'!J31,'03.11 Masaka-Maya'!J31)</f>
        <v>1.2857142857142858</v>
      </c>
      <c r="K31" s="49">
        <f>AVERAGE('28.10 Masaka-Maya'!K31,'29.10 Masaka-Maya'!K31,'30.10 Masaka-Maya'!K31,'01.11 Masaka-Maya'!K31,'31.10 Masaka-Maya-24h'!K31,'02.11 Masaka-Maya-24h'!K31,'03.11 Masaka-Maya'!K31)</f>
        <v>1</v>
      </c>
      <c r="L31" s="49">
        <f>AVERAGE('28.10 Masaka-Maya'!L31,'29.10 Masaka-Maya'!L31,'30.10 Masaka-Maya'!L31,'01.11 Masaka-Maya'!L31,'31.10 Masaka-Maya-24h'!L31,'02.11 Masaka-Maya-24h'!L31,'03.11 Masaka-Maya'!L31)</f>
        <v>3.2857142857142856</v>
      </c>
      <c r="M31" s="49">
        <f>AVERAGE('28.10 Masaka-Maya'!M31,'29.10 Masaka-Maya'!M31,'30.10 Masaka-Maya'!M31,'01.11 Masaka-Maya'!M31,'31.10 Masaka-Maya-24h'!M31,'02.11 Masaka-Maya-24h'!M31,'03.11 Masaka-Maya'!M31)</f>
        <v>22.714285714285715</v>
      </c>
      <c r="N31" s="49">
        <f>AVERAGE('28.10 Masaka-Maya'!N31,'29.10 Masaka-Maya'!N31,'30.10 Masaka-Maya'!N31,'01.11 Masaka-Maya'!N31,'31.10 Masaka-Maya-24h'!N31,'02.11 Masaka-Maya-24h'!N31,'03.11 Masaka-Maya'!N31)</f>
        <v>0</v>
      </c>
      <c r="O31" s="15">
        <f t="shared" si="0"/>
        <v>67.571428571428569</v>
      </c>
      <c r="P31" s="15">
        <f t="shared" si="1"/>
        <v>90.285714285714278</v>
      </c>
      <c r="R31" s="1" t="s">
        <v>155</v>
      </c>
      <c r="S31" s="34">
        <f>SUM(C94:C97)</f>
        <v>8.5</v>
      </c>
      <c r="T31" s="34">
        <f t="shared" ref="T31:AF31" si="23">SUM(D94:D97)</f>
        <v>1.5</v>
      </c>
      <c r="U31" s="34">
        <f t="shared" si="23"/>
        <v>1</v>
      </c>
      <c r="V31" s="34">
        <f t="shared" si="23"/>
        <v>7.5</v>
      </c>
      <c r="W31" s="34">
        <f t="shared" si="23"/>
        <v>2.5</v>
      </c>
      <c r="X31" s="34">
        <f t="shared" si="23"/>
        <v>11.5</v>
      </c>
      <c r="Y31" s="34">
        <f t="shared" si="23"/>
        <v>26.5</v>
      </c>
      <c r="Z31" s="34">
        <f t="shared" si="23"/>
        <v>25.5</v>
      </c>
      <c r="AA31" s="34">
        <f t="shared" si="23"/>
        <v>9.5</v>
      </c>
      <c r="AB31" s="34">
        <f t="shared" si="23"/>
        <v>17</v>
      </c>
      <c r="AC31" s="34">
        <f t="shared" si="23"/>
        <v>2</v>
      </c>
      <c r="AD31" s="34">
        <f t="shared" si="23"/>
        <v>0</v>
      </c>
      <c r="AE31" s="31">
        <f t="shared" si="23"/>
        <v>111</v>
      </c>
      <c r="AF31" s="31">
        <f t="shared" si="23"/>
        <v>113</v>
      </c>
    </row>
    <row r="32" spans="2:32" ht="23.1" customHeight="1" x14ac:dyDescent="0.25">
      <c r="B32" s="24" t="s">
        <v>59</v>
      </c>
      <c r="C32" s="49">
        <f>AVERAGE('28.10 Masaka-Maya'!C32,'29.10 Masaka-Maya'!C32,'30.10 Masaka-Maya'!C32,'01.11 Masaka-Maya'!C32,'31.10 Masaka-Maya-24h'!C32,'02.11 Masaka-Maya-24h'!C32,'03.11 Masaka-Maya'!C32)</f>
        <v>24.142857142857142</v>
      </c>
      <c r="D32" s="49">
        <f>AVERAGE('28.10 Masaka-Maya'!D32,'29.10 Masaka-Maya'!D32,'30.10 Masaka-Maya'!D32,'01.11 Masaka-Maya'!D32,'31.10 Masaka-Maya-24h'!D32,'02.11 Masaka-Maya-24h'!D32,'03.11 Masaka-Maya'!D32)</f>
        <v>4.4285714285714288</v>
      </c>
      <c r="E32" s="49">
        <f>AVERAGE('28.10 Masaka-Maya'!E32,'29.10 Masaka-Maya'!E32,'30.10 Masaka-Maya'!E32,'01.11 Masaka-Maya'!E32,'31.10 Masaka-Maya-24h'!E32,'02.11 Masaka-Maya-24h'!E32,'03.11 Masaka-Maya'!E32)</f>
        <v>3.5714285714285716</v>
      </c>
      <c r="F32" s="49">
        <f>AVERAGE('28.10 Masaka-Maya'!F32,'29.10 Masaka-Maya'!F32,'30.10 Masaka-Maya'!F32,'01.11 Masaka-Maya'!F32,'31.10 Masaka-Maya-24h'!F32,'02.11 Masaka-Maya-24h'!F32,'03.11 Masaka-Maya'!F32)</f>
        <v>20.714285714285715</v>
      </c>
      <c r="G32" s="49">
        <f>AVERAGE('28.10 Masaka-Maya'!G32,'29.10 Masaka-Maya'!G32,'30.10 Masaka-Maya'!G32,'01.11 Masaka-Maya'!G32,'31.10 Masaka-Maya-24h'!G32,'02.11 Masaka-Maya-24h'!G32,'03.11 Masaka-Maya'!G32)</f>
        <v>0.7142857142857143</v>
      </c>
      <c r="H32" s="49">
        <f>AVERAGE('28.10 Masaka-Maya'!H32,'29.10 Masaka-Maya'!H32,'30.10 Masaka-Maya'!H32,'01.11 Masaka-Maya'!H32,'31.10 Masaka-Maya-24h'!H32,'02.11 Masaka-Maya-24h'!H32,'03.11 Masaka-Maya'!H32)</f>
        <v>2.8571428571428572</v>
      </c>
      <c r="I32" s="49">
        <f>AVERAGE('28.10 Masaka-Maya'!I32,'29.10 Masaka-Maya'!I32,'30.10 Masaka-Maya'!I32,'01.11 Masaka-Maya'!I32,'31.10 Masaka-Maya-24h'!I32,'02.11 Masaka-Maya-24h'!I32,'03.11 Masaka-Maya'!I32)</f>
        <v>10</v>
      </c>
      <c r="J32" s="49">
        <f>AVERAGE('28.10 Masaka-Maya'!J32,'29.10 Masaka-Maya'!J32,'30.10 Masaka-Maya'!J32,'01.11 Masaka-Maya'!J32,'31.10 Masaka-Maya-24h'!J32,'02.11 Masaka-Maya-24h'!J32,'03.11 Masaka-Maya'!J32)</f>
        <v>1.2857142857142858</v>
      </c>
      <c r="K32" s="49">
        <f>AVERAGE('28.10 Masaka-Maya'!K32,'29.10 Masaka-Maya'!K32,'30.10 Masaka-Maya'!K32,'01.11 Masaka-Maya'!K32,'31.10 Masaka-Maya-24h'!K32,'02.11 Masaka-Maya-24h'!K32,'03.11 Masaka-Maya'!K32)</f>
        <v>0.14285714285714285</v>
      </c>
      <c r="L32" s="49">
        <f>AVERAGE('28.10 Masaka-Maya'!L32,'29.10 Masaka-Maya'!L32,'30.10 Masaka-Maya'!L32,'01.11 Masaka-Maya'!L32,'31.10 Masaka-Maya-24h'!L32,'02.11 Masaka-Maya-24h'!L32,'03.11 Masaka-Maya'!L32)</f>
        <v>1.2857142857142858</v>
      </c>
      <c r="M32" s="49">
        <f>AVERAGE('28.10 Masaka-Maya'!M32,'29.10 Masaka-Maya'!M32,'30.10 Masaka-Maya'!M32,'01.11 Masaka-Maya'!M32,'31.10 Masaka-Maya-24h'!M32,'02.11 Masaka-Maya-24h'!M32,'03.11 Masaka-Maya'!M32)</f>
        <v>23.571428571428573</v>
      </c>
      <c r="N32" s="49">
        <f>AVERAGE('28.10 Masaka-Maya'!N32,'29.10 Masaka-Maya'!N32,'30.10 Masaka-Maya'!N32,'01.11 Masaka-Maya'!N32,'31.10 Masaka-Maya-24h'!N32,'02.11 Masaka-Maya-24h'!N32,'03.11 Masaka-Maya'!N32)</f>
        <v>0.14285714285714285</v>
      </c>
      <c r="O32" s="15">
        <f t="shared" si="0"/>
        <v>69.285714285714278</v>
      </c>
      <c r="P32" s="15">
        <f t="shared" si="1"/>
        <v>92.857142857142847</v>
      </c>
      <c r="R32" s="1" t="s">
        <v>156</v>
      </c>
      <c r="S32" s="34">
        <f>SUM(C98:C101)</f>
        <v>18.5</v>
      </c>
      <c r="T32" s="34">
        <f t="shared" ref="T32:AF32" si="24">SUM(D98:D101)</f>
        <v>3.5</v>
      </c>
      <c r="U32" s="34">
        <f t="shared" si="24"/>
        <v>3</v>
      </c>
      <c r="V32" s="34">
        <f t="shared" si="24"/>
        <v>42.5</v>
      </c>
      <c r="W32" s="34">
        <f t="shared" si="24"/>
        <v>2</v>
      </c>
      <c r="X32" s="34">
        <f t="shared" si="24"/>
        <v>9.5</v>
      </c>
      <c r="Y32" s="34">
        <f t="shared" si="24"/>
        <v>28</v>
      </c>
      <c r="Z32" s="34">
        <f t="shared" si="24"/>
        <v>25.5</v>
      </c>
      <c r="AA32" s="34">
        <f t="shared" si="24"/>
        <v>6.5</v>
      </c>
      <c r="AB32" s="34">
        <f t="shared" si="24"/>
        <v>11.5</v>
      </c>
      <c r="AC32" s="34">
        <f t="shared" si="24"/>
        <v>11.5</v>
      </c>
      <c r="AD32" s="34">
        <f t="shared" si="24"/>
        <v>0</v>
      </c>
      <c r="AE32" s="31">
        <f t="shared" si="24"/>
        <v>150.5</v>
      </c>
      <c r="AF32" s="31">
        <f t="shared" si="24"/>
        <v>162</v>
      </c>
    </row>
    <row r="33" spans="2:32" ht="23.1" customHeight="1" x14ac:dyDescent="0.25">
      <c r="B33" s="23" t="s">
        <v>60</v>
      </c>
      <c r="C33" s="49">
        <f>AVERAGE('28.10 Masaka-Maya'!C33,'29.10 Masaka-Maya'!C33,'30.10 Masaka-Maya'!C33,'01.11 Masaka-Maya'!C33,'31.10 Masaka-Maya-24h'!C33,'02.11 Masaka-Maya-24h'!C33,'03.11 Masaka-Maya'!C33)</f>
        <v>22.285714285714285</v>
      </c>
      <c r="D33" s="49">
        <f>AVERAGE('28.10 Masaka-Maya'!D33,'29.10 Masaka-Maya'!D33,'30.10 Masaka-Maya'!D33,'01.11 Masaka-Maya'!D33,'31.10 Masaka-Maya-24h'!D33,'02.11 Masaka-Maya-24h'!D33,'03.11 Masaka-Maya'!D33)</f>
        <v>5</v>
      </c>
      <c r="E33" s="49">
        <f>AVERAGE('28.10 Masaka-Maya'!E33,'29.10 Masaka-Maya'!E33,'30.10 Masaka-Maya'!E33,'01.11 Masaka-Maya'!E33,'31.10 Masaka-Maya-24h'!E33,'02.11 Masaka-Maya-24h'!E33,'03.11 Masaka-Maya'!E33)</f>
        <v>4</v>
      </c>
      <c r="F33" s="49">
        <f>AVERAGE('28.10 Masaka-Maya'!F33,'29.10 Masaka-Maya'!F33,'30.10 Masaka-Maya'!F33,'01.11 Masaka-Maya'!F33,'31.10 Masaka-Maya-24h'!F33,'02.11 Masaka-Maya-24h'!F33,'03.11 Masaka-Maya'!F33)</f>
        <v>21.428571428571427</v>
      </c>
      <c r="G33" s="49">
        <f>AVERAGE('28.10 Masaka-Maya'!G33,'29.10 Masaka-Maya'!G33,'30.10 Masaka-Maya'!G33,'01.11 Masaka-Maya'!G33,'31.10 Masaka-Maya-24h'!G33,'02.11 Masaka-Maya-24h'!G33,'03.11 Masaka-Maya'!G33)</f>
        <v>0.7142857142857143</v>
      </c>
      <c r="H33" s="49">
        <f>AVERAGE('28.10 Masaka-Maya'!H33,'29.10 Masaka-Maya'!H33,'30.10 Masaka-Maya'!H33,'01.11 Masaka-Maya'!H33,'31.10 Masaka-Maya-24h'!H33,'02.11 Masaka-Maya-24h'!H33,'03.11 Masaka-Maya'!H33)</f>
        <v>1.7142857142857142</v>
      </c>
      <c r="I33" s="49">
        <f>AVERAGE('28.10 Masaka-Maya'!I33,'29.10 Masaka-Maya'!I33,'30.10 Masaka-Maya'!I33,'01.11 Masaka-Maya'!I33,'31.10 Masaka-Maya-24h'!I33,'02.11 Masaka-Maya-24h'!I33,'03.11 Masaka-Maya'!I33)</f>
        <v>12.285714285714286</v>
      </c>
      <c r="J33" s="49">
        <f>AVERAGE('28.10 Masaka-Maya'!J33,'29.10 Masaka-Maya'!J33,'30.10 Masaka-Maya'!J33,'01.11 Masaka-Maya'!J33,'31.10 Masaka-Maya-24h'!J33,'02.11 Masaka-Maya-24h'!J33,'03.11 Masaka-Maya'!J33)</f>
        <v>0.8571428571428571</v>
      </c>
      <c r="K33" s="49">
        <f>AVERAGE('28.10 Masaka-Maya'!K33,'29.10 Masaka-Maya'!K33,'30.10 Masaka-Maya'!K33,'01.11 Masaka-Maya'!K33,'31.10 Masaka-Maya-24h'!K33,'02.11 Masaka-Maya-24h'!K33,'03.11 Masaka-Maya'!K33)</f>
        <v>0.8571428571428571</v>
      </c>
      <c r="L33" s="49">
        <f>AVERAGE('28.10 Masaka-Maya'!L33,'29.10 Masaka-Maya'!L33,'30.10 Masaka-Maya'!L33,'01.11 Masaka-Maya'!L33,'31.10 Masaka-Maya-24h'!L33,'02.11 Masaka-Maya-24h'!L33,'03.11 Masaka-Maya'!L33)</f>
        <v>2.1428571428571428</v>
      </c>
      <c r="M33" s="49">
        <f>AVERAGE('28.10 Masaka-Maya'!M33,'29.10 Masaka-Maya'!M33,'30.10 Masaka-Maya'!M33,'01.11 Masaka-Maya'!M33,'31.10 Masaka-Maya-24h'!M33,'02.11 Masaka-Maya-24h'!M33,'03.11 Masaka-Maya'!M33)</f>
        <v>22.142857142857142</v>
      </c>
      <c r="N33" s="49">
        <f>AVERAGE('28.10 Masaka-Maya'!N33,'29.10 Masaka-Maya'!N33,'30.10 Masaka-Maya'!N33,'01.11 Masaka-Maya'!N33,'31.10 Masaka-Maya-24h'!N33,'02.11 Masaka-Maya-24h'!N33,'03.11 Masaka-Maya'!N33)</f>
        <v>0</v>
      </c>
      <c r="O33" s="15">
        <f t="shared" si="0"/>
        <v>71.285714285714292</v>
      </c>
      <c r="P33" s="15">
        <f t="shared" si="1"/>
        <v>93.428571428571431</v>
      </c>
      <c r="R33" s="1" t="s">
        <v>157</v>
      </c>
      <c r="S33" s="34">
        <f>SUM(C102:C105)</f>
        <v>23</v>
      </c>
      <c r="T33" s="34">
        <f t="shared" ref="T33:AF33" si="25">SUM(D102:D105)</f>
        <v>12</v>
      </c>
      <c r="U33" s="34">
        <f t="shared" si="25"/>
        <v>5</v>
      </c>
      <c r="V33" s="34">
        <f t="shared" si="25"/>
        <v>63</v>
      </c>
      <c r="W33" s="34">
        <f t="shared" si="25"/>
        <v>4</v>
      </c>
      <c r="X33" s="34">
        <f t="shared" si="25"/>
        <v>6.5</v>
      </c>
      <c r="Y33" s="34">
        <f t="shared" si="25"/>
        <v>29</v>
      </c>
      <c r="Z33" s="34">
        <f t="shared" si="25"/>
        <v>20</v>
      </c>
      <c r="AA33" s="34">
        <f t="shared" si="25"/>
        <v>8</v>
      </c>
      <c r="AB33" s="34">
        <f t="shared" si="25"/>
        <v>14.5</v>
      </c>
      <c r="AC33" s="34">
        <f t="shared" si="25"/>
        <v>39</v>
      </c>
      <c r="AD33" s="34">
        <f t="shared" si="25"/>
        <v>0</v>
      </c>
      <c r="AE33" s="31">
        <f t="shared" si="25"/>
        <v>185</v>
      </c>
      <c r="AF33" s="31">
        <f t="shared" si="25"/>
        <v>224</v>
      </c>
    </row>
    <row r="34" spans="2:32" ht="23.1" customHeight="1" x14ac:dyDescent="0.25">
      <c r="B34" s="24" t="s">
        <v>61</v>
      </c>
      <c r="C34" s="49">
        <f>AVERAGE('28.10 Masaka-Maya'!C34,'29.10 Masaka-Maya'!C34,'30.10 Masaka-Maya'!C34,'01.11 Masaka-Maya'!C34,'31.10 Masaka-Maya-24h'!C34,'02.11 Masaka-Maya-24h'!C34,'03.11 Masaka-Maya'!C34)</f>
        <v>25.285714285714285</v>
      </c>
      <c r="D34" s="49">
        <f>AVERAGE('28.10 Masaka-Maya'!D34,'29.10 Masaka-Maya'!D34,'30.10 Masaka-Maya'!D34,'01.11 Masaka-Maya'!D34,'31.10 Masaka-Maya-24h'!D34,'02.11 Masaka-Maya-24h'!D34,'03.11 Masaka-Maya'!D34)</f>
        <v>5.2857142857142856</v>
      </c>
      <c r="E34" s="49">
        <f>AVERAGE('28.10 Masaka-Maya'!E34,'29.10 Masaka-Maya'!E34,'30.10 Masaka-Maya'!E34,'01.11 Masaka-Maya'!E34,'31.10 Masaka-Maya-24h'!E34,'02.11 Masaka-Maya-24h'!E34,'03.11 Masaka-Maya'!E34)</f>
        <v>4.7142857142857144</v>
      </c>
      <c r="F34" s="49">
        <f>AVERAGE('28.10 Masaka-Maya'!F34,'29.10 Masaka-Maya'!F34,'30.10 Masaka-Maya'!F34,'01.11 Masaka-Maya'!F34,'31.10 Masaka-Maya-24h'!F34,'02.11 Masaka-Maya-24h'!F34,'03.11 Masaka-Maya'!F34)</f>
        <v>19.857142857142858</v>
      </c>
      <c r="G34" s="49">
        <f>AVERAGE('28.10 Masaka-Maya'!G34,'29.10 Masaka-Maya'!G34,'30.10 Masaka-Maya'!G34,'01.11 Masaka-Maya'!G34,'31.10 Masaka-Maya-24h'!G34,'02.11 Masaka-Maya-24h'!G34,'03.11 Masaka-Maya'!G34)</f>
        <v>0.8571428571428571</v>
      </c>
      <c r="H34" s="49">
        <f>AVERAGE('28.10 Masaka-Maya'!H34,'29.10 Masaka-Maya'!H34,'30.10 Masaka-Maya'!H34,'01.11 Masaka-Maya'!H34,'31.10 Masaka-Maya-24h'!H34,'02.11 Masaka-Maya-24h'!H34,'03.11 Masaka-Maya'!H34)</f>
        <v>1.1428571428571428</v>
      </c>
      <c r="I34" s="49">
        <f>AVERAGE('28.10 Masaka-Maya'!I34,'29.10 Masaka-Maya'!I34,'30.10 Masaka-Maya'!I34,'01.11 Masaka-Maya'!I34,'31.10 Masaka-Maya-24h'!I34,'02.11 Masaka-Maya-24h'!I34,'03.11 Masaka-Maya'!I34)</f>
        <v>12.714285714285714</v>
      </c>
      <c r="J34" s="49">
        <f>AVERAGE('28.10 Masaka-Maya'!J34,'29.10 Masaka-Maya'!J34,'30.10 Masaka-Maya'!J34,'01.11 Masaka-Maya'!J34,'31.10 Masaka-Maya-24h'!J34,'02.11 Masaka-Maya-24h'!J34,'03.11 Masaka-Maya'!J34)</f>
        <v>0.5714285714285714</v>
      </c>
      <c r="K34" s="49">
        <f>AVERAGE('28.10 Masaka-Maya'!K34,'29.10 Masaka-Maya'!K34,'30.10 Masaka-Maya'!K34,'01.11 Masaka-Maya'!K34,'31.10 Masaka-Maya-24h'!K34,'02.11 Masaka-Maya-24h'!K34,'03.11 Masaka-Maya'!K34)</f>
        <v>0.42857142857142855</v>
      </c>
      <c r="L34" s="49">
        <f>AVERAGE('28.10 Masaka-Maya'!L34,'29.10 Masaka-Maya'!L34,'30.10 Masaka-Maya'!L34,'01.11 Masaka-Maya'!L34,'31.10 Masaka-Maya-24h'!L34,'02.11 Masaka-Maya-24h'!L34,'03.11 Masaka-Maya'!L34)</f>
        <v>2.4285714285714284</v>
      </c>
      <c r="M34" s="49">
        <f>AVERAGE('28.10 Masaka-Maya'!M34,'29.10 Masaka-Maya'!M34,'30.10 Masaka-Maya'!M34,'01.11 Masaka-Maya'!M34,'31.10 Masaka-Maya-24h'!M34,'02.11 Masaka-Maya-24h'!M34,'03.11 Masaka-Maya'!M34)</f>
        <v>21.571428571428573</v>
      </c>
      <c r="N34" s="49">
        <f>AVERAGE('28.10 Masaka-Maya'!N34,'29.10 Masaka-Maya'!N34,'30.10 Masaka-Maya'!N34,'01.11 Masaka-Maya'!N34,'31.10 Masaka-Maya-24h'!N34,'02.11 Masaka-Maya-24h'!N34,'03.11 Masaka-Maya'!N34)</f>
        <v>0</v>
      </c>
      <c r="O34" s="15">
        <f t="shared" si="0"/>
        <v>73.285714285714278</v>
      </c>
      <c r="P34" s="15">
        <f t="shared" si="1"/>
        <v>94.857142857142847</v>
      </c>
      <c r="R34" s="51" t="s">
        <v>90</v>
      </c>
      <c r="S34" s="52">
        <f t="shared" ref="S34:AF34" si="26">MAX(S10:S12)</f>
        <v>68</v>
      </c>
      <c r="T34" s="52">
        <f t="shared" si="26"/>
        <v>12.571428571428571</v>
      </c>
      <c r="U34" s="52">
        <f t="shared" si="26"/>
        <v>10.571428571428571</v>
      </c>
      <c r="V34" s="52">
        <f t="shared" si="26"/>
        <v>96.714285714285708</v>
      </c>
      <c r="W34" s="52">
        <f t="shared" si="26"/>
        <v>3.2857142857142856</v>
      </c>
      <c r="X34" s="52">
        <f t="shared" si="26"/>
        <v>3.2857142857142856</v>
      </c>
      <c r="Y34" s="52">
        <f t="shared" si="26"/>
        <v>35.857142857142854</v>
      </c>
      <c r="Z34" s="52">
        <f t="shared" si="26"/>
        <v>7.7142857142857144</v>
      </c>
      <c r="AA34" s="52">
        <f t="shared" si="26"/>
        <v>4</v>
      </c>
      <c r="AB34" s="52">
        <f t="shared" si="26"/>
        <v>8.8571428571428559</v>
      </c>
      <c r="AC34" s="52">
        <f t="shared" si="26"/>
        <v>110.71428571428571</v>
      </c>
      <c r="AD34" s="52">
        <f t="shared" si="26"/>
        <v>0</v>
      </c>
      <c r="AE34" s="40">
        <f t="shared" si="26"/>
        <v>246.42857142857144</v>
      </c>
      <c r="AF34" s="40">
        <f t="shared" si="26"/>
        <v>346.57142857142861</v>
      </c>
    </row>
    <row r="35" spans="2:32" ht="23.1" customHeight="1" x14ac:dyDescent="0.25">
      <c r="B35" s="24" t="s">
        <v>62</v>
      </c>
      <c r="C35" s="49">
        <f>AVERAGE('28.10 Masaka-Maya'!C35,'29.10 Masaka-Maya'!C35,'30.10 Masaka-Maya'!C35,'01.11 Masaka-Maya'!C35,'31.10 Masaka-Maya-24h'!C35,'02.11 Masaka-Maya-24h'!C35,'03.11 Masaka-Maya'!C35)</f>
        <v>22.571428571428573</v>
      </c>
      <c r="D35" s="49">
        <f>AVERAGE('28.10 Masaka-Maya'!D35,'29.10 Masaka-Maya'!D35,'30.10 Masaka-Maya'!D35,'01.11 Masaka-Maya'!D35,'31.10 Masaka-Maya-24h'!D35,'02.11 Masaka-Maya-24h'!D35,'03.11 Masaka-Maya'!D35)</f>
        <v>3.7142857142857144</v>
      </c>
      <c r="E35" s="49">
        <f>AVERAGE('28.10 Masaka-Maya'!E35,'29.10 Masaka-Maya'!E35,'30.10 Masaka-Maya'!E35,'01.11 Masaka-Maya'!E35,'31.10 Masaka-Maya-24h'!E35,'02.11 Masaka-Maya-24h'!E35,'03.11 Masaka-Maya'!E35)</f>
        <v>5.7142857142857144</v>
      </c>
      <c r="F35" s="49">
        <f>AVERAGE('28.10 Masaka-Maya'!F35,'29.10 Masaka-Maya'!F35,'30.10 Masaka-Maya'!F35,'01.11 Masaka-Maya'!F35,'31.10 Masaka-Maya-24h'!F35,'02.11 Masaka-Maya-24h'!F35,'03.11 Masaka-Maya'!F35)</f>
        <v>20.571428571428573</v>
      </c>
      <c r="G35" s="49">
        <f>AVERAGE('28.10 Masaka-Maya'!G35,'29.10 Masaka-Maya'!G35,'30.10 Masaka-Maya'!G35,'01.11 Masaka-Maya'!G35,'31.10 Masaka-Maya-24h'!G35,'02.11 Masaka-Maya-24h'!G35,'03.11 Masaka-Maya'!G35)</f>
        <v>0.14285714285714285</v>
      </c>
      <c r="H35" s="49">
        <f>AVERAGE('28.10 Masaka-Maya'!H35,'29.10 Masaka-Maya'!H35,'30.10 Masaka-Maya'!H35,'01.11 Masaka-Maya'!H35,'31.10 Masaka-Maya-24h'!H35,'02.11 Masaka-Maya-24h'!H35,'03.11 Masaka-Maya'!H35)</f>
        <v>0.5714285714285714</v>
      </c>
      <c r="I35" s="49">
        <f>AVERAGE('28.10 Masaka-Maya'!I35,'29.10 Masaka-Maya'!I35,'30.10 Masaka-Maya'!I35,'01.11 Masaka-Maya'!I35,'31.10 Masaka-Maya-24h'!I35,'02.11 Masaka-Maya-24h'!I35,'03.11 Masaka-Maya'!I35)</f>
        <v>10.571428571428571</v>
      </c>
      <c r="J35" s="49">
        <f>AVERAGE('28.10 Masaka-Maya'!J35,'29.10 Masaka-Maya'!J35,'30.10 Masaka-Maya'!J35,'01.11 Masaka-Maya'!J35,'31.10 Masaka-Maya-24h'!J35,'02.11 Masaka-Maya-24h'!J35,'03.11 Masaka-Maya'!J35)</f>
        <v>0.5714285714285714</v>
      </c>
      <c r="K35" s="49">
        <f>AVERAGE('28.10 Masaka-Maya'!K35,'29.10 Masaka-Maya'!K35,'30.10 Masaka-Maya'!K35,'01.11 Masaka-Maya'!K35,'31.10 Masaka-Maya-24h'!K35,'02.11 Masaka-Maya-24h'!K35,'03.11 Masaka-Maya'!K35)</f>
        <v>0.5714285714285714</v>
      </c>
      <c r="L35" s="49">
        <f>AVERAGE('28.10 Masaka-Maya'!L35,'29.10 Masaka-Maya'!L35,'30.10 Masaka-Maya'!L35,'01.11 Masaka-Maya'!L35,'31.10 Masaka-Maya-24h'!L35,'02.11 Masaka-Maya-24h'!L35,'03.11 Masaka-Maya'!L35)</f>
        <v>1.2857142857142858</v>
      </c>
      <c r="M35" s="49">
        <f>AVERAGE('28.10 Masaka-Maya'!M35,'29.10 Masaka-Maya'!M35,'30.10 Masaka-Maya'!M35,'01.11 Masaka-Maya'!M35,'31.10 Masaka-Maya-24h'!M35,'02.11 Masaka-Maya-24h'!M35,'03.11 Masaka-Maya'!M35)</f>
        <v>18.857142857142858</v>
      </c>
      <c r="N35" s="49">
        <f>AVERAGE('28.10 Masaka-Maya'!N35,'29.10 Masaka-Maya'!N35,'30.10 Masaka-Maya'!N35,'01.11 Masaka-Maya'!N35,'31.10 Masaka-Maya-24h'!N35,'02.11 Masaka-Maya-24h'!N35,'03.11 Masaka-Maya'!N35)</f>
        <v>0</v>
      </c>
      <c r="O35" s="15">
        <f t="shared" si="0"/>
        <v>66.285714285714292</v>
      </c>
      <c r="P35" s="15">
        <f t="shared" si="1"/>
        <v>85.142857142857153</v>
      </c>
      <c r="R35" s="51" t="s">
        <v>91</v>
      </c>
      <c r="S35" s="52">
        <f t="shared" ref="S35:AF35" si="27">MAX(S13:S18)</f>
        <v>130.28571428571428</v>
      </c>
      <c r="T35" s="52">
        <f t="shared" si="27"/>
        <v>26</v>
      </c>
      <c r="U35" s="52">
        <f t="shared" si="27"/>
        <v>29</v>
      </c>
      <c r="V35" s="52">
        <f t="shared" si="27"/>
        <v>94</v>
      </c>
      <c r="W35" s="52">
        <f t="shared" si="27"/>
        <v>2.7142857142857144</v>
      </c>
      <c r="X35" s="52">
        <f t="shared" si="27"/>
        <v>8.1428571428571423</v>
      </c>
      <c r="Y35" s="52">
        <f t="shared" si="27"/>
        <v>54.714285714285715</v>
      </c>
      <c r="Z35" s="52">
        <f t="shared" si="27"/>
        <v>9.7142857142857135</v>
      </c>
      <c r="AA35" s="52">
        <f t="shared" si="27"/>
        <v>5</v>
      </c>
      <c r="AB35" s="52">
        <f t="shared" si="27"/>
        <v>10.142857142857144</v>
      </c>
      <c r="AC35" s="52">
        <f t="shared" si="27"/>
        <v>90.571428571428569</v>
      </c>
      <c r="AD35" s="52">
        <f t="shared" si="27"/>
        <v>0.14285714285714285</v>
      </c>
      <c r="AE35" s="40">
        <f t="shared" si="27"/>
        <v>356.42857142857144</v>
      </c>
      <c r="AF35" s="40">
        <f t="shared" si="27"/>
        <v>444.85714285714283</v>
      </c>
    </row>
    <row r="36" spans="2:32" ht="23.1" customHeight="1" x14ac:dyDescent="0.25">
      <c r="B36" s="24" t="s">
        <v>63</v>
      </c>
      <c r="C36" s="49">
        <f>AVERAGE('28.10 Masaka-Maya'!C36,'29.10 Masaka-Maya'!C36,'30.10 Masaka-Maya'!C36,'01.11 Masaka-Maya'!C36,'31.10 Masaka-Maya-24h'!C36,'02.11 Masaka-Maya-24h'!C36,'03.11 Masaka-Maya'!C36)</f>
        <v>24.857142857142858</v>
      </c>
      <c r="D36" s="49">
        <f>AVERAGE('28.10 Masaka-Maya'!D36,'29.10 Masaka-Maya'!D36,'30.10 Masaka-Maya'!D36,'01.11 Masaka-Maya'!D36,'31.10 Masaka-Maya-24h'!D36,'02.11 Masaka-Maya-24h'!D36,'03.11 Masaka-Maya'!D36)</f>
        <v>6.4285714285714288</v>
      </c>
      <c r="E36" s="49">
        <f>AVERAGE('28.10 Masaka-Maya'!E36,'29.10 Masaka-Maya'!E36,'30.10 Masaka-Maya'!E36,'01.11 Masaka-Maya'!E36,'31.10 Masaka-Maya-24h'!E36,'02.11 Masaka-Maya-24h'!E36,'03.11 Masaka-Maya'!E36)</f>
        <v>5.1428571428571432</v>
      </c>
      <c r="F36" s="49">
        <f>AVERAGE('28.10 Masaka-Maya'!F36,'29.10 Masaka-Maya'!F36,'30.10 Masaka-Maya'!F36,'01.11 Masaka-Maya'!F36,'31.10 Masaka-Maya-24h'!F36,'02.11 Masaka-Maya-24h'!F36,'03.11 Masaka-Maya'!F36)</f>
        <v>20.714285714285715</v>
      </c>
      <c r="G36" s="49">
        <f>AVERAGE('28.10 Masaka-Maya'!G36,'29.10 Masaka-Maya'!G36,'30.10 Masaka-Maya'!G36,'01.11 Masaka-Maya'!G36,'31.10 Masaka-Maya-24h'!G36,'02.11 Masaka-Maya-24h'!G36,'03.11 Masaka-Maya'!G36)</f>
        <v>0.42857142857142855</v>
      </c>
      <c r="H36" s="49">
        <f>AVERAGE('28.10 Masaka-Maya'!H36,'29.10 Masaka-Maya'!H36,'30.10 Masaka-Maya'!H36,'01.11 Masaka-Maya'!H36,'31.10 Masaka-Maya-24h'!H36,'02.11 Masaka-Maya-24h'!H36,'03.11 Masaka-Maya'!H36)</f>
        <v>1.4285714285714286</v>
      </c>
      <c r="I36" s="49">
        <f>AVERAGE('28.10 Masaka-Maya'!I36,'29.10 Masaka-Maya'!I36,'30.10 Masaka-Maya'!I36,'01.11 Masaka-Maya'!I36,'31.10 Masaka-Maya-24h'!I36,'02.11 Masaka-Maya-24h'!I36,'03.11 Masaka-Maya'!I36)</f>
        <v>10.285714285714286</v>
      </c>
      <c r="J36" s="49">
        <f>AVERAGE('28.10 Masaka-Maya'!J36,'29.10 Masaka-Maya'!J36,'30.10 Masaka-Maya'!J36,'01.11 Masaka-Maya'!J36,'31.10 Masaka-Maya-24h'!J36,'02.11 Masaka-Maya-24h'!J36,'03.11 Masaka-Maya'!J36)</f>
        <v>1.2857142857142858</v>
      </c>
      <c r="K36" s="49">
        <f>AVERAGE('28.10 Masaka-Maya'!K36,'29.10 Masaka-Maya'!K36,'30.10 Masaka-Maya'!K36,'01.11 Masaka-Maya'!K36,'31.10 Masaka-Maya-24h'!K36,'02.11 Masaka-Maya-24h'!K36,'03.11 Masaka-Maya'!K36)</f>
        <v>0.14285714285714285</v>
      </c>
      <c r="L36" s="49">
        <f>AVERAGE('28.10 Masaka-Maya'!L36,'29.10 Masaka-Maya'!L36,'30.10 Masaka-Maya'!L36,'01.11 Masaka-Maya'!L36,'31.10 Masaka-Maya-24h'!L36,'02.11 Masaka-Maya-24h'!L36,'03.11 Masaka-Maya'!L36)</f>
        <v>3.1428571428571428</v>
      </c>
      <c r="M36" s="49">
        <f>AVERAGE('28.10 Masaka-Maya'!M36,'29.10 Masaka-Maya'!M36,'30.10 Masaka-Maya'!M36,'01.11 Masaka-Maya'!M36,'31.10 Masaka-Maya-24h'!M36,'02.11 Masaka-Maya-24h'!M36,'03.11 Masaka-Maya'!M36)</f>
        <v>16.285714285714285</v>
      </c>
      <c r="N36" s="49">
        <f>AVERAGE('28.10 Masaka-Maya'!N36,'29.10 Masaka-Maya'!N36,'30.10 Masaka-Maya'!N36,'01.11 Masaka-Maya'!N36,'31.10 Masaka-Maya-24h'!N36,'02.11 Masaka-Maya-24h'!N36,'03.11 Masaka-Maya'!N36)</f>
        <v>0</v>
      </c>
      <c r="O36" s="15">
        <f t="shared" si="0"/>
        <v>73.857142857142861</v>
      </c>
      <c r="P36" s="15">
        <f t="shared" si="1"/>
        <v>90.142857142857139</v>
      </c>
      <c r="R36" s="51" t="s">
        <v>92</v>
      </c>
      <c r="S36" s="52">
        <f t="shared" ref="S36:AF36" si="28">MAX(S19:S21)</f>
        <v>222.71428571428572</v>
      </c>
      <c r="T36" s="52">
        <f t="shared" si="28"/>
        <v>43.285714285714285</v>
      </c>
      <c r="U36" s="52">
        <f t="shared" si="28"/>
        <v>32.142857142857146</v>
      </c>
      <c r="V36" s="52">
        <f t="shared" si="28"/>
        <v>124.42857142857143</v>
      </c>
      <c r="W36" s="52">
        <f t="shared" si="28"/>
        <v>17.142857142857142</v>
      </c>
      <c r="X36" s="52">
        <f t="shared" si="28"/>
        <v>7.5714285714285712</v>
      </c>
      <c r="Y36" s="52">
        <f t="shared" si="28"/>
        <v>65</v>
      </c>
      <c r="Z36" s="52">
        <f t="shared" si="28"/>
        <v>12.285714285714285</v>
      </c>
      <c r="AA36" s="52">
        <f t="shared" si="28"/>
        <v>5.5714285714285712</v>
      </c>
      <c r="AB36" s="52">
        <f t="shared" si="28"/>
        <v>11.285714285714285</v>
      </c>
      <c r="AC36" s="52">
        <f t="shared" si="28"/>
        <v>132.28571428571428</v>
      </c>
      <c r="AD36" s="52">
        <f t="shared" si="28"/>
        <v>0</v>
      </c>
      <c r="AE36" s="40">
        <f t="shared" si="28"/>
        <v>534.71428571428567</v>
      </c>
      <c r="AF36" s="40">
        <f t="shared" si="28"/>
        <v>660.42857142857133</v>
      </c>
    </row>
    <row r="37" spans="2:32" ht="23.1" customHeight="1" x14ac:dyDescent="0.25">
      <c r="B37" s="23" t="s">
        <v>64</v>
      </c>
      <c r="C37" s="49">
        <f>AVERAGE('28.10 Masaka-Maya'!C37,'29.10 Masaka-Maya'!C37,'30.10 Masaka-Maya'!C37,'01.11 Masaka-Maya'!C37,'31.10 Masaka-Maya-24h'!C37,'02.11 Masaka-Maya-24h'!C37,'03.11 Masaka-Maya'!C37)</f>
        <v>23.571428571428573</v>
      </c>
      <c r="D37" s="49">
        <f>AVERAGE('28.10 Masaka-Maya'!D37,'29.10 Masaka-Maya'!D37,'30.10 Masaka-Maya'!D37,'01.11 Masaka-Maya'!D37,'31.10 Masaka-Maya-24h'!D37,'02.11 Masaka-Maya-24h'!D37,'03.11 Masaka-Maya'!D37)</f>
        <v>5</v>
      </c>
      <c r="E37" s="49">
        <f>AVERAGE('28.10 Masaka-Maya'!E37,'29.10 Masaka-Maya'!E37,'30.10 Masaka-Maya'!E37,'01.11 Masaka-Maya'!E37,'31.10 Masaka-Maya-24h'!E37,'02.11 Masaka-Maya-24h'!E37,'03.11 Masaka-Maya'!E37)</f>
        <v>5</v>
      </c>
      <c r="F37" s="49">
        <f>AVERAGE('28.10 Masaka-Maya'!F37,'29.10 Masaka-Maya'!F37,'30.10 Masaka-Maya'!F37,'01.11 Masaka-Maya'!F37,'31.10 Masaka-Maya-24h'!F37,'02.11 Masaka-Maya-24h'!F37,'03.11 Masaka-Maya'!F37)</f>
        <v>17.142857142857142</v>
      </c>
      <c r="G37" s="49">
        <f>AVERAGE('28.10 Masaka-Maya'!G37,'29.10 Masaka-Maya'!G37,'30.10 Masaka-Maya'!G37,'01.11 Masaka-Maya'!G37,'31.10 Masaka-Maya-24h'!G37,'02.11 Masaka-Maya-24h'!G37,'03.11 Masaka-Maya'!G37)</f>
        <v>0.42857142857142855</v>
      </c>
      <c r="H37" s="49">
        <f>AVERAGE('28.10 Masaka-Maya'!H37,'29.10 Masaka-Maya'!H37,'30.10 Masaka-Maya'!H37,'01.11 Masaka-Maya'!H37,'31.10 Masaka-Maya-24h'!H37,'02.11 Masaka-Maya-24h'!H37,'03.11 Masaka-Maya'!H37)</f>
        <v>1.5714285714285714</v>
      </c>
      <c r="I37" s="49">
        <f>AVERAGE('28.10 Masaka-Maya'!I37,'29.10 Masaka-Maya'!I37,'30.10 Masaka-Maya'!I37,'01.11 Masaka-Maya'!I37,'31.10 Masaka-Maya-24h'!I37,'02.11 Masaka-Maya-24h'!I37,'03.11 Masaka-Maya'!I37)</f>
        <v>11.714285714285714</v>
      </c>
      <c r="J37" s="49">
        <f>AVERAGE('28.10 Masaka-Maya'!J37,'29.10 Masaka-Maya'!J37,'30.10 Masaka-Maya'!J37,'01.11 Masaka-Maya'!J37,'31.10 Masaka-Maya-24h'!J37,'02.11 Masaka-Maya-24h'!J37,'03.11 Masaka-Maya'!J37)</f>
        <v>0.5714285714285714</v>
      </c>
      <c r="K37" s="49">
        <f>AVERAGE('28.10 Masaka-Maya'!K37,'29.10 Masaka-Maya'!K37,'30.10 Masaka-Maya'!K37,'01.11 Masaka-Maya'!K37,'31.10 Masaka-Maya-24h'!K37,'02.11 Masaka-Maya-24h'!K37,'03.11 Masaka-Maya'!K37)</f>
        <v>0.5714285714285714</v>
      </c>
      <c r="L37" s="49">
        <f>AVERAGE('28.10 Masaka-Maya'!L37,'29.10 Masaka-Maya'!L37,'30.10 Masaka-Maya'!L37,'01.11 Masaka-Maya'!L37,'31.10 Masaka-Maya-24h'!L37,'02.11 Masaka-Maya-24h'!L37,'03.11 Masaka-Maya'!L37)</f>
        <v>2.2857142857142856</v>
      </c>
      <c r="M37" s="49">
        <f>AVERAGE('28.10 Masaka-Maya'!M37,'29.10 Masaka-Maya'!M37,'30.10 Masaka-Maya'!M37,'01.11 Masaka-Maya'!M37,'31.10 Masaka-Maya-24h'!M37,'02.11 Masaka-Maya-24h'!M37,'03.11 Masaka-Maya'!M37)</f>
        <v>19.142857142857142</v>
      </c>
      <c r="N37" s="49">
        <f>AVERAGE('28.10 Masaka-Maya'!N37,'29.10 Masaka-Maya'!N37,'30.10 Masaka-Maya'!N37,'01.11 Masaka-Maya'!N37,'31.10 Masaka-Maya-24h'!N37,'02.11 Masaka-Maya-24h'!N37,'03.11 Masaka-Maya'!N37)</f>
        <v>0</v>
      </c>
      <c r="O37" s="15">
        <f t="shared" si="0"/>
        <v>67.857142857142847</v>
      </c>
      <c r="P37" s="15">
        <f t="shared" si="1"/>
        <v>86.999999999999986</v>
      </c>
      <c r="R37" s="37" t="s">
        <v>85</v>
      </c>
      <c r="S37" s="53">
        <f t="shared" ref="S37:AF37" si="29">SUM(S10:S12)</f>
        <v>179.14285714285714</v>
      </c>
      <c r="T37" s="54">
        <f t="shared" si="29"/>
        <v>34.285714285714285</v>
      </c>
      <c r="U37" s="54">
        <f t="shared" si="29"/>
        <v>28.285714285714285</v>
      </c>
      <c r="V37" s="54">
        <f t="shared" si="29"/>
        <v>272.28571428571428</v>
      </c>
      <c r="W37" s="54">
        <f t="shared" si="29"/>
        <v>6.7142857142857135</v>
      </c>
      <c r="X37" s="54">
        <f t="shared" si="29"/>
        <v>8.2857142857142847</v>
      </c>
      <c r="Y37" s="54">
        <f t="shared" si="29"/>
        <v>104.71428571428572</v>
      </c>
      <c r="Z37" s="54">
        <f t="shared" si="29"/>
        <v>20.714285714285715</v>
      </c>
      <c r="AA37" s="54">
        <f t="shared" si="29"/>
        <v>8.8571428571428577</v>
      </c>
      <c r="AB37" s="54">
        <f t="shared" si="29"/>
        <v>25.714285714285715</v>
      </c>
      <c r="AC37" s="54">
        <f t="shared" si="29"/>
        <v>321</v>
      </c>
      <c r="AD37" s="54">
        <f t="shared" si="29"/>
        <v>0</v>
      </c>
      <c r="AE37" s="55">
        <f t="shared" si="29"/>
        <v>689</v>
      </c>
      <c r="AF37" s="55">
        <f t="shared" si="29"/>
        <v>1010</v>
      </c>
    </row>
    <row r="38" spans="2:32" ht="23.1" customHeight="1" x14ac:dyDescent="0.25">
      <c r="B38" s="24" t="s">
        <v>65</v>
      </c>
      <c r="C38" s="49">
        <f>AVERAGE('28.10 Masaka-Maya'!C38,'29.10 Masaka-Maya'!C38,'30.10 Masaka-Maya'!C38,'01.11 Masaka-Maya'!C38,'31.10 Masaka-Maya-24h'!C38,'02.11 Masaka-Maya-24h'!C38,'03.11 Masaka-Maya'!C38)</f>
        <v>22.714285714285715</v>
      </c>
      <c r="D38" s="49">
        <f>AVERAGE('28.10 Masaka-Maya'!D38,'29.10 Masaka-Maya'!D38,'30.10 Masaka-Maya'!D38,'01.11 Masaka-Maya'!D38,'31.10 Masaka-Maya-24h'!D38,'02.11 Masaka-Maya-24h'!D38,'03.11 Masaka-Maya'!D38)</f>
        <v>4.7142857142857144</v>
      </c>
      <c r="E38" s="49">
        <f>AVERAGE('28.10 Masaka-Maya'!E38,'29.10 Masaka-Maya'!E38,'30.10 Masaka-Maya'!E38,'01.11 Masaka-Maya'!E38,'31.10 Masaka-Maya-24h'!E38,'02.11 Masaka-Maya-24h'!E38,'03.11 Masaka-Maya'!E38)</f>
        <v>6</v>
      </c>
      <c r="F38" s="49">
        <f>AVERAGE('28.10 Masaka-Maya'!F38,'29.10 Masaka-Maya'!F38,'30.10 Masaka-Maya'!F38,'01.11 Masaka-Maya'!F38,'31.10 Masaka-Maya-24h'!F38,'02.11 Masaka-Maya-24h'!F38,'03.11 Masaka-Maya'!F38)</f>
        <v>21</v>
      </c>
      <c r="G38" s="49">
        <f>AVERAGE('28.10 Masaka-Maya'!G38,'29.10 Masaka-Maya'!G38,'30.10 Masaka-Maya'!G38,'01.11 Masaka-Maya'!G38,'31.10 Masaka-Maya-24h'!G38,'02.11 Masaka-Maya-24h'!G38,'03.11 Masaka-Maya'!G38)</f>
        <v>1</v>
      </c>
      <c r="H38" s="49">
        <f>AVERAGE('28.10 Masaka-Maya'!H38,'29.10 Masaka-Maya'!H38,'30.10 Masaka-Maya'!H38,'01.11 Masaka-Maya'!H38,'31.10 Masaka-Maya-24h'!H38,'02.11 Masaka-Maya-24h'!H38,'03.11 Masaka-Maya'!H38)</f>
        <v>1.1428571428571428</v>
      </c>
      <c r="I38" s="49">
        <f>AVERAGE('28.10 Masaka-Maya'!I38,'29.10 Masaka-Maya'!I38,'30.10 Masaka-Maya'!I38,'01.11 Masaka-Maya'!I38,'31.10 Masaka-Maya-24h'!I38,'02.11 Masaka-Maya-24h'!I38,'03.11 Masaka-Maya'!I38)</f>
        <v>12.428571428571429</v>
      </c>
      <c r="J38" s="49">
        <f>AVERAGE('28.10 Masaka-Maya'!J38,'29.10 Masaka-Maya'!J38,'30.10 Masaka-Maya'!J38,'01.11 Masaka-Maya'!J38,'31.10 Masaka-Maya-24h'!J38,'02.11 Masaka-Maya-24h'!J38,'03.11 Masaka-Maya'!J38)</f>
        <v>1.1428571428571428</v>
      </c>
      <c r="K38" s="49">
        <f>AVERAGE('28.10 Masaka-Maya'!K38,'29.10 Masaka-Maya'!K38,'30.10 Masaka-Maya'!K38,'01.11 Masaka-Maya'!K38,'31.10 Masaka-Maya-24h'!K38,'02.11 Masaka-Maya-24h'!K38,'03.11 Masaka-Maya'!K38)</f>
        <v>0.42857142857142855</v>
      </c>
      <c r="L38" s="49">
        <f>AVERAGE('28.10 Masaka-Maya'!L38,'29.10 Masaka-Maya'!L38,'30.10 Masaka-Maya'!L38,'01.11 Masaka-Maya'!L38,'31.10 Masaka-Maya-24h'!L38,'02.11 Masaka-Maya-24h'!L38,'03.11 Masaka-Maya'!L38)</f>
        <v>1.8571428571428572</v>
      </c>
      <c r="M38" s="49">
        <f>AVERAGE('28.10 Masaka-Maya'!M38,'29.10 Masaka-Maya'!M38,'30.10 Masaka-Maya'!M38,'01.11 Masaka-Maya'!M38,'31.10 Masaka-Maya-24h'!M38,'02.11 Masaka-Maya-24h'!M38,'03.11 Masaka-Maya'!M38)</f>
        <v>17.428571428571427</v>
      </c>
      <c r="N38" s="49">
        <f>AVERAGE('28.10 Masaka-Maya'!N38,'29.10 Masaka-Maya'!N38,'30.10 Masaka-Maya'!N38,'01.11 Masaka-Maya'!N38,'31.10 Masaka-Maya-24h'!N38,'02.11 Masaka-Maya-24h'!N38,'03.11 Masaka-Maya'!N38)</f>
        <v>0</v>
      </c>
      <c r="O38" s="15">
        <f t="shared" si="0"/>
        <v>72.428571428571431</v>
      </c>
      <c r="P38" s="15">
        <f t="shared" si="1"/>
        <v>89.857142857142861</v>
      </c>
      <c r="R38" s="28" t="s">
        <v>86</v>
      </c>
      <c r="S38" s="54">
        <f t="shared" ref="S38:AF38" si="30">SUM(S13:S18)</f>
        <v>575.71428571428578</v>
      </c>
      <c r="T38" s="54">
        <f t="shared" si="30"/>
        <v>113.42857142857142</v>
      </c>
      <c r="U38" s="54">
        <f t="shared" si="30"/>
        <v>117.42857142857143</v>
      </c>
      <c r="V38" s="54">
        <f t="shared" si="30"/>
        <v>507.85714285714289</v>
      </c>
      <c r="W38" s="54">
        <f t="shared" si="30"/>
        <v>14.285714285714288</v>
      </c>
      <c r="X38" s="54">
        <f t="shared" si="30"/>
        <v>29.714285714285719</v>
      </c>
      <c r="Y38" s="54">
        <f t="shared" si="30"/>
        <v>276.99999999999994</v>
      </c>
      <c r="Z38" s="54">
        <f t="shared" si="30"/>
        <v>34.285714285714285</v>
      </c>
      <c r="AA38" s="54">
        <f t="shared" si="30"/>
        <v>17.571428571428569</v>
      </c>
      <c r="AB38" s="54">
        <f t="shared" si="30"/>
        <v>54.142857142857146</v>
      </c>
      <c r="AC38" s="54">
        <f t="shared" si="30"/>
        <v>508.28571428571422</v>
      </c>
      <c r="AD38" s="54">
        <f t="shared" si="30"/>
        <v>0.2857142857142857</v>
      </c>
      <c r="AE38" s="55">
        <f t="shared" si="30"/>
        <v>1741.7142857142858</v>
      </c>
      <c r="AF38" s="55">
        <f t="shared" si="30"/>
        <v>2250</v>
      </c>
    </row>
    <row r="39" spans="2:32" ht="23.1" customHeight="1" x14ac:dyDescent="0.25">
      <c r="B39" s="24" t="s">
        <v>66</v>
      </c>
      <c r="C39" s="49">
        <f>AVERAGE('28.10 Masaka-Maya'!C39,'29.10 Masaka-Maya'!C39,'30.10 Masaka-Maya'!C39,'01.11 Masaka-Maya'!C39,'31.10 Masaka-Maya-24h'!C39,'02.11 Masaka-Maya-24h'!C39,'03.11 Masaka-Maya'!C39)</f>
        <v>28</v>
      </c>
      <c r="D39" s="49">
        <f>AVERAGE('28.10 Masaka-Maya'!D39,'29.10 Masaka-Maya'!D39,'30.10 Masaka-Maya'!D39,'01.11 Masaka-Maya'!D39,'31.10 Masaka-Maya-24h'!D39,'02.11 Masaka-Maya-24h'!D39,'03.11 Masaka-Maya'!D39)</f>
        <v>6.1428571428571432</v>
      </c>
      <c r="E39" s="49">
        <f>AVERAGE('28.10 Masaka-Maya'!E39,'29.10 Masaka-Maya'!E39,'30.10 Masaka-Maya'!E39,'01.11 Masaka-Maya'!E39,'31.10 Masaka-Maya-24h'!E39,'02.11 Masaka-Maya-24h'!E39,'03.11 Masaka-Maya'!E39)</f>
        <v>5.7142857142857144</v>
      </c>
      <c r="F39" s="49">
        <f>AVERAGE('28.10 Masaka-Maya'!F39,'29.10 Masaka-Maya'!F39,'30.10 Masaka-Maya'!F39,'01.11 Masaka-Maya'!F39,'31.10 Masaka-Maya-24h'!F39,'02.11 Masaka-Maya-24h'!F39,'03.11 Masaka-Maya'!F39)</f>
        <v>18.285714285714285</v>
      </c>
      <c r="G39" s="49">
        <f>AVERAGE('28.10 Masaka-Maya'!G39,'29.10 Masaka-Maya'!G39,'30.10 Masaka-Maya'!G39,'01.11 Masaka-Maya'!G39,'31.10 Masaka-Maya-24h'!G39,'02.11 Masaka-Maya-24h'!G39,'03.11 Masaka-Maya'!G39)</f>
        <v>0.5714285714285714</v>
      </c>
      <c r="H39" s="49">
        <f>AVERAGE('28.10 Masaka-Maya'!H39,'29.10 Masaka-Maya'!H39,'30.10 Masaka-Maya'!H39,'01.11 Masaka-Maya'!H39,'31.10 Masaka-Maya-24h'!H39,'02.11 Masaka-Maya-24h'!H39,'03.11 Masaka-Maya'!H39)</f>
        <v>1.2857142857142858</v>
      </c>
      <c r="I39" s="49">
        <f>AVERAGE('28.10 Masaka-Maya'!I39,'29.10 Masaka-Maya'!I39,'30.10 Masaka-Maya'!I39,'01.11 Masaka-Maya'!I39,'31.10 Masaka-Maya-24h'!I39,'02.11 Masaka-Maya-24h'!I39,'03.11 Masaka-Maya'!I39)</f>
        <v>12.285714285714286</v>
      </c>
      <c r="J39" s="49">
        <f>AVERAGE('28.10 Masaka-Maya'!J39,'29.10 Masaka-Maya'!J39,'30.10 Masaka-Maya'!J39,'01.11 Masaka-Maya'!J39,'31.10 Masaka-Maya-24h'!J39,'02.11 Masaka-Maya-24h'!J39,'03.11 Masaka-Maya'!J39)</f>
        <v>1.4285714285714286</v>
      </c>
      <c r="K39" s="49">
        <f>AVERAGE('28.10 Masaka-Maya'!K39,'29.10 Masaka-Maya'!K39,'30.10 Masaka-Maya'!K39,'01.11 Masaka-Maya'!K39,'31.10 Masaka-Maya-24h'!K39,'02.11 Masaka-Maya-24h'!K39,'03.11 Masaka-Maya'!K39)</f>
        <v>0.8571428571428571</v>
      </c>
      <c r="L39" s="49">
        <f>AVERAGE('28.10 Masaka-Maya'!L39,'29.10 Masaka-Maya'!L39,'30.10 Masaka-Maya'!L39,'01.11 Masaka-Maya'!L39,'31.10 Masaka-Maya-24h'!L39,'02.11 Masaka-Maya-24h'!L39,'03.11 Masaka-Maya'!L39)</f>
        <v>3</v>
      </c>
      <c r="M39" s="49">
        <f>AVERAGE('28.10 Masaka-Maya'!M39,'29.10 Masaka-Maya'!M39,'30.10 Masaka-Maya'!M39,'01.11 Masaka-Maya'!M39,'31.10 Masaka-Maya-24h'!M39,'02.11 Masaka-Maya-24h'!M39,'03.11 Masaka-Maya'!M39)</f>
        <v>16.714285714285715</v>
      </c>
      <c r="N39" s="49">
        <f>AVERAGE('28.10 Masaka-Maya'!N39,'29.10 Masaka-Maya'!N39,'30.10 Masaka-Maya'!N39,'01.11 Masaka-Maya'!N39,'31.10 Masaka-Maya-24h'!N39,'02.11 Masaka-Maya-24h'!N39,'03.11 Masaka-Maya'!N39)</f>
        <v>0</v>
      </c>
      <c r="O39" s="15">
        <f t="shared" si="0"/>
        <v>77.571428571428584</v>
      </c>
      <c r="P39" s="15">
        <f t="shared" si="1"/>
        <v>94.285714285714306</v>
      </c>
      <c r="R39" s="29" t="s">
        <v>87</v>
      </c>
      <c r="S39" s="54">
        <f t="shared" ref="S39:AF39" si="31">SUM(S19:S21)</f>
        <v>565.57142857142867</v>
      </c>
      <c r="T39" s="54">
        <f t="shared" si="31"/>
        <v>120.42857142857144</v>
      </c>
      <c r="U39" s="54">
        <f t="shared" si="31"/>
        <v>90.714285714285722</v>
      </c>
      <c r="V39" s="54">
        <f t="shared" si="31"/>
        <v>333.85714285714289</v>
      </c>
      <c r="W39" s="54">
        <f t="shared" si="31"/>
        <v>36.857142857142861</v>
      </c>
      <c r="X39" s="54">
        <f t="shared" si="31"/>
        <v>20.857142857142858</v>
      </c>
      <c r="Y39" s="54">
        <f t="shared" si="31"/>
        <v>188</v>
      </c>
      <c r="Z39" s="54">
        <f t="shared" si="31"/>
        <v>32.571428571428569</v>
      </c>
      <c r="AA39" s="54">
        <f t="shared" si="31"/>
        <v>14.714285714285712</v>
      </c>
      <c r="AB39" s="54">
        <f t="shared" si="31"/>
        <v>32.714285714285715</v>
      </c>
      <c r="AC39" s="54">
        <f t="shared" si="31"/>
        <v>369.57142857142856</v>
      </c>
      <c r="AD39" s="54">
        <f t="shared" si="31"/>
        <v>0</v>
      </c>
      <c r="AE39" s="55">
        <f t="shared" si="31"/>
        <v>1436.2857142857142</v>
      </c>
      <c r="AF39" s="55">
        <f t="shared" si="31"/>
        <v>1805.8571428571429</v>
      </c>
    </row>
    <row r="40" spans="2:32" ht="23.1" customHeight="1" x14ac:dyDescent="0.25">
      <c r="B40" s="24" t="s">
        <v>67</v>
      </c>
      <c r="C40" s="49">
        <f>AVERAGE('28.10 Masaka-Maya'!C40,'29.10 Masaka-Maya'!C40,'30.10 Masaka-Maya'!C40,'01.11 Masaka-Maya'!C40,'31.10 Masaka-Maya-24h'!C40,'02.11 Masaka-Maya-24h'!C40,'03.11 Masaka-Maya'!C40)</f>
        <v>28.142857142857142</v>
      </c>
      <c r="D40" s="49">
        <f>AVERAGE('28.10 Masaka-Maya'!D40,'29.10 Masaka-Maya'!D40,'30.10 Masaka-Maya'!D40,'01.11 Masaka-Maya'!D40,'31.10 Masaka-Maya-24h'!D40,'02.11 Masaka-Maya-24h'!D40,'03.11 Masaka-Maya'!D40)</f>
        <v>4.8571428571428568</v>
      </c>
      <c r="E40" s="49">
        <f>AVERAGE('28.10 Masaka-Maya'!E40,'29.10 Masaka-Maya'!E40,'30.10 Masaka-Maya'!E40,'01.11 Masaka-Maya'!E40,'31.10 Masaka-Maya-24h'!E40,'02.11 Masaka-Maya-24h'!E40,'03.11 Masaka-Maya'!E40)</f>
        <v>6.2857142857142856</v>
      </c>
      <c r="F40" s="49">
        <f>AVERAGE('28.10 Masaka-Maya'!F40,'29.10 Masaka-Maya'!F40,'30.10 Masaka-Maya'!F40,'01.11 Masaka-Maya'!F40,'31.10 Masaka-Maya-24h'!F40,'02.11 Masaka-Maya-24h'!F40,'03.11 Masaka-Maya'!F40)</f>
        <v>19.714285714285715</v>
      </c>
      <c r="G40" s="49">
        <f>AVERAGE('28.10 Masaka-Maya'!G40,'29.10 Masaka-Maya'!G40,'30.10 Masaka-Maya'!G40,'01.11 Masaka-Maya'!G40,'31.10 Masaka-Maya-24h'!G40,'02.11 Masaka-Maya-24h'!G40,'03.11 Masaka-Maya'!G40)</f>
        <v>0.5714285714285714</v>
      </c>
      <c r="H40" s="49">
        <f>AVERAGE('28.10 Masaka-Maya'!H40,'29.10 Masaka-Maya'!H40,'30.10 Masaka-Maya'!H40,'01.11 Masaka-Maya'!H40,'31.10 Masaka-Maya-24h'!H40,'02.11 Masaka-Maya-24h'!H40,'03.11 Masaka-Maya'!H40)</f>
        <v>1.4285714285714286</v>
      </c>
      <c r="I40" s="49">
        <f>AVERAGE('28.10 Masaka-Maya'!I40,'29.10 Masaka-Maya'!I40,'30.10 Masaka-Maya'!I40,'01.11 Masaka-Maya'!I40,'31.10 Masaka-Maya-24h'!I40,'02.11 Masaka-Maya-24h'!I40,'03.11 Masaka-Maya'!I40)</f>
        <v>13.428571428571429</v>
      </c>
      <c r="J40" s="49">
        <f>AVERAGE('28.10 Masaka-Maya'!J40,'29.10 Masaka-Maya'!J40,'30.10 Masaka-Maya'!J40,'01.11 Masaka-Maya'!J40,'31.10 Masaka-Maya-24h'!J40,'02.11 Masaka-Maya-24h'!J40,'03.11 Masaka-Maya'!J40)</f>
        <v>1.1428571428571428</v>
      </c>
      <c r="K40" s="49">
        <f>AVERAGE('28.10 Masaka-Maya'!K40,'29.10 Masaka-Maya'!K40,'30.10 Masaka-Maya'!K40,'01.11 Masaka-Maya'!K40,'31.10 Masaka-Maya-24h'!K40,'02.11 Masaka-Maya-24h'!K40,'03.11 Masaka-Maya'!K40)</f>
        <v>0.7142857142857143</v>
      </c>
      <c r="L40" s="49">
        <f>AVERAGE('28.10 Masaka-Maya'!L40,'29.10 Masaka-Maya'!L40,'30.10 Masaka-Maya'!L40,'01.11 Masaka-Maya'!L40,'31.10 Masaka-Maya-24h'!L40,'02.11 Masaka-Maya-24h'!L40,'03.11 Masaka-Maya'!L40)</f>
        <v>1.8571428571428572</v>
      </c>
      <c r="M40" s="49">
        <f>AVERAGE('28.10 Masaka-Maya'!M40,'29.10 Masaka-Maya'!M40,'30.10 Masaka-Maya'!M40,'01.11 Masaka-Maya'!M40,'31.10 Masaka-Maya-24h'!M40,'02.11 Masaka-Maya-24h'!M40,'03.11 Masaka-Maya'!M40)</f>
        <v>21.714285714285715</v>
      </c>
      <c r="N40" s="49">
        <f>AVERAGE('28.10 Masaka-Maya'!N40,'29.10 Masaka-Maya'!N40,'30.10 Masaka-Maya'!N40,'01.11 Masaka-Maya'!N40,'31.10 Masaka-Maya-24h'!N40,'02.11 Masaka-Maya-24h'!N40,'03.11 Masaka-Maya'!N40)</f>
        <v>0.14285714285714285</v>
      </c>
      <c r="O40" s="15">
        <f t="shared" si="0"/>
        <v>78.285714285714278</v>
      </c>
      <c r="P40" s="15">
        <f t="shared" si="1"/>
        <v>100</v>
      </c>
      <c r="R40" s="5" t="s">
        <v>17</v>
      </c>
      <c r="S40" s="54">
        <f t="shared" ref="S40:AF40" si="32">SUM(S10:S21)</f>
        <v>1320.4285714285716</v>
      </c>
      <c r="T40" s="54">
        <f t="shared" si="32"/>
        <v>268.14285714285717</v>
      </c>
      <c r="U40" s="54">
        <f t="shared" si="32"/>
        <v>236.42857142857144</v>
      </c>
      <c r="V40" s="54">
        <f t="shared" si="32"/>
        <v>1114</v>
      </c>
      <c r="W40" s="54">
        <f t="shared" si="32"/>
        <v>57.857142857142861</v>
      </c>
      <c r="X40" s="54">
        <f t="shared" si="32"/>
        <v>58.857142857142854</v>
      </c>
      <c r="Y40" s="54">
        <f t="shared" si="32"/>
        <v>569.71428571428578</v>
      </c>
      <c r="Z40" s="54">
        <f t="shared" si="32"/>
        <v>87.571428571428555</v>
      </c>
      <c r="AA40" s="54">
        <f t="shared" si="32"/>
        <v>41.142857142857146</v>
      </c>
      <c r="AB40" s="54">
        <f t="shared" si="32"/>
        <v>112.57142857142858</v>
      </c>
      <c r="AC40" s="54">
        <f t="shared" si="32"/>
        <v>1198.8571428571429</v>
      </c>
      <c r="AD40" s="54">
        <f t="shared" si="32"/>
        <v>0.2857142857142857</v>
      </c>
      <c r="AE40" s="55">
        <f t="shared" si="32"/>
        <v>3867</v>
      </c>
      <c r="AF40" s="55">
        <f t="shared" si="32"/>
        <v>5065.8571428571431</v>
      </c>
    </row>
    <row r="41" spans="2:32" ht="23.1" customHeight="1" x14ac:dyDescent="0.25">
      <c r="B41" s="23" t="s">
        <v>68</v>
      </c>
      <c r="C41" s="49">
        <f>AVERAGE('28.10 Masaka-Maya'!C41,'29.10 Masaka-Maya'!C41,'30.10 Masaka-Maya'!C41,'01.11 Masaka-Maya'!C41,'31.10 Masaka-Maya-24h'!C41,'02.11 Masaka-Maya-24h'!C41,'03.11 Masaka-Maya'!C41)</f>
        <v>30.571428571428573</v>
      </c>
      <c r="D41" s="49">
        <f>AVERAGE('28.10 Masaka-Maya'!D41,'29.10 Masaka-Maya'!D41,'30.10 Masaka-Maya'!D41,'01.11 Masaka-Maya'!D41,'31.10 Masaka-Maya-24h'!D41,'02.11 Masaka-Maya-24h'!D41,'03.11 Masaka-Maya'!D41)</f>
        <v>5.5714285714285712</v>
      </c>
      <c r="E41" s="49">
        <f>AVERAGE('28.10 Masaka-Maya'!E41,'29.10 Masaka-Maya'!E41,'30.10 Masaka-Maya'!E41,'01.11 Masaka-Maya'!E41,'31.10 Masaka-Maya-24h'!E41,'02.11 Masaka-Maya-24h'!E41,'03.11 Masaka-Maya'!E41)</f>
        <v>6.5714285714285712</v>
      </c>
      <c r="F41" s="49">
        <f>AVERAGE('28.10 Masaka-Maya'!F41,'29.10 Masaka-Maya'!F41,'30.10 Masaka-Maya'!F41,'01.11 Masaka-Maya'!F41,'31.10 Masaka-Maya-24h'!F41,'02.11 Masaka-Maya-24h'!F41,'03.11 Masaka-Maya'!F41)</f>
        <v>20.571428571428573</v>
      </c>
      <c r="G41" s="49">
        <f>AVERAGE('28.10 Masaka-Maya'!G41,'29.10 Masaka-Maya'!G41,'30.10 Masaka-Maya'!G41,'01.11 Masaka-Maya'!G41,'31.10 Masaka-Maya-24h'!G41,'02.11 Masaka-Maya-24h'!G41,'03.11 Masaka-Maya'!G41)</f>
        <v>0.5714285714285714</v>
      </c>
      <c r="H41" s="49">
        <f>AVERAGE('28.10 Masaka-Maya'!H41,'29.10 Masaka-Maya'!H41,'30.10 Masaka-Maya'!H41,'01.11 Masaka-Maya'!H41,'31.10 Masaka-Maya-24h'!H41,'02.11 Masaka-Maya-24h'!H41,'03.11 Masaka-Maya'!H41)</f>
        <v>1.4285714285714286</v>
      </c>
      <c r="I41" s="49">
        <f>AVERAGE('28.10 Masaka-Maya'!I41,'29.10 Masaka-Maya'!I41,'30.10 Masaka-Maya'!I41,'01.11 Masaka-Maya'!I41,'31.10 Masaka-Maya-24h'!I41,'02.11 Masaka-Maya-24h'!I41,'03.11 Masaka-Maya'!I41)</f>
        <v>12</v>
      </c>
      <c r="J41" s="49">
        <f>AVERAGE('28.10 Masaka-Maya'!J41,'29.10 Masaka-Maya'!J41,'30.10 Masaka-Maya'!J41,'01.11 Masaka-Maya'!J41,'31.10 Masaka-Maya-24h'!J41,'02.11 Masaka-Maya-24h'!J41,'03.11 Masaka-Maya'!J41)</f>
        <v>1.2857142857142858</v>
      </c>
      <c r="K41" s="49">
        <f>AVERAGE('28.10 Masaka-Maya'!K41,'29.10 Masaka-Maya'!K41,'30.10 Masaka-Maya'!K41,'01.11 Masaka-Maya'!K41,'31.10 Masaka-Maya-24h'!K41,'02.11 Masaka-Maya-24h'!K41,'03.11 Masaka-Maya'!K41)</f>
        <v>0.14285714285714285</v>
      </c>
      <c r="L41" s="49">
        <f>AVERAGE('28.10 Masaka-Maya'!L41,'29.10 Masaka-Maya'!L41,'30.10 Masaka-Maya'!L41,'01.11 Masaka-Maya'!L41,'31.10 Masaka-Maya-24h'!L41,'02.11 Masaka-Maya-24h'!L41,'03.11 Masaka-Maya'!L41)</f>
        <v>3.4285714285714284</v>
      </c>
      <c r="M41" s="49">
        <f>AVERAGE('28.10 Masaka-Maya'!M41,'29.10 Masaka-Maya'!M41,'30.10 Masaka-Maya'!M41,'01.11 Masaka-Maya'!M41,'31.10 Masaka-Maya-24h'!M41,'02.11 Masaka-Maya-24h'!M41,'03.11 Masaka-Maya'!M41)</f>
        <v>22.285714285714285</v>
      </c>
      <c r="N41" s="49">
        <f>AVERAGE('28.10 Masaka-Maya'!N41,'29.10 Masaka-Maya'!N41,'30.10 Masaka-Maya'!N41,'01.11 Masaka-Maya'!N41,'31.10 Masaka-Maya-24h'!N41,'02.11 Masaka-Maya-24h'!N41,'03.11 Masaka-Maya'!N41)</f>
        <v>0</v>
      </c>
      <c r="O41" s="15">
        <f t="shared" si="0"/>
        <v>82.142857142857153</v>
      </c>
      <c r="P41" s="15">
        <f t="shared" si="1"/>
        <v>104.42857142857144</v>
      </c>
      <c r="R41" s="5" t="s">
        <v>178</v>
      </c>
      <c r="S41" s="54">
        <f>SUM(S10:S33)</f>
        <v>1956.4285714285716</v>
      </c>
      <c r="T41" s="54">
        <f t="shared" ref="T41:AD41" si="33">SUM(T10:T33)</f>
        <v>450.14285714285717</v>
      </c>
      <c r="U41" s="54">
        <f t="shared" si="33"/>
        <v>371.92857142857144</v>
      </c>
      <c r="V41" s="54">
        <f t="shared" si="33"/>
        <v>1697.5</v>
      </c>
      <c r="W41" s="54">
        <f t="shared" si="33"/>
        <v>135.35714285714286</v>
      </c>
      <c r="X41" s="54">
        <f t="shared" si="33"/>
        <v>159.35714285714286</v>
      </c>
      <c r="Y41" s="54">
        <f t="shared" si="33"/>
        <v>1147.2142857142858</v>
      </c>
      <c r="Z41" s="54">
        <f t="shared" si="33"/>
        <v>366.57142857142856</v>
      </c>
      <c r="AA41" s="54">
        <f t="shared" si="33"/>
        <v>220.64285714285714</v>
      </c>
      <c r="AB41" s="54">
        <f t="shared" si="33"/>
        <v>310.57142857142856</v>
      </c>
      <c r="AC41" s="54">
        <f t="shared" si="33"/>
        <v>1546.8571428571429</v>
      </c>
      <c r="AD41" s="54">
        <f t="shared" si="33"/>
        <v>0.2857142857142857</v>
      </c>
      <c r="AE41" s="55">
        <f>SUM(AE10:AE33)</f>
        <v>6816</v>
      </c>
      <c r="AF41" s="55">
        <f>SUM(AF10:AF33)</f>
        <v>8362.8571428571431</v>
      </c>
    </row>
    <row r="42" spans="2:32" ht="23.1" customHeight="1" x14ac:dyDescent="0.25">
      <c r="B42" s="24" t="s">
        <v>69</v>
      </c>
      <c r="C42" s="49">
        <f>AVERAGE('28.10 Masaka-Maya'!C42,'29.10 Masaka-Maya'!C42,'30.10 Masaka-Maya'!C42,'01.11 Masaka-Maya'!C42,'31.10 Masaka-Maya-24h'!C42,'02.11 Masaka-Maya-24h'!C42,'03.11 Masaka-Maya'!C42)</f>
        <v>29.285714285714285</v>
      </c>
      <c r="D42" s="49">
        <f>AVERAGE('28.10 Masaka-Maya'!D42,'29.10 Masaka-Maya'!D42,'30.10 Masaka-Maya'!D42,'01.11 Masaka-Maya'!D42,'31.10 Masaka-Maya-24h'!D42,'02.11 Masaka-Maya-24h'!D42,'03.11 Masaka-Maya'!D42)</f>
        <v>7.2857142857142856</v>
      </c>
      <c r="E42" s="49">
        <f>AVERAGE('28.10 Masaka-Maya'!E42,'29.10 Masaka-Maya'!E42,'30.10 Masaka-Maya'!E42,'01.11 Masaka-Maya'!E42,'31.10 Masaka-Maya-24h'!E42,'02.11 Masaka-Maya-24h'!E42,'03.11 Masaka-Maya'!E42)</f>
        <v>9</v>
      </c>
      <c r="F42" s="49">
        <f>AVERAGE('28.10 Masaka-Maya'!F42,'29.10 Masaka-Maya'!F42,'30.10 Masaka-Maya'!F42,'01.11 Masaka-Maya'!F42,'31.10 Masaka-Maya-24h'!F42,'02.11 Masaka-Maya-24h'!F42,'03.11 Masaka-Maya'!F42)</f>
        <v>22</v>
      </c>
      <c r="G42" s="49">
        <f>AVERAGE('28.10 Masaka-Maya'!G42,'29.10 Masaka-Maya'!G42,'30.10 Masaka-Maya'!G42,'01.11 Masaka-Maya'!G42,'31.10 Masaka-Maya-24h'!G42,'02.11 Masaka-Maya-24h'!G42,'03.11 Masaka-Maya'!G42)</f>
        <v>0.5714285714285714</v>
      </c>
      <c r="H42" s="49">
        <f>AVERAGE('28.10 Masaka-Maya'!H42,'29.10 Masaka-Maya'!H42,'30.10 Masaka-Maya'!H42,'01.11 Masaka-Maya'!H42,'31.10 Masaka-Maya-24h'!H42,'02.11 Masaka-Maya-24h'!H42,'03.11 Masaka-Maya'!H42)</f>
        <v>1.7142857142857142</v>
      </c>
      <c r="I42" s="49">
        <f>AVERAGE('28.10 Masaka-Maya'!I42,'29.10 Masaka-Maya'!I42,'30.10 Masaka-Maya'!I42,'01.11 Masaka-Maya'!I42,'31.10 Masaka-Maya-24h'!I42,'02.11 Masaka-Maya-24h'!I42,'03.11 Masaka-Maya'!I42)</f>
        <v>13</v>
      </c>
      <c r="J42" s="49">
        <f>AVERAGE('28.10 Masaka-Maya'!J42,'29.10 Masaka-Maya'!J42,'30.10 Masaka-Maya'!J42,'01.11 Masaka-Maya'!J42,'31.10 Masaka-Maya-24h'!J42,'02.11 Masaka-Maya-24h'!J42,'03.11 Masaka-Maya'!J42)</f>
        <v>3</v>
      </c>
      <c r="K42" s="49">
        <f>AVERAGE('28.10 Masaka-Maya'!K42,'29.10 Masaka-Maya'!K42,'30.10 Masaka-Maya'!K42,'01.11 Masaka-Maya'!K42,'31.10 Masaka-Maya-24h'!K42,'02.11 Masaka-Maya-24h'!K42,'03.11 Masaka-Maya'!K42)</f>
        <v>1</v>
      </c>
      <c r="L42" s="49">
        <f>AVERAGE('28.10 Masaka-Maya'!L42,'29.10 Masaka-Maya'!L42,'30.10 Masaka-Maya'!L42,'01.11 Masaka-Maya'!L42,'31.10 Masaka-Maya-24h'!L42,'02.11 Masaka-Maya-24h'!L42,'03.11 Masaka-Maya'!L42)</f>
        <v>1.2857142857142858</v>
      </c>
      <c r="M42" s="49">
        <f>AVERAGE('28.10 Masaka-Maya'!M42,'29.10 Masaka-Maya'!M42,'30.10 Masaka-Maya'!M42,'01.11 Masaka-Maya'!M42,'31.10 Masaka-Maya-24h'!M42,'02.11 Masaka-Maya-24h'!M42,'03.11 Masaka-Maya'!M42)</f>
        <v>23.428571428571427</v>
      </c>
      <c r="N42" s="49">
        <f>AVERAGE('28.10 Masaka-Maya'!N42,'29.10 Masaka-Maya'!N42,'30.10 Masaka-Maya'!N42,'01.11 Masaka-Maya'!N42,'31.10 Masaka-Maya-24h'!N42,'02.11 Masaka-Maya-24h'!N42,'03.11 Masaka-Maya'!N42)</f>
        <v>0</v>
      </c>
      <c r="O42" s="15">
        <f t="shared" si="0"/>
        <v>88.142857142857139</v>
      </c>
      <c r="P42" s="15">
        <f t="shared" si="1"/>
        <v>111.57142857142857</v>
      </c>
      <c r="R42" s="5" t="s">
        <v>160</v>
      </c>
      <c r="S42" s="48">
        <f>S41/S40</f>
        <v>1.4816617981174942</v>
      </c>
      <c r="T42" s="48">
        <f t="shared" ref="T42:AF42" si="34">T41/T40</f>
        <v>1.678742674480554</v>
      </c>
      <c r="U42" s="48">
        <f t="shared" si="34"/>
        <v>1.5731117824773413</v>
      </c>
      <c r="V42" s="48">
        <f t="shared" si="34"/>
        <v>1.5237881508078994</v>
      </c>
      <c r="W42" s="48">
        <f t="shared" si="34"/>
        <v>2.3395061728395059</v>
      </c>
      <c r="X42" s="48">
        <f t="shared" si="34"/>
        <v>2.7075242718446604</v>
      </c>
      <c r="Y42" s="48">
        <f t="shared" si="34"/>
        <v>2.0136659979939817</v>
      </c>
      <c r="Z42" s="48">
        <f t="shared" si="34"/>
        <v>4.1859706362153348</v>
      </c>
      <c r="AA42" s="48">
        <f t="shared" si="34"/>
        <v>5.3628472222222214</v>
      </c>
      <c r="AB42" s="48">
        <f t="shared" si="34"/>
        <v>2.7588832487309642</v>
      </c>
      <c r="AC42" s="48">
        <f t="shared" si="34"/>
        <v>1.2902764537654909</v>
      </c>
      <c r="AD42" s="48">
        <f t="shared" si="34"/>
        <v>1</v>
      </c>
      <c r="AE42" s="56">
        <f t="shared" si="34"/>
        <v>1.7626066718386346</v>
      </c>
      <c r="AF42" s="56">
        <f t="shared" si="34"/>
        <v>1.6508276698344659</v>
      </c>
    </row>
    <row r="43" spans="2:32" ht="23.1" customHeight="1" x14ac:dyDescent="0.25">
      <c r="B43" s="23" t="s">
        <v>70</v>
      </c>
      <c r="C43" s="49">
        <f>AVERAGE('28.10 Masaka-Maya'!C43,'29.10 Masaka-Maya'!C43,'30.10 Masaka-Maya'!C43,'01.11 Masaka-Maya'!C43,'31.10 Masaka-Maya-24h'!C43,'02.11 Masaka-Maya-24h'!C43,'03.11 Masaka-Maya'!C43)</f>
        <v>28.857142857142858</v>
      </c>
      <c r="D43" s="49">
        <f>AVERAGE('28.10 Masaka-Maya'!D43,'29.10 Masaka-Maya'!D43,'30.10 Masaka-Maya'!D43,'01.11 Masaka-Maya'!D43,'31.10 Masaka-Maya-24h'!D43,'02.11 Masaka-Maya-24h'!D43,'03.11 Masaka-Maya'!D43)</f>
        <v>5.2857142857142856</v>
      </c>
      <c r="E43" s="49">
        <f>AVERAGE('28.10 Masaka-Maya'!E43,'29.10 Masaka-Maya'!E43,'30.10 Masaka-Maya'!E43,'01.11 Masaka-Maya'!E43,'31.10 Masaka-Maya-24h'!E43,'02.11 Masaka-Maya-24h'!E43,'03.11 Masaka-Maya'!E43)</f>
        <v>5.7142857142857144</v>
      </c>
      <c r="F43" s="49">
        <f>AVERAGE('28.10 Masaka-Maya'!F43,'29.10 Masaka-Maya'!F43,'30.10 Masaka-Maya'!F43,'01.11 Masaka-Maya'!F43,'31.10 Masaka-Maya-24h'!F43,'02.11 Masaka-Maya-24h'!F43,'03.11 Masaka-Maya'!F43)</f>
        <v>16</v>
      </c>
      <c r="G43" s="49">
        <f>AVERAGE('28.10 Masaka-Maya'!G43,'29.10 Masaka-Maya'!G43,'30.10 Masaka-Maya'!G43,'01.11 Masaka-Maya'!G43,'31.10 Masaka-Maya-24h'!G43,'02.11 Masaka-Maya-24h'!G43,'03.11 Masaka-Maya'!G43)</f>
        <v>0.5714285714285714</v>
      </c>
      <c r="H43" s="49">
        <f>AVERAGE('28.10 Masaka-Maya'!H43,'29.10 Masaka-Maya'!H43,'30.10 Masaka-Maya'!H43,'01.11 Masaka-Maya'!H43,'31.10 Masaka-Maya-24h'!H43,'02.11 Masaka-Maya-24h'!H43,'03.11 Masaka-Maya'!H43)</f>
        <v>2</v>
      </c>
      <c r="I43" s="49">
        <f>AVERAGE('28.10 Masaka-Maya'!I43,'29.10 Masaka-Maya'!I43,'30.10 Masaka-Maya'!I43,'01.11 Masaka-Maya'!I43,'31.10 Masaka-Maya-24h'!I43,'02.11 Masaka-Maya-24h'!I43,'03.11 Masaka-Maya'!I43)</f>
        <v>11.714285714285714</v>
      </c>
      <c r="J43" s="49">
        <f>AVERAGE('28.10 Masaka-Maya'!J43,'29.10 Masaka-Maya'!J43,'30.10 Masaka-Maya'!J43,'01.11 Masaka-Maya'!J43,'31.10 Masaka-Maya-24h'!J43,'02.11 Masaka-Maya-24h'!J43,'03.11 Masaka-Maya'!J43)</f>
        <v>2.1428571428571428</v>
      </c>
      <c r="K43" s="49">
        <f>AVERAGE('28.10 Masaka-Maya'!K43,'29.10 Masaka-Maya'!K43,'30.10 Masaka-Maya'!K43,'01.11 Masaka-Maya'!K43,'31.10 Masaka-Maya-24h'!K43,'02.11 Masaka-Maya-24h'!K43,'03.11 Masaka-Maya'!K43)</f>
        <v>0.2857142857142857</v>
      </c>
      <c r="L43" s="49">
        <f>AVERAGE('28.10 Masaka-Maya'!L43,'29.10 Masaka-Maya'!L43,'30.10 Masaka-Maya'!L43,'01.11 Masaka-Maya'!L43,'31.10 Masaka-Maya-24h'!L43,'02.11 Masaka-Maya-24h'!L43,'03.11 Masaka-Maya'!L43)</f>
        <v>2.7142857142857144</v>
      </c>
      <c r="M43" s="49">
        <f>AVERAGE('28.10 Masaka-Maya'!M43,'29.10 Masaka-Maya'!M43,'30.10 Masaka-Maya'!M43,'01.11 Masaka-Maya'!M43,'31.10 Masaka-Maya-24h'!M43,'02.11 Masaka-Maya-24h'!M43,'03.11 Masaka-Maya'!M43)</f>
        <v>21.714285714285715</v>
      </c>
      <c r="N43" s="49">
        <f>AVERAGE('28.10 Masaka-Maya'!N43,'29.10 Masaka-Maya'!N43,'30.10 Masaka-Maya'!N43,'01.11 Masaka-Maya'!N43,'31.10 Masaka-Maya-24h'!N43,'02.11 Masaka-Maya-24h'!N43,'03.11 Masaka-Maya'!N43)</f>
        <v>0</v>
      </c>
      <c r="O43" s="15">
        <f t="shared" si="0"/>
        <v>75.285714285714278</v>
      </c>
      <c r="P43" s="15">
        <f t="shared" si="1"/>
        <v>97</v>
      </c>
    </row>
    <row r="44" spans="2:32" ht="23.1" customHeight="1" x14ac:dyDescent="0.25">
      <c r="B44" s="25" t="s">
        <v>71</v>
      </c>
      <c r="C44" s="49">
        <f>AVERAGE('28.10 Masaka-Maya'!C44,'29.10 Masaka-Maya'!C44,'30.10 Masaka-Maya'!C44,'01.11 Masaka-Maya'!C44,'31.10 Masaka-Maya-24h'!C44,'02.11 Masaka-Maya-24h'!C44,'03.11 Masaka-Maya'!C44)</f>
        <v>35</v>
      </c>
      <c r="D44" s="49">
        <f>AVERAGE('28.10 Masaka-Maya'!D44,'29.10 Masaka-Maya'!D44,'30.10 Masaka-Maya'!D44,'01.11 Masaka-Maya'!D44,'31.10 Masaka-Maya-24h'!D44,'02.11 Masaka-Maya-24h'!D44,'03.11 Masaka-Maya'!D44)</f>
        <v>6.4285714285714288</v>
      </c>
      <c r="E44" s="49">
        <f>AVERAGE('28.10 Masaka-Maya'!E44,'29.10 Masaka-Maya'!E44,'30.10 Masaka-Maya'!E44,'01.11 Masaka-Maya'!E44,'31.10 Masaka-Maya-24h'!E44,'02.11 Masaka-Maya-24h'!E44,'03.11 Masaka-Maya'!E44)</f>
        <v>7.5714285714285712</v>
      </c>
      <c r="F44" s="49">
        <f>AVERAGE('28.10 Masaka-Maya'!F44,'29.10 Masaka-Maya'!F44,'30.10 Masaka-Maya'!F44,'01.11 Masaka-Maya'!F44,'31.10 Masaka-Maya-24h'!F44,'02.11 Masaka-Maya-24h'!F44,'03.11 Masaka-Maya'!F44)</f>
        <v>23.428571428571427</v>
      </c>
      <c r="G44" s="49">
        <f>AVERAGE('28.10 Masaka-Maya'!G44,'29.10 Masaka-Maya'!G44,'30.10 Masaka-Maya'!G44,'01.11 Masaka-Maya'!G44,'31.10 Masaka-Maya-24h'!G44,'02.11 Masaka-Maya-24h'!G44,'03.11 Masaka-Maya'!G44)</f>
        <v>0.8571428571428571</v>
      </c>
      <c r="H44" s="49">
        <f>AVERAGE('28.10 Masaka-Maya'!H44,'29.10 Masaka-Maya'!H44,'30.10 Masaka-Maya'!H44,'01.11 Masaka-Maya'!H44,'31.10 Masaka-Maya-24h'!H44,'02.11 Masaka-Maya-24h'!H44,'03.11 Masaka-Maya'!H44)</f>
        <v>1.7142857142857142</v>
      </c>
      <c r="I44" s="49">
        <f>AVERAGE('28.10 Masaka-Maya'!I44,'29.10 Masaka-Maya'!I44,'30.10 Masaka-Maya'!I44,'01.11 Masaka-Maya'!I44,'31.10 Masaka-Maya-24h'!I44,'02.11 Masaka-Maya-24h'!I44,'03.11 Masaka-Maya'!I44)</f>
        <v>14.571428571428571</v>
      </c>
      <c r="J44" s="49">
        <f>AVERAGE('28.10 Masaka-Maya'!J44,'29.10 Masaka-Maya'!J44,'30.10 Masaka-Maya'!J44,'01.11 Masaka-Maya'!J44,'31.10 Masaka-Maya-24h'!J44,'02.11 Masaka-Maya-24h'!J44,'03.11 Masaka-Maya'!J44)</f>
        <v>2</v>
      </c>
      <c r="K44" s="49">
        <f>AVERAGE('28.10 Masaka-Maya'!K44,'29.10 Masaka-Maya'!K44,'30.10 Masaka-Maya'!K44,'01.11 Masaka-Maya'!K44,'31.10 Masaka-Maya-24h'!K44,'02.11 Masaka-Maya-24h'!K44,'03.11 Masaka-Maya'!K44)</f>
        <v>0.8571428571428571</v>
      </c>
      <c r="L44" s="49">
        <f>AVERAGE('28.10 Masaka-Maya'!L44,'29.10 Masaka-Maya'!L44,'30.10 Masaka-Maya'!L44,'01.11 Masaka-Maya'!L44,'31.10 Masaka-Maya-24h'!L44,'02.11 Masaka-Maya-24h'!L44,'03.11 Masaka-Maya'!L44)</f>
        <v>1.4285714285714286</v>
      </c>
      <c r="M44" s="49">
        <f>AVERAGE('28.10 Masaka-Maya'!M44,'29.10 Masaka-Maya'!M44,'30.10 Masaka-Maya'!M44,'01.11 Masaka-Maya'!M44,'31.10 Masaka-Maya-24h'!M44,'02.11 Masaka-Maya-24h'!M44,'03.11 Masaka-Maya'!M44)</f>
        <v>22.142857142857142</v>
      </c>
      <c r="N44" s="49">
        <f>AVERAGE('28.10 Masaka-Maya'!N44,'29.10 Masaka-Maya'!N44,'30.10 Masaka-Maya'!N44,'01.11 Masaka-Maya'!N44,'31.10 Masaka-Maya-24h'!N44,'02.11 Masaka-Maya-24h'!N44,'03.11 Masaka-Maya'!N44)</f>
        <v>0</v>
      </c>
      <c r="O44" s="15">
        <f t="shared" si="0"/>
        <v>93.857142857142861</v>
      </c>
      <c r="P44" s="15">
        <f t="shared" si="1"/>
        <v>116</v>
      </c>
    </row>
    <row r="45" spans="2:32" ht="23.1" customHeight="1" x14ac:dyDescent="0.25">
      <c r="B45" s="23" t="s">
        <v>72</v>
      </c>
      <c r="C45" s="49">
        <f>AVERAGE('28.10 Masaka-Maya'!C45,'29.10 Masaka-Maya'!C45,'30.10 Masaka-Maya'!C45,'01.11 Masaka-Maya'!C45,'31.10 Masaka-Maya-24h'!C45,'02.11 Masaka-Maya-24h'!C45,'03.11 Masaka-Maya'!C45)</f>
        <v>37.142857142857146</v>
      </c>
      <c r="D45" s="49">
        <f>AVERAGE('28.10 Masaka-Maya'!D45,'29.10 Masaka-Maya'!D45,'30.10 Masaka-Maya'!D45,'01.11 Masaka-Maya'!D45,'31.10 Masaka-Maya-24h'!D45,'02.11 Masaka-Maya-24h'!D45,'03.11 Masaka-Maya'!D45)</f>
        <v>7</v>
      </c>
      <c r="E45" s="49">
        <f>AVERAGE('28.10 Masaka-Maya'!E45,'29.10 Masaka-Maya'!E45,'30.10 Masaka-Maya'!E45,'01.11 Masaka-Maya'!E45,'31.10 Masaka-Maya-24h'!E45,'02.11 Masaka-Maya-24h'!E45,'03.11 Masaka-Maya'!E45)</f>
        <v>6.7142857142857144</v>
      </c>
      <c r="F45" s="49">
        <f>AVERAGE('28.10 Masaka-Maya'!F45,'29.10 Masaka-Maya'!F45,'30.10 Masaka-Maya'!F45,'01.11 Masaka-Maya'!F45,'31.10 Masaka-Maya-24h'!F45,'02.11 Masaka-Maya-24h'!F45,'03.11 Masaka-Maya'!F45)</f>
        <v>22.428571428571427</v>
      </c>
      <c r="G45" s="49">
        <f>AVERAGE('28.10 Masaka-Maya'!G45,'29.10 Masaka-Maya'!G45,'30.10 Masaka-Maya'!G45,'01.11 Masaka-Maya'!G45,'31.10 Masaka-Maya-24h'!G45,'02.11 Masaka-Maya-24h'!G45,'03.11 Masaka-Maya'!G45)</f>
        <v>0.7142857142857143</v>
      </c>
      <c r="H45" s="49">
        <f>AVERAGE('28.10 Masaka-Maya'!H45,'29.10 Masaka-Maya'!H45,'30.10 Masaka-Maya'!H45,'01.11 Masaka-Maya'!H45,'31.10 Masaka-Maya-24h'!H45,'02.11 Masaka-Maya-24h'!H45,'03.11 Masaka-Maya'!H45)</f>
        <v>2.7142857142857144</v>
      </c>
      <c r="I45" s="49">
        <f>AVERAGE('28.10 Masaka-Maya'!I45,'29.10 Masaka-Maya'!I45,'30.10 Masaka-Maya'!I45,'01.11 Masaka-Maya'!I45,'31.10 Masaka-Maya-24h'!I45,'02.11 Masaka-Maya-24h'!I45,'03.11 Masaka-Maya'!I45)</f>
        <v>15.428571428571429</v>
      </c>
      <c r="J45" s="49">
        <f>AVERAGE('28.10 Masaka-Maya'!J45,'29.10 Masaka-Maya'!J45,'30.10 Masaka-Maya'!J45,'01.11 Masaka-Maya'!J45,'31.10 Masaka-Maya-24h'!J45,'02.11 Masaka-Maya-24h'!J45,'03.11 Masaka-Maya'!J45)</f>
        <v>2.5714285714285716</v>
      </c>
      <c r="K45" s="49">
        <f>AVERAGE('28.10 Masaka-Maya'!K45,'29.10 Masaka-Maya'!K45,'30.10 Masaka-Maya'!K45,'01.11 Masaka-Maya'!K45,'31.10 Masaka-Maya-24h'!K45,'02.11 Masaka-Maya-24h'!K45,'03.11 Masaka-Maya'!K45)</f>
        <v>1.4285714285714286</v>
      </c>
      <c r="L45" s="49">
        <f>AVERAGE('28.10 Masaka-Maya'!L45,'29.10 Masaka-Maya'!L45,'30.10 Masaka-Maya'!L45,'01.11 Masaka-Maya'!L45,'31.10 Masaka-Maya-24h'!L45,'02.11 Masaka-Maya-24h'!L45,'03.11 Masaka-Maya'!L45)</f>
        <v>3</v>
      </c>
      <c r="M45" s="49">
        <f>AVERAGE('28.10 Masaka-Maya'!M45,'29.10 Masaka-Maya'!M45,'30.10 Masaka-Maya'!M45,'01.11 Masaka-Maya'!M45,'31.10 Masaka-Maya-24h'!M45,'02.11 Masaka-Maya-24h'!M45,'03.11 Masaka-Maya'!M45)</f>
        <v>21.142857142857142</v>
      </c>
      <c r="N45" s="49">
        <f>AVERAGE('28.10 Masaka-Maya'!N45,'29.10 Masaka-Maya'!N45,'30.10 Masaka-Maya'!N45,'01.11 Masaka-Maya'!N45,'31.10 Masaka-Maya-24h'!N45,'02.11 Masaka-Maya-24h'!N45,'03.11 Masaka-Maya'!N45)</f>
        <v>0</v>
      </c>
      <c r="O45" s="15">
        <f t="shared" si="0"/>
        <v>99.142857142857139</v>
      </c>
      <c r="P45" s="15">
        <f t="shared" si="1"/>
        <v>120.28571428571428</v>
      </c>
    </row>
    <row r="46" spans="2:32" ht="23.1" customHeight="1" x14ac:dyDescent="0.25">
      <c r="B46" s="24" t="s">
        <v>73</v>
      </c>
      <c r="C46" s="49">
        <f>AVERAGE('28.10 Masaka-Maya'!C46,'29.10 Masaka-Maya'!C46,'30.10 Masaka-Maya'!C46,'01.11 Masaka-Maya'!C46,'31.10 Masaka-Maya-24h'!C46,'02.11 Masaka-Maya-24h'!C46,'03.11 Masaka-Maya'!C46)</f>
        <v>37.428571428571431</v>
      </c>
      <c r="D46" s="49">
        <f>AVERAGE('28.10 Masaka-Maya'!D46,'29.10 Masaka-Maya'!D46,'30.10 Masaka-Maya'!D46,'01.11 Masaka-Maya'!D46,'31.10 Masaka-Maya-24h'!D46,'02.11 Masaka-Maya-24h'!D46,'03.11 Masaka-Maya'!D46)</f>
        <v>7.4285714285714288</v>
      </c>
      <c r="E46" s="49">
        <f>AVERAGE('28.10 Masaka-Maya'!E46,'29.10 Masaka-Maya'!E46,'30.10 Masaka-Maya'!E46,'01.11 Masaka-Maya'!E46,'31.10 Masaka-Maya-24h'!E46,'02.11 Masaka-Maya-24h'!E46,'03.11 Masaka-Maya'!E46)</f>
        <v>7.1428571428571432</v>
      </c>
      <c r="F46" s="49">
        <f>AVERAGE('28.10 Masaka-Maya'!F46,'29.10 Masaka-Maya'!F46,'30.10 Masaka-Maya'!F46,'01.11 Masaka-Maya'!F46,'31.10 Masaka-Maya-24h'!F46,'02.11 Masaka-Maya-24h'!F46,'03.11 Masaka-Maya'!F46)</f>
        <v>20.142857142857142</v>
      </c>
      <c r="G46" s="49">
        <f>AVERAGE('28.10 Masaka-Maya'!G46,'29.10 Masaka-Maya'!G46,'30.10 Masaka-Maya'!G46,'01.11 Masaka-Maya'!G46,'31.10 Masaka-Maya-24h'!G46,'02.11 Masaka-Maya-24h'!G46,'03.11 Masaka-Maya'!G46)</f>
        <v>0.7142857142857143</v>
      </c>
      <c r="H46" s="49">
        <f>AVERAGE('28.10 Masaka-Maya'!H46,'29.10 Masaka-Maya'!H46,'30.10 Masaka-Maya'!H46,'01.11 Masaka-Maya'!H46,'31.10 Masaka-Maya-24h'!H46,'02.11 Masaka-Maya-24h'!H46,'03.11 Masaka-Maya'!H46)</f>
        <v>2</v>
      </c>
      <c r="I46" s="49">
        <f>AVERAGE('28.10 Masaka-Maya'!I46,'29.10 Masaka-Maya'!I46,'30.10 Masaka-Maya'!I46,'01.11 Masaka-Maya'!I46,'31.10 Masaka-Maya-24h'!I46,'02.11 Masaka-Maya-24h'!I46,'03.11 Masaka-Maya'!I46)</f>
        <v>16.142857142857142</v>
      </c>
      <c r="J46" s="49">
        <f>AVERAGE('28.10 Masaka-Maya'!J46,'29.10 Masaka-Maya'!J46,'30.10 Masaka-Maya'!J46,'01.11 Masaka-Maya'!J46,'31.10 Masaka-Maya-24h'!J46,'02.11 Masaka-Maya-24h'!J46,'03.11 Masaka-Maya'!J46)</f>
        <v>2.1428571428571428</v>
      </c>
      <c r="K46" s="49">
        <f>AVERAGE('28.10 Masaka-Maya'!K46,'29.10 Masaka-Maya'!K46,'30.10 Masaka-Maya'!K46,'01.11 Masaka-Maya'!K46,'31.10 Masaka-Maya-24h'!K46,'02.11 Masaka-Maya-24h'!K46,'03.11 Masaka-Maya'!K46)</f>
        <v>1.1428571428571428</v>
      </c>
      <c r="L46" s="49">
        <f>AVERAGE('28.10 Masaka-Maya'!L46,'29.10 Masaka-Maya'!L46,'30.10 Masaka-Maya'!L46,'01.11 Masaka-Maya'!L46,'31.10 Masaka-Maya-24h'!L46,'02.11 Masaka-Maya-24h'!L46,'03.11 Masaka-Maya'!L46)</f>
        <v>2.2857142857142856</v>
      </c>
      <c r="M46" s="49">
        <f>AVERAGE('28.10 Masaka-Maya'!M46,'29.10 Masaka-Maya'!M46,'30.10 Masaka-Maya'!M46,'01.11 Masaka-Maya'!M46,'31.10 Masaka-Maya-24h'!M46,'02.11 Masaka-Maya-24h'!M46,'03.11 Masaka-Maya'!M46)</f>
        <v>23.857142857142858</v>
      </c>
      <c r="N46" s="49">
        <f>AVERAGE('28.10 Masaka-Maya'!N46,'29.10 Masaka-Maya'!N46,'30.10 Masaka-Maya'!N46,'01.11 Masaka-Maya'!N46,'31.10 Masaka-Maya-24h'!N46,'02.11 Masaka-Maya-24h'!N46,'03.11 Masaka-Maya'!N46)</f>
        <v>0</v>
      </c>
      <c r="O46" s="15">
        <f t="shared" si="0"/>
        <v>96.571428571428569</v>
      </c>
      <c r="P46" s="15">
        <f t="shared" si="1"/>
        <v>120.42857142857143</v>
      </c>
      <c r="R46" s="8"/>
      <c r="T46"/>
    </row>
    <row r="47" spans="2:32" ht="23.1" customHeight="1" x14ac:dyDescent="0.25">
      <c r="B47" s="24" t="s">
        <v>74</v>
      </c>
      <c r="C47" s="49">
        <f>AVERAGE('28.10 Masaka-Maya'!C47,'29.10 Masaka-Maya'!C47,'30.10 Masaka-Maya'!C47,'01.11 Masaka-Maya'!C47,'31.10 Masaka-Maya-24h'!C47,'02.11 Masaka-Maya-24h'!C47,'03.11 Masaka-Maya'!C47)</f>
        <v>39.285714285714285</v>
      </c>
      <c r="D47" s="49">
        <f>AVERAGE('28.10 Masaka-Maya'!D47,'29.10 Masaka-Maya'!D47,'30.10 Masaka-Maya'!D47,'01.11 Masaka-Maya'!D47,'31.10 Masaka-Maya-24h'!D47,'02.11 Masaka-Maya-24h'!D47,'03.11 Masaka-Maya'!D47)</f>
        <v>7</v>
      </c>
      <c r="E47" s="49">
        <f>AVERAGE('28.10 Masaka-Maya'!E47,'29.10 Masaka-Maya'!E47,'30.10 Masaka-Maya'!E47,'01.11 Masaka-Maya'!E47,'31.10 Masaka-Maya-24h'!E47,'02.11 Masaka-Maya-24h'!E47,'03.11 Masaka-Maya'!E47)</f>
        <v>7.1428571428571432</v>
      </c>
      <c r="F47" s="49">
        <f>AVERAGE('28.10 Masaka-Maya'!F47,'29.10 Masaka-Maya'!F47,'30.10 Masaka-Maya'!F47,'01.11 Masaka-Maya'!F47,'31.10 Masaka-Maya-24h'!F47,'02.11 Masaka-Maya-24h'!F47,'03.11 Masaka-Maya'!F47)</f>
        <v>24.857142857142858</v>
      </c>
      <c r="G47" s="49">
        <f>AVERAGE('28.10 Masaka-Maya'!G47,'29.10 Masaka-Maya'!G47,'30.10 Masaka-Maya'!G47,'01.11 Masaka-Maya'!G47,'31.10 Masaka-Maya-24h'!G47,'02.11 Masaka-Maya-24h'!G47,'03.11 Masaka-Maya'!G47)</f>
        <v>0.8571428571428571</v>
      </c>
      <c r="H47" s="49">
        <f>AVERAGE('28.10 Masaka-Maya'!H47,'29.10 Masaka-Maya'!H47,'30.10 Masaka-Maya'!H47,'01.11 Masaka-Maya'!H47,'31.10 Masaka-Maya-24h'!H47,'02.11 Masaka-Maya-24h'!H47,'03.11 Masaka-Maya'!H47)</f>
        <v>2.2857142857142856</v>
      </c>
      <c r="I47" s="49">
        <f>AVERAGE('28.10 Masaka-Maya'!I47,'29.10 Masaka-Maya'!I47,'30.10 Masaka-Maya'!I47,'01.11 Masaka-Maya'!I47,'31.10 Masaka-Maya-24h'!I47,'02.11 Masaka-Maya-24h'!I47,'03.11 Masaka-Maya'!I47)</f>
        <v>17.142857142857142</v>
      </c>
      <c r="J47" s="49">
        <f>AVERAGE('28.10 Masaka-Maya'!J47,'29.10 Masaka-Maya'!J47,'30.10 Masaka-Maya'!J47,'01.11 Masaka-Maya'!J47,'31.10 Masaka-Maya-24h'!J47,'02.11 Masaka-Maya-24h'!J47,'03.11 Masaka-Maya'!J47)</f>
        <v>2.5714285714285716</v>
      </c>
      <c r="K47" s="49">
        <f>AVERAGE('28.10 Masaka-Maya'!K47,'29.10 Masaka-Maya'!K47,'30.10 Masaka-Maya'!K47,'01.11 Masaka-Maya'!K47,'31.10 Masaka-Maya-24h'!K47,'02.11 Masaka-Maya-24h'!K47,'03.11 Masaka-Maya'!K47)</f>
        <v>1.1428571428571428</v>
      </c>
      <c r="L47" s="49">
        <f>AVERAGE('28.10 Masaka-Maya'!L47,'29.10 Masaka-Maya'!L47,'30.10 Masaka-Maya'!L47,'01.11 Masaka-Maya'!L47,'31.10 Masaka-Maya-24h'!L47,'02.11 Masaka-Maya-24h'!L47,'03.11 Masaka-Maya'!L47)</f>
        <v>2.5714285714285716</v>
      </c>
      <c r="M47" s="49">
        <f>AVERAGE('28.10 Masaka-Maya'!M47,'29.10 Masaka-Maya'!M47,'30.10 Masaka-Maya'!M47,'01.11 Masaka-Maya'!M47,'31.10 Masaka-Maya-24h'!M47,'02.11 Masaka-Maya-24h'!M47,'03.11 Masaka-Maya'!M47)</f>
        <v>27.142857142857142</v>
      </c>
      <c r="N47" s="49">
        <f>AVERAGE('28.10 Masaka-Maya'!N47,'29.10 Masaka-Maya'!N47,'30.10 Masaka-Maya'!N47,'01.11 Masaka-Maya'!N47,'31.10 Masaka-Maya-24h'!N47,'02.11 Masaka-Maya-24h'!N47,'03.11 Masaka-Maya'!N47)</f>
        <v>0</v>
      </c>
      <c r="O47" s="15">
        <f t="shared" si="0"/>
        <v>104.85714285714286</v>
      </c>
      <c r="P47" s="15">
        <f t="shared" si="1"/>
        <v>132</v>
      </c>
      <c r="R47" s="8"/>
      <c r="T47"/>
    </row>
    <row r="48" spans="2:32" ht="23.1" customHeight="1" x14ac:dyDescent="0.25">
      <c r="B48" s="24" t="s">
        <v>75</v>
      </c>
      <c r="C48" s="49">
        <f>AVERAGE('28.10 Masaka-Maya'!C48,'29.10 Masaka-Maya'!C48,'30.10 Masaka-Maya'!C48,'01.11 Masaka-Maya'!C48,'31.10 Masaka-Maya-24h'!C48,'02.11 Masaka-Maya-24h'!C48,'03.11 Masaka-Maya'!C48)</f>
        <v>40</v>
      </c>
      <c r="D48" s="49">
        <f>AVERAGE('28.10 Masaka-Maya'!D48,'29.10 Masaka-Maya'!D48,'30.10 Masaka-Maya'!D48,'01.11 Masaka-Maya'!D48,'31.10 Masaka-Maya-24h'!D48,'02.11 Masaka-Maya-24h'!D48,'03.11 Masaka-Maya'!D48)</f>
        <v>10.285714285714286</v>
      </c>
      <c r="E48" s="49">
        <f>AVERAGE('28.10 Masaka-Maya'!E48,'29.10 Masaka-Maya'!E48,'30.10 Masaka-Maya'!E48,'01.11 Masaka-Maya'!E48,'31.10 Masaka-Maya-24h'!E48,'02.11 Masaka-Maya-24h'!E48,'03.11 Masaka-Maya'!E48)</f>
        <v>6.5714285714285712</v>
      </c>
      <c r="F48" s="49">
        <f>AVERAGE('28.10 Masaka-Maya'!F48,'29.10 Masaka-Maya'!F48,'30.10 Masaka-Maya'!F48,'01.11 Masaka-Maya'!F48,'31.10 Masaka-Maya-24h'!F48,'02.11 Masaka-Maya-24h'!F48,'03.11 Masaka-Maya'!F48)</f>
        <v>24.142857142857142</v>
      </c>
      <c r="G48" s="49">
        <f>AVERAGE('28.10 Masaka-Maya'!G48,'29.10 Masaka-Maya'!G48,'30.10 Masaka-Maya'!G48,'01.11 Masaka-Maya'!G48,'31.10 Masaka-Maya-24h'!G48,'02.11 Masaka-Maya-24h'!G48,'03.11 Masaka-Maya'!G48)</f>
        <v>2.1428571428571428</v>
      </c>
      <c r="H48" s="49">
        <f>AVERAGE('28.10 Masaka-Maya'!H48,'29.10 Masaka-Maya'!H48,'30.10 Masaka-Maya'!H48,'01.11 Masaka-Maya'!H48,'31.10 Masaka-Maya-24h'!H48,'02.11 Masaka-Maya-24h'!H48,'03.11 Masaka-Maya'!H48)</f>
        <v>1.7142857142857142</v>
      </c>
      <c r="I48" s="49">
        <f>AVERAGE('28.10 Masaka-Maya'!I48,'29.10 Masaka-Maya'!I48,'30.10 Masaka-Maya'!I48,'01.11 Masaka-Maya'!I48,'31.10 Masaka-Maya-24h'!I48,'02.11 Masaka-Maya-24h'!I48,'03.11 Masaka-Maya'!I48)</f>
        <v>14.714285714285714</v>
      </c>
      <c r="J48" s="49">
        <f>AVERAGE('28.10 Masaka-Maya'!J48,'29.10 Masaka-Maya'!J48,'30.10 Masaka-Maya'!J48,'01.11 Masaka-Maya'!J48,'31.10 Masaka-Maya-24h'!J48,'02.11 Masaka-Maya-24h'!J48,'03.11 Masaka-Maya'!J48)</f>
        <v>2.8571428571428572</v>
      </c>
      <c r="K48" s="49">
        <f>AVERAGE('28.10 Masaka-Maya'!K48,'29.10 Masaka-Maya'!K48,'30.10 Masaka-Maya'!K48,'01.11 Masaka-Maya'!K48,'31.10 Masaka-Maya-24h'!K48,'02.11 Masaka-Maya-24h'!K48,'03.11 Masaka-Maya'!K48)</f>
        <v>2.2857142857142856</v>
      </c>
      <c r="L48" s="49">
        <f>AVERAGE('28.10 Masaka-Maya'!L48,'29.10 Masaka-Maya'!L48,'30.10 Masaka-Maya'!L48,'01.11 Masaka-Maya'!L48,'31.10 Masaka-Maya-24h'!L48,'02.11 Masaka-Maya-24h'!L48,'03.11 Masaka-Maya'!L48)</f>
        <v>4</v>
      </c>
      <c r="M48" s="49">
        <f>AVERAGE('28.10 Masaka-Maya'!M48,'29.10 Masaka-Maya'!M48,'30.10 Masaka-Maya'!M48,'01.11 Masaka-Maya'!M48,'31.10 Masaka-Maya-24h'!M48,'02.11 Masaka-Maya-24h'!M48,'03.11 Masaka-Maya'!M48)</f>
        <v>31.714285714285715</v>
      </c>
      <c r="N48" s="49">
        <f>AVERAGE('28.10 Masaka-Maya'!N48,'29.10 Masaka-Maya'!N48,'30.10 Masaka-Maya'!N48,'01.11 Masaka-Maya'!N48,'31.10 Masaka-Maya-24h'!N48,'02.11 Masaka-Maya-24h'!N48,'03.11 Masaka-Maya'!N48)</f>
        <v>0</v>
      </c>
      <c r="O48" s="15">
        <f t="shared" si="0"/>
        <v>108.71428571428571</v>
      </c>
      <c r="P48" s="15">
        <f t="shared" si="1"/>
        <v>140.42857142857142</v>
      </c>
      <c r="R48" s="8"/>
      <c r="T48"/>
    </row>
    <row r="49" spans="2:20" ht="23.1" customHeight="1" x14ac:dyDescent="0.25">
      <c r="B49" s="23" t="s">
        <v>76</v>
      </c>
      <c r="C49" s="49">
        <f>AVERAGE('28.10 Masaka-Maya'!C49,'29.10 Masaka-Maya'!C49,'30.10 Masaka-Maya'!C49,'01.11 Masaka-Maya'!C49,'31.10 Masaka-Maya-24h'!C49,'02.11 Masaka-Maya-24h'!C49,'03.11 Masaka-Maya'!C49)</f>
        <v>42.142857142857146</v>
      </c>
      <c r="D49" s="49">
        <f>AVERAGE('28.10 Masaka-Maya'!D49,'29.10 Masaka-Maya'!D49,'30.10 Masaka-Maya'!D49,'01.11 Masaka-Maya'!D49,'31.10 Masaka-Maya-24h'!D49,'02.11 Masaka-Maya-24h'!D49,'03.11 Masaka-Maya'!D49)</f>
        <v>11.714285714285714</v>
      </c>
      <c r="E49" s="49">
        <f>AVERAGE('28.10 Masaka-Maya'!E49,'29.10 Masaka-Maya'!E49,'30.10 Masaka-Maya'!E49,'01.11 Masaka-Maya'!E49,'31.10 Masaka-Maya-24h'!E49,'02.11 Masaka-Maya-24h'!E49,'03.11 Masaka-Maya'!E49)</f>
        <v>7.7142857142857144</v>
      </c>
      <c r="F49" s="49">
        <f>AVERAGE('28.10 Masaka-Maya'!F49,'29.10 Masaka-Maya'!F49,'30.10 Masaka-Maya'!F49,'01.11 Masaka-Maya'!F49,'31.10 Masaka-Maya-24h'!F49,'02.11 Masaka-Maya-24h'!F49,'03.11 Masaka-Maya'!F49)</f>
        <v>30.714285714285715</v>
      </c>
      <c r="G49" s="49">
        <f>AVERAGE('28.10 Masaka-Maya'!G49,'29.10 Masaka-Maya'!G49,'30.10 Masaka-Maya'!G49,'01.11 Masaka-Maya'!G49,'31.10 Masaka-Maya-24h'!G49,'02.11 Masaka-Maya-24h'!G49,'03.11 Masaka-Maya'!G49)</f>
        <v>4.1428571428571432</v>
      </c>
      <c r="H49" s="49">
        <f>AVERAGE('28.10 Masaka-Maya'!H49,'29.10 Masaka-Maya'!H49,'30.10 Masaka-Maya'!H49,'01.11 Masaka-Maya'!H49,'31.10 Masaka-Maya-24h'!H49,'02.11 Masaka-Maya-24h'!H49,'03.11 Masaka-Maya'!H49)</f>
        <v>1.5714285714285714</v>
      </c>
      <c r="I49" s="49">
        <f>AVERAGE('28.10 Masaka-Maya'!I49,'29.10 Masaka-Maya'!I49,'30.10 Masaka-Maya'!I49,'01.11 Masaka-Maya'!I49,'31.10 Masaka-Maya-24h'!I49,'02.11 Masaka-Maya-24h'!I49,'03.11 Masaka-Maya'!I49)</f>
        <v>14.571428571428571</v>
      </c>
      <c r="J49" s="49">
        <f>AVERAGE('28.10 Masaka-Maya'!J49,'29.10 Masaka-Maya'!J49,'30.10 Masaka-Maya'!J49,'01.11 Masaka-Maya'!J49,'31.10 Masaka-Maya-24h'!J49,'02.11 Masaka-Maya-24h'!J49,'03.11 Masaka-Maya'!J49)</f>
        <v>2.5714285714285716</v>
      </c>
      <c r="K49" s="49">
        <f>AVERAGE('28.10 Masaka-Maya'!K49,'29.10 Masaka-Maya'!K49,'30.10 Masaka-Maya'!K49,'01.11 Masaka-Maya'!K49,'31.10 Masaka-Maya-24h'!K49,'02.11 Masaka-Maya-24h'!K49,'03.11 Masaka-Maya'!K49)</f>
        <v>1</v>
      </c>
      <c r="L49" s="49">
        <f>AVERAGE('28.10 Masaka-Maya'!L49,'29.10 Masaka-Maya'!L49,'30.10 Masaka-Maya'!L49,'01.11 Masaka-Maya'!L49,'31.10 Masaka-Maya-24h'!L49,'02.11 Masaka-Maya-24h'!L49,'03.11 Masaka-Maya'!L49)</f>
        <v>2.2857142857142856</v>
      </c>
      <c r="M49" s="49">
        <f>AVERAGE('28.10 Masaka-Maya'!M49,'29.10 Masaka-Maya'!M49,'30.10 Masaka-Maya'!M49,'01.11 Masaka-Maya'!M49,'31.10 Masaka-Maya-24h'!M49,'02.11 Masaka-Maya-24h'!M49,'03.11 Masaka-Maya'!M49)</f>
        <v>28.857142857142858</v>
      </c>
      <c r="N49" s="49">
        <f>AVERAGE('28.10 Masaka-Maya'!N49,'29.10 Masaka-Maya'!N49,'30.10 Masaka-Maya'!N49,'01.11 Masaka-Maya'!N49,'31.10 Masaka-Maya-24h'!N49,'02.11 Masaka-Maya-24h'!N49,'03.11 Masaka-Maya'!N49)</f>
        <v>0</v>
      </c>
      <c r="O49" s="15">
        <f t="shared" si="0"/>
        <v>118.42857142857143</v>
      </c>
      <c r="P49" s="15">
        <f t="shared" si="1"/>
        <v>147.28571428571428</v>
      </c>
      <c r="R49" s="8"/>
      <c r="T49"/>
    </row>
    <row r="50" spans="2:20" ht="23.1" customHeight="1" x14ac:dyDescent="0.25">
      <c r="B50" s="24" t="s">
        <v>77</v>
      </c>
      <c r="C50" s="49">
        <f>AVERAGE('28.10 Masaka-Maya'!C50,'29.10 Masaka-Maya'!C50,'30.10 Masaka-Maya'!C50,'01.11 Masaka-Maya'!C50,'31.10 Masaka-Maya-24h'!C50,'02.11 Masaka-Maya-24h'!C50,'03.11 Masaka-Maya'!C50)</f>
        <v>43.142857142857146</v>
      </c>
      <c r="D50" s="49">
        <f>AVERAGE('28.10 Masaka-Maya'!D50,'29.10 Masaka-Maya'!D50,'30.10 Masaka-Maya'!D50,'01.11 Masaka-Maya'!D50,'31.10 Masaka-Maya-24h'!D50,'02.11 Masaka-Maya-24h'!D50,'03.11 Masaka-Maya'!D50)</f>
        <v>10.142857142857142</v>
      </c>
      <c r="E50" s="49">
        <f>AVERAGE('28.10 Masaka-Maya'!E50,'29.10 Masaka-Maya'!E50,'30.10 Masaka-Maya'!E50,'01.11 Masaka-Maya'!E50,'31.10 Masaka-Maya-24h'!E50,'02.11 Masaka-Maya-24h'!E50,'03.11 Masaka-Maya'!E50)</f>
        <v>9.4285714285714288</v>
      </c>
      <c r="F50" s="49">
        <f>AVERAGE('28.10 Masaka-Maya'!F50,'29.10 Masaka-Maya'!F50,'30.10 Masaka-Maya'!F50,'01.11 Masaka-Maya'!F50,'31.10 Masaka-Maya-24h'!F50,'02.11 Masaka-Maya-24h'!F50,'03.11 Masaka-Maya'!F50)</f>
        <v>25</v>
      </c>
      <c r="G50" s="49">
        <f>AVERAGE('28.10 Masaka-Maya'!G50,'29.10 Masaka-Maya'!G50,'30.10 Masaka-Maya'!G50,'01.11 Masaka-Maya'!G50,'31.10 Masaka-Maya-24h'!G50,'02.11 Masaka-Maya-24h'!G50,'03.11 Masaka-Maya'!G50)</f>
        <v>2.4285714285714284</v>
      </c>
      <c r="H50" s="49">
        <f>AVERAGE('28.10 Masaka-Maya'!H50,'29.10 Masaka-Maya'!H50,'30.10 Masaka-Maya'!H50,'01.11 Masaka-Maya'!H50,'31.10 Masaka-Maya-24h'!H50,'02.11 Masaka-Maya-24h'!H50,'03.11 Masaka-Maya'!H50)</f>
        <v>1.8571428571428572</v>
      </c>
      <c r="I50" s="49">
        <f>AVERAGE('28.10 Masaka-Maya'!I50,'29.10 Masaka-Maya'!I50,'30.10 Masaka-Maya'!I50,'01.11 Masaka-Maya'!I50,'31.10 Masaka-Maya-24h'!I50,'02.11 Masaka-Maya-24h'!I50,'03.11 Masaka-Maya'!I50)</f>
        <v>15.285714285714286</v>
      </c>
      <c r="J50" s="49">
        <f>AVERAGE('28.10 Masaka-Maya'!J50,'29.10 Masaka-Maya'!J50,'30.10 Masaka-Maya'!J50,'01.11 Masaka-Maya'!J50,'31.10 Masaka-Maya-24h'!J50,'02.11 Masaka-Maya-24h'!J50,'03.11 Masaka-Maya'!J50)</f>
        <v>1.4285714285714286</v>
      </c>
      <c r="K50" s="49">
        <f>AVERAGE('28.10 Masaka-Maya'!K50,'29.10 Masaka-Maya'!K50,'30.10 Masaka-Maya'!K50,'01.11 Masaka-Maya'!K50,'31.10 Masaka-Maya-24h'!K50,'02.11 Masaka-Maya-24h'!K50,'03.11 Masaka-Maya'!K50)</f>
        <v>0.7142857142857143</v>
      </c>
      <c r="L50" s="49">
        <f>AVERAGE('28.10 Masaka-Maya'!L50,'29.10 Masaka-Maya'!L50,'30.10 Masaka-Maya'!L50,'01.11 Masaka-Maya'!L50,'31.10 Masaka-Maya-24h'!L50,'02.11 Masaka-Maya-24h'!L50,'03.11 Masaka-Maya'!L50)</f>
        <v>2.7142857142857144</v>
      </c>
      <c r="M50" s="49">
        <f>AVERAGE('28.10 Masaka-Maya'!M50,'29.10 Masaka-Maya'!M50,'30.10 Masaka-Maya'!M50,'01.11 Masaka-Maya'!M50,'31.10 Masaka-Maya-24h'!M50,'02.11 Masaka-Maya-24h'!M50,'03.11 Masaka-Maya'!M50)</f>
        <v>28</v>
      </c>
      <c r="N50" s="49">
        <f>AVERAGE('28.10 Masaka-Maya'!N50,'29.10 Masaka-Maya'!N50,'30.10 Masaka-Maya'!N50,'01.11 Masaka-Maya'!N50,'31.10 Masaka-Maya-24h'!N50,'02.11 Masaka-Maya-24h'!N50,'03.11 Masaka-Maya'!N50)</f>
        <v>0</v>
      </c>
      <c r="O50" s="15">
        <f t="shared" si="0"/>
        <v>112.14285714285715</v>
      </c>
      <c r="P50" s="15">
        <f t="shared" si="1"/>
        <v>140.14285714285717</v>
      </c>
      <c r="R50" s="8"/>
      <c r="T50"/>
    </row>
    <row r="51" spans="2:20" ht="23.1" customHeight="1" x14ac:dyDescent="0.25">
      <c r="B51" s="24" t="s">
        <v>78</v>
      </c>
      <c r="C51" s="49">
        <f>AVERAGE('28.10 Masaka-Maya'!C51,'29.10 Masaka-Maya'!C51,'30.10 Masaka-Maya'!C51,'01.11 Masaka-Maya'!C51,'31.10 Masaka-Maya-24h'!C51,'02.11 Masaka-Maya-24h'!C51,'03.11 Masaka-Maya'!C51)</f>
        <v>49.571428571428569</v>
      </c>
      <c r="D51" s="49">
        <f>AVERAGE('28.10 Masaka-Maya'!D51,'29.10 Masaka-Maya'!D51,'30.10 Masaka-Maya'!D51,'01.11 Masaka-Maya'!D51,'31.10 Masaka-Maya-24h'!D51,'02.11 Masaka-Maya-24h'!D51,'03.11 Masaka-Maya'!D51)</f>
        <v>11.571428571428571</v>
      </c>
      <c r="E51" s="49">
        <f>AVERAGE('28.10 Masaka-Maya'!E51,'29.10 Masaka-Maya'!E51,'30.10 Masaka-Maya'!E51,'01.11 Masaka-Maya'!E51,'31.10 Masaka-Maya-24h'!E51,'02.11 Masaka-Maya-24h'!E51,'03.11 Masaka-Maya'!E51)</f>
        <v>7.1428571428571432</v>
      </c>
      <c r="F51" s="49">
        <f>AVERAGE('28.10 Masaka-Maya'!F51,'29.10 Masaka-Maya'!F51,'30.10 Masaka-Maya'!F51,'01.11 Masaka-Maya'!F51,'31.10 Masaka-Maya-24h'!F51,'02.11 Masaka-Maya-24h'!F51,'03.11 Masaka-Maya'!F51)</f>
        <v>27.428571428571427</v>
      </c>
      <c r="G51" s="49">
        <f>AVERAGE('28.10 Masaka-Maya'!G51,'29.10 Masaka-Maya'!G51,'30.10 Masaka-Maya'!G51,'01.11 Masaka-Maya'!G51,'31.10 Masaka-Maya-24h'!G51,'02.11 Masaka-Maya-24h'!G51,'03.11 Masaka-Maya'!G51)</f>
        <v>3.1428571428571428</v>
      </c>
      <c r="H51" s="49">
        <f>AVERAGE('28.10 Masaka-Maya'!H51,'29.10 Masaka-Maya'!H51,'30.10 Masaka-Maya'!H51,'01.11 Masaka-Maya'!H51,'31.10 Masaka-Maya-24h'!H51,'02.11 Masaka-Maya-24h'!H51,'03.11 Masaka-Maya'!H51)</f>
        <v>2.5714285714285716</v>
      </c>
      <c r="I51" s="49">
        <f>AVERAGE('28.10 Masaka-Maya'!I51,'29.10 Masaka-Maya'!I51,'30.10 Masaka-Maya'!I51,'01.11 Masaka-Maya'!I51,'31.10 Masaka-Maya-24h'!I51,'02.11 Masaka-Maya-24h'!I51,'03.11 Masaka-Maya'!I51)</f>
        <v>13.714285714285714</v>
      </c>
      <c r="J51" s="49">
        <f>AVERAGE('28.10 Masaka-Maya'!J51,'29.10 Masaka-Maya'!J51,'30.10 Masaka-Maya'!J51,'01.11 Masaka-Maya'!J51,'31.10 Masaka-Maya-24h'!J51,'02.11 Masaka-Maya-24h'!J51,'03.11 Masaka-Maya'!J51)</f>
        <v>3.2857142857142856</v>
      </c>
      <c r="K51" s="49">
        <f>AVERAGE('28.10 Masaka-Maya'!K51,'29.10 Masaka-Maya'!K51,'30.10 Masaka-Maya'!K51,'01.11 Masaka-Maya'!K51,'31.10 Masaka-Maya-24h'!K51,'02.11 Masaka-Maya-24h'!K51,'03.11 Masaka-Maya'!K51)</f>
        <v>0.8571428571428571</v>
      </c>
      <c r="L51" s="49">
        <f>AVERAGE('28.10 Masaka-Maya'!L51,'29.10 Masaka-Maya'!L51,'30.10 Masaka-Maya'!L51,'01.11 Masaka-Maya'!L51,'31.10 Masaka-Maya-24h'!L51,'02.11 Masaka-Maya-24h'!L51,'03.11 Masaka-Maya'!L51)</f>
        <v>2.7142857142857144</v>
      </c>
      <c r="M51" s="49">
        <f>AVERAGE('28.10 Masaka-Maya'!M51,'29.10 Masaka-Maya'!M51,'30.10 Masaka-Maya'!M51,'01.11 Masaka-Maya'!M51,'31.10 Masaka-Maya-24h'!M51,'02.11 Masaka-Maya-24h'!M51,'03.11 Masaka-Maya'!M51)</f>
        <v>34.142857142857146</v>
      </c>
      <c r="N51" s="49">
        <f>AVERAGE('28.10 Masaka-Maya'!N51,'29.10 Masaka-Maya'!N51,'30.10 Masaka-Maya'!N51,'01.11 Masaka-Maya'!N51,'31.10 Masaka-Maya-24h'!N51,'02.11 Masaka-Maya-24h'!N51,'03.11 Masaka-Maya'!N51)</f>
        <v>0</v>
      </c>
      <c r="O51" s="15">
        <f t="shared" si="0"/>
        <v>121.99999999999999</v>
      </c>
      <c r="P51" s="15">
        <f t="shared" si="1"/>
        <v>156.14285714285714</v>
      </c>
      <c r="R51" s="8"/>
      <c r="T51"/>
    </row>
    <row r="52" spans="2:20" ht="23.1" customHeight="1" x14ac:dyDescent="0.25">
      <c r="B52" s="24" t="s">
        <v>79</v>
      </c>
      <c r="C52" s="49">
        <f>AVERAGE('28.10 Masaka-Maya'!C52,'29.10 Masaka-Maya'!C52,'30.10 Masaka-Maya'!C52,'01.11 Masaka-Maya'!C52,'31.10 Masaka-Maya-24h'!C52,'02.11 Masaka-Maya-24h'!C52,'03.11 Masaka-Maya'!C52)</f>
        <v>45.428571428571431</v>
      </c>
      <c r="D52" s="49">
        <f>AVERAGE('28.10 Masaka-Maya'!D52,'29.10 Masaka-Maya'!D52,'30.10 Masaka-Maya'!D52,'01.11 Masaka-Maya'!D52,'31.10 Masaka-Maya-24h'!D52,'02.11 Masaka-Maya-24h'!D52,'03.11 Masaka-Maya'!D52)</f>
        <v>9.8571428571428577</v>
      </c>
      <c r="E52" s="49">
        <f>AVERAGE('28.10 Masaka-Maya'!E52,'29.10 Masaka-Maya'!E52,'30.10 Masaka-Maya'!E52,'01.11 Masaka-Maya'!E52,'31.10 Masaka-Maya-24h'!E52,'02.11 Masaka-Maya-24h'!E52,'03.11 Masaka-Maya'!E52)</f>
        <v>9</v>
      </c>
      <c r="F52" s="49">
        <f>AVERAGE('28.10 Masaka-Maya'!F52,'29.10 Masaka-Maya'!F52,'30.10 Masaka-Maya'!F52,'01.11 Masaka-Maya'!F52,'31.10 Masaka-Maya-24h'!F52,'02.11 Masaka-Maya-24h'!F52,'03.11 Masaka-Maya'!F52)</f>
        <v>30</v>
      </c>
      <c r="G52" s="49">
        <f>AVERAGE('28.10 Masaka-Maya'!G52,'29.10 Masaka-Maya'!G52,'30.10 Masaka-Maya'!G52,'01.11 Masaka-Maya'!G52,'31.10 Masaka-Maya-24h'!G52,'02.11 Masaka-Maya-24h'!G52,'03.11 Masaka-Maya'!G52)</f>
        <v>2.5714285714285716</v>
      </c>
      <c r="H52" s="49">
        <f>AVERAGE('28.10 Masaka-Maya'!H52,'29.10 Masaka-Maya'!H52,'30.10 Masaka-Maya'!H52,'01.11 Masaka-Maya'!H52,'31.10 Masaka-Maya-24h'!H52,'02.11 Masaka-Maya-24h'!H52,'03.11 Masaka-Maya'!H52)</f>
        <v>1.5714285714285714</v>
      </c>
      <c r="I52" s="49">
        <f>AVERAGE('28.10 Masaka-Maya'!I52,'29.10 Masaka-Maya'!I52,'30.10 Masaka-Maya'!I52,'01.11 Masaka-Maya'!I52,'31.10 Masaka-Maya-24h'!I52,'02.11 Masaka-Maya-24h'!I52,'03.11 Masaka-Maya'!I52)</f>
        <v>15.857142857142858</v>
      </c>
      <c r="J52" s="49">
        <f>AVERAGE('28.10 Masaka-Maya'!J52,'29.10 Masaka-Maya'!J52,'30.10 Masaka-Maya'!J52,'01.11 Masaka-Maya'!J52,'31.10 Masaka-Maya-24h'!J52,'02.11 Masaka-Maya-24h'!J52,'03.11 Masaka-Maya'!J52)</f>
        <v>3.4285714285714284</v>
      </c>
      <c r="K52" s="49">
        <f>AVERAGE('28.10 Masaka-Maya'!K52,'29.10 Masaka-Maya'!K52,'30.10 Masaka-Maya'!K52,'01.11 Masaka-Maya'!K52,'31.10 Masaka-Maya-24h'!K52,'02.11 Masaka-Maya-24h'!K52,'03.11 Masaka-Maya'!K52)</f>
        <v>0.8571428571428571</v>
      </c>
      <c r="L52" s="49">
        <f>AVERAGE('28.10 Masaka-Maya'!L52,'29.10 Masaka-Maya'!L52,'30.10 Masaka-Maya'!L52,'01.11 Masaka-Maya'!L52,'31.10 Masaka-Maya-24h'!L52,'02.11 Masaka-Maya-24h'!L52,'03.11 Masaka-Maya'!L52)</f>
        <v>2.2857142857142856</v>
      </c>
      <c r="M52" s="49">
        <f>AVERAGE('28.10 Masaka-Maya'!M52,'29.10 Masaka-Maya'!M52,'30.10 Masaka-Maya'!M52,'01.11 Masaka-Maya'!M52,'31.10 Masaka-Maya-24h'!M52,'02.11 Masaka-Maya-24h'!M52,'03.11 Masaka-Maya'!M52)</f>
        <v>34</v>
      </c>
      <c r="N52" s="49">
        <f>AVERAGE('28.10 Masaka-Maya'!N52,'29.10 Masaka-Maya'!N52,'30.10 Masaka-Maya'!N52,'01.11 Masaka-Maya'!N52,'31.10 Masaka-Maya-24h'!N52,'02.11 Masaka-Maya-24h'!N52,'03.11 Masaka-Maya'!N52)</f>
        <v>0</v>
      </c>
      <c r="O52" s="15">
        <f t="shared" si="0"/>
        <v>120.85714285714288</v>
      </c>
      <c r="P52" s="15">
        <f t="shared" si="1"/>
        <v>154.85714285714289</v>
      </c>
      <c r="R52" s="8"/>
      <c r="T52"/>
    </row>
    <row r="53" spans="2:20" ht="23.1" customHeight="1" x14ac:dyDescent="0.25">
      <c r="B53" s="23" t="s">
        <v>80</v>
      </c>
      <c r="C53" s="49">
        <f>AVERAGE('28.10 Masaka-Maya'!C53,'29.10 Masaka-Maya'!C53,'30.10 Masaka-Maya'!C53,'01.11 Masaka-Maya'!C53,'31.10 Masaka-Maya-24h'!C53,'02.11 Masaka-Maya-24h'!C53,'03.11 Masaka-Maya'!C53)</f>
        <v>45.857142857142854</v>
      </c>
      <c r="D53" s="49">
        <f>AVERAGE('28.10 Masaka-Maya'!D53,'29.10 Masaka-Maya'!D53,'30.10 Masaka-Maya'!D53,'01.11 Masaka-Maya'!D53,'31.10 Masaka-Maya-24h'!D53,'02.11 Masaka-Maya-24h'!D53,'03.11 Masaka-Maya'!D53)</f>
        <v>11.714285714285714</v>
      </c>
      <c r="E53" s="49">
        <f>AVERAGE('28.10 Masaka-Maya'!E53,'29.10 Masaka-Maya'!E53,'30.10 Masaka-Maya'!E53,'01.11 Masaka-Maya'!E53,'31.10 Masaka-Maya-24h'!E53,'02.11 Masaka-Maya-24h'!E53,'03.11 Masaka-Maya'!E53)</f>
        <v>6.5714285714285712</v>
      </c>
      <c r="F53" s="49">
        <f>AVERAGE('28.10 Masaka-Maya'!F53,'29.10 Masaka-Maya'!F53,'30.10 Masaka-Maya'!F53,'01.11 Masaka-Maya'!F53,'31.10 Masaka-Maya-24h'!F53,'02.11 Masaka-Maya-24h'!F53,'03.11 Masaka-Maya'!F53)</f>
        <v>27.142857142857142</v>
      </c>
      <c r="G53" s="49">
        <f>AVERAGE('28.10 Masaka-Maya'!G53,'29.10 Masaka-Maya'!G53,'30.10 Masaka-Maya'!G53,'01.11 Masaka-Maya'!G53,'31.10 Masaka-Maya-24h'!G53,'02.11 Masaka-Maya-24h'!G53,'03.11 Masaka-Maya'!G53)</f>
        <v>3.7142857142857144</v>
      </c>
      <c r="H53" s="49">
        <f>AVERAGE('28.10 Masaka-Maya'!H53,'29.10 Masaka-Maya'!H53,'30.10 Masaka-Maya'!H53,'01.11 Masaka-Maya'!H53,'31.10 Masaka-Maya-24h'!H53,'02.11 Masaka-Maya-24h'!H53,'03.11 Masaka-Maya'!H53)</f>
        <v>1.5714285714285714</v>
      </c>
      <c r="I53" s="49">
        <f>AVERAGE('28.10 Masaka-Maya'!I53,'29.10 Masaka-Maya'!I53,'30.10 Masaka-Maya'!I53,'01.11 Masaka-Maya'!I53,'31.10 Masaka-Maya-24h'!I53,'02.11 Masaka-Maya-24h'!I53,'03.11 Masaka-Maya'!I53)</f>
        <v>15.571428571428571</v>
      </c>
      <c r="J53" s="49">
        <f>AVERAGE('28.10 Masaka-Maya'!J53,'29.10 Masaka-Maya'!J53,'30.10 Masaka-Maya'!J53,'01.11 Masaka-Maya'!J53,'31.10 Masaka-Maya-24h'!J53,'02.11 Masaka-Maya-24h'!J53,'03.11 Masaka-Maya'!J53)</f>
        <v>2</v>
      </c>
      <c r="K53" s="49">
        <f>AVERAGE('28.10 Masaka-Maya'!K53,'29.10 Masaka-Maya'!K53,'30.10 Masaka-Maya'!K53,'01.11 Masaka-Maya'!K53,'31.10 Masaka-Maya-24h'!K53,'02.11 Masaka-Maya-24h'!K53,'03.11 Masaka-Maya'!K53)</f>
        <v>1.2857142857142858</v>
      </c>
      <c r="L53" s="49">
        <f>AVERAGE('28.10 Masaka-Maya'!L53,'29.10 Masaka-Maya'!L53,'30.10 Masaka-Maya'!L53,'01.11 Masaka-Maya'!L53,'31.10 Masaka-Maya-24h'!L53,'02.11 Masaka-Maya-24h'!L53,'03.11 Masaka-Maya'!L53)</f>
        <v>2.5714285714285716</v>
      </c>
      <c r="M53" s="49">
        <f>AVERAGE('28.10 Masaka-Maya'!M53,'29.10 Masaka-Maya'!M53,'30.10 Masaka-Maya'!M53,'01.11 Masaka-Maya'!M53,'31.10 Masaka-Maya-24h'!M53,'02.11 Masaka-Maya-24h'!M53,'03.11 Masaka-Maya'!M53)</f>
        <v>36.142857142857146</v>
      </c>
      <c r="N53" s="49">
        <f>AVERAGE('28.10 Masaka-Maya'!N53,'29.10 Masaka-Maya'!N53,'30.10 Masaka-Maya'!N53,'01.11 Masaka-Maya'!N53,'31.10 Masaka-Maya-24h'!N53,'02.11 Masaka-Maya-24h'!N53,'03.11 Masaka-Maya'!N53)</f>
        <v>0</v>
      </c>
      <c r="O53" s="15">
        <f t="shared" si="0"/>
        <v>117.99999999999999</v>
      </c>
      <c r="P53" s="15">
        <f t="shared" si="1"/>
        <v>154.14285714285714</v>
      </c>
      <c r="R53" s="8"/>
      <c r="T53"/>
    </row>
    <row r="54" spans="2:20" ht="23.1" customHeight="1" x14ac:dyDescent="0.25">
      <c r="B54" s="23" t="s">
        <v>81</v>
      </c>
      <c r="C54" s="49">
        <f>AVERAGE('28.10 Masaka-Maya'!C54,'29.10 Masaka-Maya'!C54,'30.10 Masaka-Maya'!C54,'01.11 Masaka-Maya'!C54,'31.10 Masaka-Maya-24h'!C54,'02.11 Masaka-Maya-24h'!C54,'03.11 Masaka-Maya'!C54)</f>
        <v>56.714285714285715</v>
      </c>
      <c r="D54" s="49">
        <f>AVERAGE('28.10 Masaka-Maya'!D54,'29.10 Masaka-Maya'!D54,'30.10 Masaka-Maya'!D54,'01.11 Masaka-Maya'!D54,'31.10 Masaka-Maya-24h'!D54,'02.11 Masaka-Maya-24h'!D54,'03.11 Masaka-Maya'!D54)</f>
        <v>9.8571428571428577</v>
      </c>
      <c r="E54" s="49">
        <f>AVERAGE('28.10 Masaka-Maya'!E54,'29.10 Masaka-Maya'!E54,'30.10 Masaka-Maya'!E54,'01.11 Masaka-Maya'!E54,'31.10 Masaka-Maya-24h'!E54,'02.11 Masaka-Maya-24h'!E54,'03.11 Masaka-Maya'!E54)</f>
        <v>7.7142857142857144</v>
      </c>
      <c r="F54" s="49">
        <f>AVERAGE('28.10 Masaka-Maya'!F54,'29.10 Masaka-Maya'!F54,'30.10 Masaka-Maya'!F54,'01.11 Masaka-Maya'!F54,'31.10 Masaka-Maya-24h'!F54,'02.11 Masaka-Maya-24h'!F54,'03.11 Masaka-Maya'!F54)</f>
        <v>31</v>
      </c>
      <c r="G54" s="49">
        <f>AVERAGE('28.10 Masaka-Maya'!G54,'29.10 Masaka-Maya'!G54,'30.10 Masaka-Maya'!G54,'01.11 Masaka-Maya'!G54,'31.10 Masaka-Maya-24h'!G54,'02.11 Masaka-Maya-24h'!G54,'03.11 Masaka-Maya'!G54)</f>
        <v>4.8571428571428568</v>
      </c>
      <c r="H54" s="49">
        <f>AVERAGE('28.10 Masaka-Maya'!H54,'29.10 Masaka-Maya'!H54,'30.10 Masaka-Maya'!H54,'01.11 Masaka-Maya'!H54,'31.10 Masaka-Maya-24h'!H54,'02.11 Masaka-Maya-24h'!H54,'03.11 Masaka-Maya'!H54)</f>
        <v>1.8571428571428572</v>
      </c>
      <c r="I54" s="49">
        <f>AVERAGE('28.10 Masaka-Maya'!I54,'29.10 Masaka-Maya'!I54,'30.10 Masaka-Maya'!I54,'01.11 Masaka-Maya'!I54,'31.10 Masaka-Maya-24h'!I54,'02.11 Masaka-Maya-24h'!I54,'03.11 Masaka-Maya'!I54)</f>
        <v>17.714285714285715</v>
      </c>
      <c r="J54" s="49">
        <f>AVERAGE('28.10 Masaka-Maya'!J54,'29.10 Masaka-Maya'!J54,'30.10 Masaka-Maya'!J54,'01.11 Masaka-Maya'!J54,'31.10 Masaka-Maya-24h'!J54,'02.11 Masaka-Maya-24h'!J54,'03.11 Masaka-Maya'!J54)</f>
        <v>4</v>
      </c>
      <c r="K54" s="49">
        <f>AVERAGE('28.10 Masaka-Maya'!K54,'29.10 Masaka-Maya'!K54,'30.10 Masaka-Maya'!K54,'01.11 Masaka-Maya'!K54,'31.10 Masaka-Maya-24h'!K54,'02.11 Masaka-Maya-24h'!K54,'03.11 Masaka-Maya'!K54)</f>
        <v>1.1428571428571428</v>
      </c>
      <c r="L54" s="49">
        <f>AVERAGE('28.10 Masaka-Maya'!L54,'29.10 Masaka-Maya'!L54,'30.10 Masaka-Maya'!L54,'01.11 Masaka-Maya'!L54,'31.10 Masaka-Maya-24h'!L54,'02.11 Masaka-Maya-24h'!L54,'03.11 Masaka-Maya'!L54)</f>
        <v>3.4285714285714284</v>
      </c>
      <c r="M54" s="49">
        <f>AVERAGE('28.10 Masaka-Maya'!M54,'29.10 Masaka-Maya'!M54,'30.10 Masaka-Maya'!M54,'01.11 Masaka-Maya'!M54,'31.10 Masaka-Maya-24h'!M54,'02.11 Masaka-Maya-24h'!M54,'03.11 Masaka-Maya'!M54)</f>
        <v>33.714285714285715</v>
      </c>
      <c r="N54" s="49">
        <f>AVERAGE('28.10 Masaka-Maya'!N54,'29.10 Masaka-Maya'!N54,'30.10 Masaka-Maya'!N54,'01.11 Masaka-Maya'!N54,'31.10 Masaka-Maya-24h'!N54,'02.11 Masaka-Maya-24h'!N54,'03.11 Masaka-Maya'!N54)</f>
        <v>0</v>
      </c>
      <c r="O54" s="15">
        <f t="shared" si="0"/>
        <v>138.28571428571428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49">
        <f>AVERAGE('28.10 Masaka-Maya'!C55,'29.10 Masaka-Maya'!C55,'30.10 Masaka-Maya'!C55,'01.11 Masaka-Maya'!C55,'31.10 Masaka-Maya-24h'!C55,'02.11 Masaka-Maya-24h'!C55,'03.11 Masaka-Maya'!C55)</f>
        <v>54.428571428571431</v>
      </c>
      <c r="D55" s="49">
        <f>AVERAGE('28.10 Masaka-Maya'!D55,'29.10 Masaka-Maya'!D55,'30.10 Masaka-Maya'!D55,'01.11 Masaka-Maya'!D55,'31.10 Masaka-Maya-24h'!D55,'02.11 Masaka-Maya-24h'!D55,'03.11 Masaka-Maya'!D55)</f>
        <v>10.714285714285714</v>
      </c>
      <c r="E55" s="49">
        <f>AVERAGE('28.10 Masaka-Maya'!E55,'29.10 Masaka-Maya'!E55,'30.10 Masaka-Maya'!E55,'01.11 Masaka-Maya'!E55,'31.10 Masaka-Maya-24h'!E55,'02.11 Masaka-Maya-24h'!E55,'03.11 Masaka-Maya'!E55)</f>
        <v>7</v>
      </c>
      <c r="F55" s="49">
        <f>AVERAGE('28.10 Masaka-Maya'!F55,'29.10 Masaka-Maya'!F55,'30.10 Masaka-Maya'!F55,'01.11 Masaka-Maya'!F55,'31.10 Masaka-Maya-24h'!F55,'02.11 Masaka-Maya-24h'!F55,'03.11 Masaka-Maya'!F55)</f>
        <v>33.428571428571431</v>
      </c>
      <c r="G55" s="49">
        <f>AVERAGE('28.10 Masaka-Maya'!G55,'29.10 Masaka-Maya'!G55,'30.10 Masaka-Maya'!G55,'01.11 Masaka-Maya'!G55,'31.10 Masaka-Maya-24h'!G55,'02.11 Masaka-Maya-24h'!G55,'03.11 Masaka-Maya'!G55)</f>
        <v>4.1428571428571432</v>
      </c>
      <c r="H55" s="49">
        <f>AVERAGE('28.10 Masaka-Maya'!H55,'29.10 Masaka-Maya'!H55,'30.10 Masaka-Maya'!H55,'01.11 Masaka-Maya'!H55,'31.10 Masaka-Maya-24h'!H55,'02.11 Masaka-Maya-24h'!H55,'03.11 Masaka-Maya'!H55)</f>
        <v>1.2857142857142858</v>
      </c>
      <c r="I55" s="49">
        <f>AVERAGE('28.10 Masaka-Maya'!I55,'29.10 Masaka-Maya'!I55,'30.10 Masaka-Maya'!I55,'01.11 Masaka-Maya'!I55,'31.10 Masaka-Maya-24h'!I55,'02.11 Masaka-Maya-24h'!I55,'03.11 Masaka-Maya'!I55)</f>
        <v>15</v>
      </c>
      <c r="J55" s="49">
        <f>AVERAGE('28.10 Masaka-Maya'!J55,'29.10 Masaka-Maya'!J55,'30.10 Masaka-Maya'!J55,'01.11 Masaka-Maya'!J55,'31.10 Masaka-Maya-24h'!J55,'02.11 Masaka-Maya-24h'!J55,'03.11 Masaka-Maya'!J55)</f>
        <v>2.1428571428571428</v>
      </c>
      <c r="K55" s="49">
        <f>AVERAGE('28.10 Masaka-Maya'!K55,'29.10 Masaka-Maya'!K55,'30.10 Masaka-Maya'!K55,'01.11 Masaka-Maya'!K55,'31.10 Masaka-Maya-24h'!K55,'02.11 Masaka-Maya-24h'!K55,'03.11 Masaka-Maya'!K55)</f>
        <v>1.7142857142857142</v>
      </c>
      <c r="L55" s="49">
        <f>AVERAGE('28.10 Masaka-Maya'!L55,'29.10 Masaka-Maya'!L55,'30.10 Masaka-Maya'!L55,'01.11 Masaka-Maya'!L55,'31.10 Masaka-Maya-24h'!L55,'02.11 Masaka-Maya-24h'!L55,'03.11 Masaka-Maya'!L55)</f>
        <v>2.1428571428571428</v>
      </c>
      <c r="M55" s="49">
        <f>AVERAGE('28.10 Masaka-Maya'!M55,'29.10 Masaka-Maya'!M55,'30.10 Masaka-Maya'!M55,'01.11 Masaka-Maya'!M55,'31.10 Masaka-Maya-24h'!M55,'02.11 Masaka-Maya-24h'!M55,'03.11 Masaka-Maya'!M55)</f>
        <v>32.142857142857146</v>
      </c>
      <c r="N55" s="49">
        <f>AVERAGE('28.10 Masaka-Maya'!N55,'29.10 Masaka-Maya'!N55,'30.10 Masaka-Maya'!N55,'01.11 Masaka-Maya'!N55,'31.10 Masaka-Maya-24h'!N55,'02.11 Masaka-Maya-24h'!N55,'03.11 Masaka-Maya'!N55)</f>
        <v>0</v>
      </c>
      <c r="O55" s="15">
        <f t="shared" si="0"/>
        <v>132</v>
      </c>
      <c r="P55" s="15">
        <f t="shared" si="1"/>
        <v>164.14285714285714</v>
      </c>
      <c r="R55" s="8"/>
      <c r="T55"/>
    </row>
    <row r="56" spans="2:20" ht="23.1" customHeight="1" x14ac:dyDescent="0.25">
      <c r="B56" s="23" t="s">
        <v>83</v>
      </c>
      <c r="C56" s="49">
        <f>AVERAGE('28.10 Masaka-Maya'!C56,'29.10 Masaka-Maya'!C56,'30.10 Masaka-Maya'!C56,'01.11 Masaka-Maya'!C56,'31.10 Masaka-Maya-24h'!C56,'02.11 Masaka-Maya-24h'!C56,'03.11 Masaka-Maya'!C56)</f>
        <v>58.142857142857146</v>
      </c>
      <c r="D56" s="49">
        <f>AVERAGE('28.10 Masaka-Maya'!D56,'29.10 Masaka-Maya'!D56,'30.10 Masaka-Maya'!D56,'01.11 Masaka-Maya'!D56,'31.10 Masaka-Maya-24h'!D56,'02.11 Masaka-Maya-24h'!D56,'03.11 Masaka-Maya'!D56)</f>
        <v>8.8571428571428577</v>
      </c>
      <c r="E56" s="49">
        <f>AVERAGE('28.10 Masaka-Maya'!E56,'29.10 Masaka-Maya'!E56,'30.10 Masaka-Maya'!E56,'01.11 Masaka-Maya'!E56,'31.10 Masaka-Maya-24h'!E56,'02.11 Masaka-Maya-24h'!E56,'03.11 Masaka-Maya'!E56)</f>
        <v>7.1428571428571432</v>
      </c>
      <c r="F56" s="49">
        <f>AVERAGE('28.10 Masaka-Maya'!F56,'29.10 Masaka-Maya'!F56,'30.10 Masaka-Maya'!F56,'01.11 Masaka-Maya'!F56,'31.10 Masaka-Maya-24h'!F56,'02.11 Masaka-Maya-24h'!F56,'03.11 Masaka-Maya'!F56)</f>
        <v>29.428571428571427</v>
      </c>
      <c r="G56" s="49">
        <f>AVERAGE('28.10 Masaka-Maya'!G56,'29.10 Masaka-Maya'!G56,'30.10 Masaka-Maya'!G56,'01.11 Masaka-Maya'!G56,'31.10 Masaka-Maya-24h'!G56,'02.11 Masaka-Maya-24h'!G56,'03.11 Masaka-Maya'!G56)</f>
        <v>3.2857142857142856</v>
      </c>
      <c r="H56" s="49">
        <f>AVERAGE('28.10 Masaka-Maya'!H56,'29.10 Masaka-Maya'!H56,'30.10 Masaka-Maya'!H56,'01.11 Masaka-Maya'!H56,'31.10 Masaka-Maya-24h'!H56,'02.11 Masaka-Maya-24h'!H56,'03.11 Masaka-Maya'!H56)</f>
        <v>1.5714285714285714</v>
      </c>
      <c r="I56" s="49">
        <f>AVERAGE('28.10 Masaka-Maya'!I56,'29.10 Masaka-Maya'!I56,'30.10 Masaka-Maya'!I56,'01.11 Masaka-Maya'!I56,'31.10 Masaka-Maya-24h'!I56,'02.11 Masaka-Maya-24h'!I56,'03.11 Masaka-Maya'!I56)</f>
        <v>17.714285714285715</v>
      </c>
      <c r="J56" s="49">
        <f>AVERAGE('28.10 Masaka-Maya'!J56,'29.10 Masaka-Maya'!J56,'30.10 Masaka-Maya'!J56,'01.11 Masaka-Maya'!J56,'31.10 Masaka-Maya-24h'!J56,'02.11 Masaka-Maya-24h'!J56,'03.11 Masaka-Maya'!J56)</f>
        <v>2.2857142857142856</v>
      </c>
      <c r="K56" s="49">
        <f>AVERAGE('28.10 Masaka-Maya'!K56,'29.10 Masaka-Maya'!K56,'30.10 Masaka-Maya'!K56,'01.11 Masaka-Maya'!K56,'31.10 Masaka-Maya-24h'!K56,'02.11 Masaka-Maya-24h'!K56,'03.11 Masaka-Maya'!K56)</f>
        <v>1.2857142857142858</v>
      </c>
      <c r="L56" s="49">
        <f>AVERAGE('28.10 Masaka-Maya'!L56,'29.10 Masaka-Maya'!L56,'30.10 Masaka-Maya'!L56,'01.11 Masaka-Maya'!L56,'31.10 Masaka-Maya-24h'!L56,'02.11 Masaka-Maya-24h'!L56,'03.11 Masaka-Maya'!L56)</f>
        <v>3.1428571428571428</v>
      </c>
      <c r="M56" s="49">
        <f>AVERAGE('28.10 Masaka-Maya'!M56,'29.10 Masaka-Maya'!M56,'30.10 Masaka-Maya'!M56,'01.11 Masaka-Maya'!M56,'31.10 Masaka-Maya-24h'!M56,'02.11 Masaka-Maya-24h'!M56,'03.11 Masaka-Maya'!M56)</f>
        <v>30.285714285714285</v>
      </c>
      <c r="N56" s="49">
        <f>AVERAGE('28.10 Masaka-Maya'!N56,'29.10 Masaka-Maya'!N56,'30.10 Masaka-Maya'!N56,'01.11 Masaka-Maya'!N56,'31.10 Masaka-Maya-24h'!N56,'02.11 Masaka-Maya-24h'!N56,'03.11 Masaka-Maya'!N56)</f>
        <v>0</v>
      </c>
      <c r="O56" s="15">
        <f t="shared" si="0"/>
        <v>132.85714285714283</v>
      </c>
      <c r="P56" s="15">
        <f t="shared" si="1"/>
        <v>163.14285714285711</v>
      </c>
      <c r="R56" s="8"/>
      <c r="T56"/>
    </row>
    <row r="57" spans="2:20" ht="23.1" customHeight="1" x14ac:dyDescent="0.25">
      <c r="B57" s="23" t="s">
        <v>84</v>
      </c>
      <c r="C57" s="49">
        <f>AVERAGE('28.10 Masaka-Maya'!C57,'29.10 Masaka-Maya'!C57,'30.10 Masaka-Maya'!C57,'01.11 Masaka-Maya'!C57,'31.10 Masaka-Maya-24h'!C57,'02.11 Masaka-Maya-24h'!C57,'03.11 Masaka-Maya'!C57)</f>
        <v>53.428571428571431</v>
      </c>
      <c r="D57" s="49">
        <f>AVERAGE('28.10 Masaka-Maya'!D57,'29.10 Masaka-Maya'!D57,'30.10 Masaka-Maya'!D57,'01.11 Masaka-Maya'!D57,'31.10 Masaka-Maya-24h'!D57,'02.11 Masaka-Maya-24h'!D57,'03.11 Masaka-Maya'!D57)</f>
        <v>11.285714285714286</v>
      </c>
      <c r="E57" s="49">
        <f>AVERAGE('28.10 Masaka-Maya'!E57,'29.10 Masaka-Maya'!E57,'30.10 Masaka-Maya'!E57,'01.11 Masaka-Maya'!E57,'31.10 Masaka-Maya-24h'!E57,'02.11 Masaka-Maya-24h'!E57,'03.11 Masaka-Maya'!E57)</f>
        <v>8.1428571428571423</v>
      </c>
      <c r="F57" s="49">
        <f>AVERAGE('28.10 Masaka-Maya'!F57,'29.10 Masaka-Maya'!F57,'30.10 Masaka-Maya'!F57,'01.11 Masaka-Maya'!F57,'31.10 Masaka-Maya-24h'!F57,'02.11 Masaka-Maya-24h'!F57,'03.11 Masaka-Maya'!F57)</f>
        <v>30.571428571428573</v>
      </c>
      <c r="G57" s="49">
        <f>AVERAGE('28.10 Masaka-Maya'!G57,'29.10 Masaka-Maya'!G57,'30.10 Masaka-Maya'!G57,'01.11 Masaka-Maya'!G57,'31.10 Masaka-Maya-24h'!G57,'02.11 Masaka-Maya-24h'!G57,'03.11 Masaka-Maya'!G57)</f>
        <v>4.8571428571428568</v>
      </c>
      <c r="H57" s="49">
        <f>AVERAGE('28.10 Masaka-Maya'!H57,'29.10 Masaka-Maya'!H57,'30.10 Masaka-Maya'!H57,'01.11 Masaka-Maya'!H57,'31.10 Masaka-Maya-24h'!H57,'02.11 Masaka-Maya-24h'!H57,'03.11 Masaka-Maya'!H57)</f>
        <v>1</v>
      </c>
      <c r="I57" s="49">
        <f>AVERAGE('28.10 Masaka-Maya'!I57,'29.10 Masaka-Maya'!I57,'30.10 Masaka-Maya'!I57,'01.11 Masaka-Maya'!I57,'31.10 Masaka-Maya-24h'!I57,'02.11 Masaka-Maya-24h'!I57,'03.11 Masaka-Maya'!I57)</f>
        <v>14.571428571428571</v>
      </c>
      <c r="J57" s="49">
        <f>AVERAGE('28.10 Masaka-Maya'!J57,'29.10 Masaka-Maya'!J57,'30.10 Masaka-Maya'!J57,'01.11 Masaka-Maya'!J57,'31.10 Masaka-Maya-24h'!J57,'02.11 Masaka-Maya-24h'!J57,'03.11 Masaka-Maya'!J57)</f>
        <v>3.8571428571428572</v>
      </c>
      <c r="K57" s="49">
        <f>AVERAGE('28.10 Masaka-Maya'!K57,'29.10 Masaka-Maya'!K57,'30.10 Masaka-Maya'!K57,'01.11 Masaka-Maya'!K57,'31.10 Masaka-Maya-24h'!K57,'02.11 Masaka-Maya-24h'!K57,'03.11 Masaka-Maya'!K57)</f>
        <v>1.2857142857142858</v>
      </c>
      <c r="L57" s="49">
        <f>AVERAGE('28.10 Masaka-Maya'!L57,'29.10 Masaka-Maya'!L57,'30.10 Masaka-Maya'!L57,'01.11 Masaka-Maya'!L57,'31.10 Masaka-Maya-24h'!L57,'02.11 Masaka-Maya-24h'!L57,'03.11 Masaka-Maya'!L57)</f>
        <v>2.5714285714285716</v>
      </c>
      <c r="M57" s="49">
        <f>AVERAGE('28.10 Masaka-Maya'!M57,'29.10 Masaka-Maya'!M57,'30.10 Masaka-Maya'!M57,'01.11 Masaka-Maya'!M57,'31.10 Masaka-Maya-24h'!M57,'02.11 Masaka-Maya-24h'!M57,'03.11 Masaka-Maya'!M57)</f>
        <v>29.571428571428573</v>
      </c>
      <c r="N57" s="49">
        <f>AVERAGE('28.10 Masaka-Maya'!N57,'29.10 Masaka-Maya'!N57,'30.10 Masaka-Maya'!N57,'01.11 Masaka-Maya'!N57,'31.10 Masaka-Maya-24h'!N57,'02.11 Masaka-Maya-24h'!N57,'03.11 Masaka-Maya'!N57)</f>
        <v>0</v>
      </c>
      <c r="O57" s="15">
        <f t="shared" si="0"/>
        <v>131.57142857142858</v>
      </c>
      <c r="P57" s="15">
        <f t="shared" si="1"/>
        <v>161.14285714285717</v>
      </c>
      <c r="R57" s="8"/>
      <c r="T57"/>
    </row>
    <row r="58" spans="2:20" ht="23.1" customHeight="1" x14ac:dyDescent="0.25">
      <c r="B58" s="23" t="s">
        <v>99</v>
      </c>
      <c r="C58" s="49">
        <f>AVERAGE('31.10 Masaka-Maya-24h'!C58,'02.11 Masaka-Maya-24h'!C58)</f>
        <v>23</v>
      </c>
      <c r="D58" s="49">
        <f>AVERAGE('31.10 Masaka-Maya-24h'!D58,'02.11 Masaka-Maya-24h'!D58)</f>
        <v>10</v>
      </c>
      <c r="E58" s="49">
        <f>AVERAGE('31.10 Masaka-Maya-24h'!E58,'02.11 Masaka-Maya-24h'!E58)</f>
        <v>6</v>
      </c>
      <c r="F58" s="49">
        <f>AVERAGE('31.10 Masaka-Maya-24h'!F58,'02.11 Masaka-Maya-24h'!F58)</f>
        <v>19</v>
      </c>
      <c r="G58" s="49">
        <f>AVERAGE('31.10 Masaka-Maya-24h'!G58,'02.11 Masaka-Maya-24h'!G58)</f>
        <v>2.5</v>
      </c>
      <c r="H58" s="49">
        <f>AVERAGE('31.10 Masaka-Maya-24h'!H58,'02.11 Masaka-Maya-24h'!H58)</f>
        <v>3</v>
      </c>
      <c r="I58" s="49">
        <f>AVERAGE('31.10 Masaka-Maya-24h'!I58,'02.11 Masaka-Maya-24h'!I58)</f>
        <v>9</v>
      </c>
      <c r="J58" s="49">
        <f>AVERAGE('31.10 Masaka-Maya-24h'!J58,'02.11 Masaka-Maya-24h'!J58)</f>
        <v>1</v>
      </c>
      <c r="K58" s="49">
        <f>AVERAGE('31.10 Masaka-Maya-24h'!K58,'02.11 Masaka-Maya-24h'!K58)</f>
        <v>0.5</v>
      </c>
      <c r="L58" s="49">
        <f>AVERAGE('31.10 Masaka-Maya-24h'!L58,'02.11 Masaka-Maya-24h'!L58)</f>
        <v>0.5</v>
      </c>
      <c r="M58" s="49">
        <f>AVERAGE('31.10 Masaka-Maya-24h'!M58,'02.11 Masaka-Maya-24h'!M58)</f>
        <v>18.5</v>
      </c>
      <c r="N58" s="49">
        <f>AVERAGE('31.10 Masaka-Maya-24h'!N58,'02.11 Masaka-Maya-24h'!N58)</f>
        <v>0</v>
      </c>
      <c r="O58" s="15">
        <f t="shared" si="0"/>
        <v>74.5</v>
      </c>
      <c r="P58" s="15">
        <f t="shared" si="1"/>
        <v>93</v>
      </c>
      <c r="R58" s="8"/>
      <c r="T58"/>
    </row>
    <row r="59" spans="2:20" ht="23.1" customHeight="1" x14ac:dyDescent="0.25">
      <c r="B59" s="23" t="s">
        <v>100</v>
      </c>
      <c r="C59" s="49">
        <f>AVERAGE('31.10 Masaka-Maya-24h'!C59,'02.11 Masaka-Maya-24h'!C59)</f>
        <v>43.5</v>
      </c>
      <c r="D59" s="49">
        <f>AVERAGE('31.10 Masaka-Maya-24h'!D59,'02.11 Masaka-Maya-24h'!D59)</f>
        <v>6</v>
      </c>
      <c r="E59" s="49">
        <f>AVERAGE('31.10 Masaka-Maya-24h'!E59,'02.11 Masaka-Maya-24h'!E59)</f>
        <v>4.5</v>
      </c>
      <c r="F59" s="49">
        <f>AVERAGE('31.10 Masaka-Maya-24h'!F59,'02.11 Masaka-Maya-24h'!F59)</f>
        <v>42.5</v>
      </c>
      <c r="G59" s="49">
        <f>AVERAGE('31.10 Masaka-Maya-24h'!G59,'02.11 Masaka-Maya-24h'!G59)</f>
        <v>6</v>
      </c>
      <c r="H59" s="49">
        <f>AVERAGE('31.10 Masaka-Maya-24h'!H59,'02.11 Masaka-Maya-24h'!H59)</f>
        <v>3.5</v>
      </c>
      <c r="I59" s="49">
        <f>AVERAGE('31.10 Masaka-Maya-24h'!I59,'02.11 Masaka-Maya-24h'!I59)</f>
        <v>16.5</v>
      </c>
      <c r="J59" s="49">
        <f>AVERAGE('31.10 Masaka-Maya-24h'!J59,'02.11 Masaka-Maya-24h'!J59)</f>
        <v>6.5</v>
      </c>
      <c r="K59" s="49">
        <f>AVERAGE('31.10 Masaka-Maya-24h'!K59,'02.11 Masaka-Maya-24h'!K59)</f>
        <v>2.5</v>
      </c>
      <c r="L59" s="49">
        <f>AVERAGE('31.10 Masaka-Maya-24h'!L59,'02.11 Masaka-Maya-24h'!L59)</f>
        <v>8</v>
      </c>
      <c r="M59" s="49">
        <f>AVERAGE('31.10 Masaka-Maya-24h'!M59,'02.11 Masaka-Maya-24h'!M59)</f>
        <v>22</v>
      </c>
      <c r="N59" s="49">
        <f>AVERAGE('31.10 Masaka-Maya-24h'!N59,'02.11 Masaka-Maya-24h'!N59)</f>
        <v>0</v>
      </c>
      <c r="O59" s="15">
        <f t="shared" si="0"/>
        <v>139.5</v>
      </c>
      <c r="P59" s="15">
        <f t="shared" si="1"/>
        <v>161.5</v>
      </c>
      <c r="R59" s="8"/>
      <c r="T59"/>
    </row>
    <row r="60" spans="2:20" ht="23.1" customHeight="1" x14ac:dyDescent="0.25">
      <c r="B60" s="23" t="s">
        <v>101</v>
      </c>
      <c r="C60" s="49">
        <f>AVERAGE('31.10 Masaka-Maya-24h'!C60,'02.11 Masaka-Maya-24h'!C60)</f>
        <v>32.5</v>
      </c>
      <c r="D60" s="49">
        <f>AVERAGE('31.10 Masaka-Maya-24h'!D60,'02.11 Masaka-Maya-24h'!D60)</f>
        <v>11</v>
      </c>
      <c r="E60" s="49">
        <f>AVERAGE('31.10 Masaka-Maya-24h'!E60,'02.11 Masaka-Maya-24h'!E60)</f>
        <v>13.5</v>
      </c>
      <c r="F60" s="49">
        <f>AVERAGE('31.10 Masaka-Maya-24h'!F60,'02.11 Masaka-Maya-24h'!F60)</f>
        <v>44</v>
      </c>
      <c r="G60" s="49">
        <f>AVERAGE('31.10 Masaka-Maya-24h'!G60,'02.11 Masaka-Maya-24h'!G60)</f>
        <v>5.5</v>
      </c>
      <c r="H60" s="49">
        <f>AVERAGE('31.10 Masaka-Maya-24h'!H60,'02.11 Masaka-Maya-24h'!H60)</f>
        <v>6.5</v>
      </c>
      <c r="I60" s="49">
        <f>AVERAGE('31.10 Masaka-Maya-24h'!I60,'02.11 Masaka-Maya-24h'!I60)</f>
        <v>12.5</v>
      </c>
      <c r="J60" s="49">
        <f>AVERAGE('31.10 Masaka-Maya-24h'!J60,'02.11 Masaka-Maya-24h'!J60)</f>
        <v>4</v>
      </c>
      <c r="K60" s="49">
        <f>AVERAGE('31.10 Masaka-Maya-24h'!K60,'02.11 Masaka-Maya-24h'!K60)</f>
        <v>4.5</v>
      </c>
      <c r="L60" s="49">
        <f>AVERAGE('31.10 Masaka-Maya-24h'!L60,'02.11 Masaka-Maya-24h'!L60)</f>
        <v>3</v>
      </c>
      <c r="M60" s="49">
        <f>AVERAGE('31.10 Masaka-Maya-24h'!M60,'02.11 Masaka-Maya-24h'!M60)</f>
        <v>20.5</v>
      </c>
      <c r="N60" s="49">
        <f>AVERAGE('31.10 Masaka-Maya-24h'!N60,'02.11 Masaka-Maya-24h'!N60)</f>
        <v>0</v>
      </c>
      <c r="O60" s="15">
        <f t="shared" si="0"/>
        <v>137</v>
      </c>
      <c r="P60" s="15">
        <f t="shared" si="1"/>
        <v>157.5</v>
      </c>
      <c r="R60" s="8"/>
      <c r="T60"/>
    </row>
    <row r="61" spans="2:20" ht="23.1" customHeight="1" x14ac:dyDescent="0.25">
      <c r="B61" s="23" t="s">
        <v>102</v>
      </c>
      <c r="C61" s="49">
        <f>AVERAGE('31.10 Masaka-Maya-24h'!C61,'02.11 Masaka-Maya-24h'!C61)</f>
        <v>24</v>
      </c>
      <c r="D61" s="49">
        <f>AVERAGE('31.10 Masaka-Maya-24h'!D61,'02.11 Masaka-Maya-24h'!D61)</f>
        <v>14</v>
      </c>
      <c r="E61" s="49">
        <f>AVERAGE('31.10 Masaka-Maya-24h'!E61,'02.11 Masaka-Maya-24h'!E61)</f>
        <v>10</v>
      </c>
      <c r="F61" s="49">
        <f>AVERAGE('31.10 Masaka-Maya-24h'!F61,'02.11 Masaka-Maya-24h'!F61)</f>
        <v>47.5</v>
      </c>
      <c r="G61" s="49">
        <f>AVERAGE('31.10 Masaka-Maya-24h'!G61,'02.11 Masaka-Maya-24h'!G61)</f>
        <v>8.5</v>
      </c>
      <c r="H61" s="49">
        <f>AVERAGE('31.10 Masaka-Maya-24h'!H61,'02.11 Masaka-Maya-24h'!H61)</f>
        <v>5</v>
      </c>
      <c r="I61" s="49">
        <f>AVERAGE('31.10 Masaka-Maya-24h'!I61,'02.11 Masaka-Maya-24h'!I61)</f>
        <v>29</v>
      </c>
      <c r="J61" s="49">
        <f>AVERAGE('31.10 Masaka-Maya-24h'!J61,'02.11 Masaka-Maya-24h'!J61)</f>
        <v>4</v>
      </c>
      <c r="K61" s="49">
        <f>AVERAGE('31.10 Masaka-Maya-24h'!K61,'02.11 Masaka-Maya-24h'!K61)</f>
        <v>5.5</v>
      </c>
      <c r="L61" s="49">
        <f>AVERAGE('31.10 Masaka-Maya-24h'!L61,'02.11 Masaka-Maya-24h'!L61)</f>
        <v>10</v>
      </c>
      <c r="M61" s="49">
        <f>AVERAGE('31.10 Masaka-Maya-24h'!M61,'02.11 Masaka-Maya-24h'!M61)</f>
        <v>29</v>
      </c>
      <c r="N61" s="49">
        <f>AVERAGE('31.10 Masaka-Maya-24h'!N61,'02.11 Masaka-Maya-24h'!N61)</f>
        <v>0</v>
      </c>
      <c r="O61" s="15">
        <f t="shared" si="0"/>
        <v>157.5</v>
      </c>
      <c r="P61" s="15">
        <f t="shared" si="1"/>
        <v>186.5</v>
      </c>
      <c r="R61" s="8"/>
      <c r="T61"/>
    </row>
    <row r="62" spans="2:20" ht="23.1" customHeight="1" x14ac:dyDescent="0.25">
      <c r="B62" s="23" t="s">
        <v>107</v>
      </c>
      <c r="C62" s="49">
        <f>AVERAGE('31.10 Masaka-Maya-24h'!C62,'02.11 Masaka-Maya-24h'!C62)</f>
        <v>25</v>
      </c>
      <c r="D62" s="49">
        <f>AVERAGE('31.10 Masaka-Maya-24h'!D62,'02.11 Masaka-Maya-24h'!D62)</f>
        <v>8.5</v>
      </c>
      <c r="E62" s="49">
        <f>AVERAGE('31.10 Masaka-Maya-24h'!E62,'02.11 Masaka-Maya-24h'!E62)</f>
        <v>3.5</v>
      </c>
      <c r="F62" s="49">
        <f>AVERAGE('31.10 Masaka-Maya-24h'!F62,'02.11 Masaka-Maya-24h'!F62)</f>
        <v>27</v>
      </c>
      <c r="G62" s="49">
        <f>AVERAGE('31.10 Masaka-Maya-24h'!G62,'02.11 Masaka-Maya-24h'!G62)</f>
        <v>2.5</v>
      </c>
      <c r="H62" s="49">
        <f>AVERAGE('31.10 Masaka-Maya-24h'!H62,'02.11 Masaka-Maya-24h'!H62)</f>
        <v>3</v>
      </c>
      <c r="I62" s="49">
        <f>AVERAGE('31.10 Masaka-Maya-24h'!I62,'02.11 Masaka-Maya-24h'!I62)</f>
        <v>16</v>
      </c>
      <c r="J62" s="49">
        <f>AVERAGE('31.10 Masaka-Maya-24h'!J62,'02.11 Masaka-Maya-24h'!J62)</f>
        <v>3</v>
      </c>
      <c r="K62" s="49">
        <f>AVERAGE('31.10 Masaka-Maya-24h'!K62,'02.11 Masaka-Maya-24h'!K62)</f>
        <v>4.5</v>
      </c>
      <c r="L62" s="49">
        <f>AVERAGE('31.10 Masaka-Maya-24h'!L62,'02.11 Masaka-Maya-24h'!L62)</f>
        <v>2.5</v>
      </c>
      <c r="M62" s="49">
        <f>AVERAGE('31.10 Masaka-Maya-24h'!M62,'02.11 Masaka-Maya-24h'!M62)</f>
        <v>19</v>
      </c>
      <c r="N62" s="49">
        <f>AVERAGE('31.10 Masaka-Maya-24h'!N62,'02.11 Masaka-Maya-24h'!N62)</f>
        <v>0</v>
      </c>
      <c r="O62" s="15">
        <f t="shared" si="0"/>
        <v>95.5</v>
      </c>
      <c r="P62" s="15">
        <f t="shared" si="1"/>
        <v>114.5</v>
      </c>
      <c r="R62" s="8"/>
      <c r="T62"/>
    </row>
    <row r="63" spans="2:20" ht="23.1" customHeight="1" x14ac:dyDescent="0.25">
      <c r="B63" s="23" t="s">
        <v>108</v>
      </c>
      <c r="C63" s="49">
        <f>AVERAGE('31.10 Masaka-Maya-24h'!C63,'02.11 Masaka-Maya-24h'!C63)</f>
        <v>27.5</v>
      </c>
      <c r="D63" s="49">
        <f>AVERAGE('31.10 Masaka-Maya-24h'!D63,'02.11 Masaka-Maya-24h'!D63)</f>
        <v>13.5</v>
      </c>
      <c r="E63" s="49">
        <f>AVERAGE('31.10 Masaka-Maya-24h'!E63,'02.11 Masaka-Maya-24h'!E63)</f>
        <v>6</v>
      </c>
      <c r="F63" s="49">
        <f>AVERAGE('31.10 Masaka-Maya-24h'!F63,'02.11 Masaka-Maya-24h'!F63)</f>
        <v>22.5</v>
      </c>
      <c r="G63" s="49">
        <f>AVERAGE('31.10 Masaka-Maya-24h'!G63,'02.11 Masaka-Maya-24h'!G63)</f>
        <v>3</v>
      </c>
      <c r="H63" s="49">
        <f>AVERAGE('31.10 Masaka-Maya-24h'!H63,'02.11 Masaka-Maya-24h'!H63)</f>
        <v>4</v>
      </c>
      <c r="I63" s="49">
        <f>AVERAGE('31.10 Masaka-Maya-24h'!I63,'02.11 Masaka-Maya-24h'!I63)</f>
        <v>20.5</v>
      </c>
      <c r="J63" s="49">
        <f>AVERAGE('31.10 Masaka-Maya-24h'!J63,'02.11 Masaka-Maya-24h'!J63)</f>
        <v>3</v>
      </c>
      <c r="K63" s="49">
        <f>AVERAGE('31.10 Masaka-Maya-24h'!K63,'02.11 Masaka-Maya-24h'!K63)</f>
        <v>3.5</v>
      </c>
      <c r="L63" s="49">
        <f>AVERAGE('31.10 Masaka-Maya-24h'!L63,'02.11 Masaka-Maya-24h'!L63)</f>
        <v>2</v>
      </c>
      <c r="M63" s="49">
        <f>AVERAGE('31.10 Masaka-Maya-24h'!M63,'02.11 Masaka-Maya-24h'!M63)</f>
        <v>18.5</v>
      </c>
      <c r="N63" s="49">
        <f>AVERAGE('31.10 Masaka-Maya-24h'!N63,'02.11 Masaka-Maya-24h'!N63)</f>
        <v>0</v>
      </c>
      <c r="O63" s="15">
        <f t="shared" si="0"/>
        <v>105.5</v>
      </c>
      <c r="P63" s="15">
        <f t="shared" si="1"/>
        <v>124</v>
      </c>
      <c r="R63" s="8"/>
      <c r="T63"/>
    </row>
    <row r="64" spans="2:20" ht="23.1" customHeight="1" x14ac:dyDescent="0.25">
      <c r="B64" s="23" t="s">
        <v>109</v>
      </c>
      <c r="C64" s="49">
        <f>AVERAGE('31.10 Masaka-Maya-24h'!C64,'02.11 Masaka-Maya-24h'!C64)</f>
        <v>32</v>
      </c>
      <c r="D64" s="49">
        <f>AVERAGE('31.10 Masaka-Maya-24h'!D64,'02.11 Masaka-Maya-24h'!D64)</f>
        <v>6.5</v>
      </c>
      <c r="E64" s="49">
        <f>AVERAGE('31.10 Masaka-Maya-24h'!E64,'02.11 Masaka-Maya-24h'!E64)</f>
        <v>11</v>
      </c>
      <c r="F64" s="49">
        <f>AVERAGE('31.10 Masaka-Maya-24h'!F64,'02.11 Masaka-Maya-24h'!F64)</f>
        <v>28</v>
      </c>
      <c r="G64" s="49">
        <f>AVERAGE('31.10 Masaka-Maya-24h'!G64,'02.11 Masaka-Maya-24h'!G64)</f>
        <v>2.5</v>
      </c>
      <c r="H64" s="49">
        <f>AVERAGE('31.10 Masaka-Maya-24h'!H64,'02.11 Masaka-Maya-24h'!H64)</f>
        <v>1.5</v>
      </c>
      <c r="I64" s="49">
        <f>AVERAGE('31.10 Masaka-Maya-24h'!I64,'02.11 Masaka-Maya-24h'!I64)</f>
        <v>14.5</v>
      </c>
      <c r="J64" s="49">
        <f>AVERAGE('31.10 Masaka-Maya-24h'!J64,'02.11 Masaka-Maya-24h'!J64)</f>
        <v>1</v>
      </c>
      <c r="K64" s="49">
        <f>AVERAGE('31.10 Masaka-Maya-24h'!K64,'02.11 Masaka-Maya-24h'!K64)</f>
        <v>2.5</v>
      </c>
      <c r="L64" s="49">
        <f>AVERAGE('31.10 Masaka-Maya-24h'!L64,'02.11 Masaka-Maya-24h'!L64)</f>
        <v>2</v>
      </c>
      <c r="M64" s="49">
        <f>AVERAGE('31.10 Masaka-Maya-24h'!M64,'02.11 Masaka-Maya-24h'!M64)</f>
        <v>21</v>
      </c>
      <c r="N64" s="49">
        <f>AVERAGE('31.10 Masaka-Maya-24h'!N64,'02.11 Masaka-Maya-24h'!N64)</f>
        <v>0</v>
      </c>
      <c r="O64" s="15">
        <f t="shared" si="0"/>
        <v>101.5</v>
      </c>
      <c r="P64" s="15">
        <f t="shared" si="1"/>
        <v>122.5</v>
      </c>
      <c r="R64" s="8"/>
      <c r="T64"/>
    </row>
    <row r="65" spans="2:20" ht="23.1" customHeight="1" x14ac:dyDescent="0.25">
      <c r="B65" s="23" t="s">
        <v>158</v>
      </c>
      <c r="C65" s="49">
        <f>AVERAGE('31.10 Masaka-Maya-24h'!C65,'02.11 Masaka-Maya-24h'!C65)</f>
        <v>33.5</v>
      </c>
      <c r="D65" s="49">
        <f>AVERAGE('31.10 Masaka-Maya-24h'!D65,'02.11 Masaka-Maya-24h'!D65)</f>
        <v>10.5</v>
      </c>
      <c r="E65" s="49">
        <f>AVERAGE('31.10 Masaka-Maya-24h'!E65,'02.11 Masaka-Maya-24h'!E65)</f>
        <v>6</v>
      </c>
      <c r="F65" s="49">
        <f>AVERAGE('31.10 Masaka-Maya-24h'!F65,'02.11 Masaka-Maya-24h'!F65)</f>
        <v>19</v>
      </c>
      <c r="G65" s="49">
        <f>AVERAGE('31.10 Masaka-Maya-24h'!G65,'02.11 Masaka-Maya-24h'!G65)</f>
        <v>3.5</v>
      </c>
      <c r="H65" s="49">
        <f>AVERAGE('31.10 Masaka-Maya-24h'!H65,'02.11 Masaka-Maya-24h'!H65)</f>
        <v>2</v>
      </c>
      <c r="I65" s="49">
        <f>AVERAGE('31.10 Masaka-Maya-24h'!I65,'02.11 Masaka-Maya-24h'!I65)</f>
        <v>20</v>
      </c>
      <c r="J65" s="49">
        <f>AVERAGE('31.10 Masaka-Maya-24h'!J65,'02.11 Masaka-Maya-24h'!J65)</f>
        <v>2.5</v>
      </c>
      <c r="K65" s="49">
        <f>AVERAGE('31.10 Masaka-Maya-24h'!K65,'02.11 Masaka-Maya-24h'!K65)</f>
        <v>2.5</v>
      </c>
      <c r="L65" s="49">
        <f>AVERAGE('31.10 Masaka-Maya-24h'!L65,'02.11 Masaka-Maya-24h'!L65)</f>
        <v>3</v>
      </c>
      <c r="M65" s="49">
        <f>AVERAGE('31.10 Masaka-Maya-24h'!M65,'02.11 Masaka-Maya-24h'!M65)</f>
        <v>19.5</v>
      </c>
      <c r="N65" s="49">
        <f>AVERAGE('31.10 Masaka-Maya-24h'!N65,'02.11 Masaka-Maya-24h'!N65)</f>
        <v>0</v>
      </c>
      <c r="O65" s="15">
        <f t="shared" si="0"/>
        <v>102.5</v>
      </c>
      <c r="P65" s="15">
        <f t="shared" si="1"/>
        <v>122</v>
      </c>
      <c r="R65" s="8"/>
      <c r="T65"/>
    </row>
    <row r="66" spans="2:20" ht="23.1" customHeight="1" x14ac:dyDescent="0.25">
      <c r="B66" s="23" t="s">
        <v>103</v>
      </c>
      <c r="C66" s="49">
        <f>AVERAGE('31.10 Masaka-Maya-24h'!C66,'02.11 Masaka-Maya-24h'!C66)</f>
        <v>38.5</v>
      </c>
      <c r="D66" s="49">
        <f>AVERAGE('31.10 Masaka-Maya-24h'!D66,'02.11 Masaka-Maya-24h'!D66)</f>
        <v>6</v>
      </c>
      <c r="E66" s="49">
        <f>AVERAGE('31.10 Masaka-Maya-24h'!E66,'02.11 Masaka-Maya-24h'!E66)</f>
        <v>4</v>
      </c>
      <c r="F66" s="49">
        <f>AVERAGE('31.10 Masaka-Maya-24h'!F66,'02.11 Masaka-Maya-24h'!F66)</f>
        <v>18</v>
      </c>
      <c r="G66" s="49">
        <f>AVERAGE('31.10 Masaka-Maya-24h'!G66,'02.11 Masaka-Maya-24h'!G66)</f>
        <v>2</v>
      </c>
      <c r="H66" s="49">
        <f>AVERAGE('31.10 Masaka-Maya-24h'!H66,'02.11 Masaka-Maya-24h'!H66)</f>
        <v>1</v>
      </c>
      <c r="I66" s="49">
        <f>AVERAGE('31.10 Masaka-Maya-24h'!I66,'02.11 Masaka-Maya-24h'!I66)</f>
        <v>16.5</v>
      </c>
      <c r="J66" s="49">
        <f>AVERAGE('31.10 Masaka-Maya-24h'!J66,'02.11 Masaka-Maya-24h'!J66)</f>
        <v>4.5</v>
      </c>
      <c r="K66" s="49">
        <f>AVERAGE('31.10 Masaka-Maya-24h'!K66,'02.11 Masaka-Maya-24h'!K66)</f>
        <v>1.5</v>
      </c>
      <c r="L66" s="49">
        <f>AVERAGE('31.10 Masaka-Maya-24h'!L66,'02.11 Masaka-Maya-24h'!L66)</f>
        <v>3</v>
      </c>
      <c r="M66" s="49">
        <f>AVERAGE('31.10 Masaka-Maya-24h'!M66,'02.11 Masaka-Maya-24h'!M66)</f>
        <v>15.5</v>
      </c>
      <c r="N66" s="49">
        <f>AVERAGE('31.10 Masaka-Maya-24h'!N66,'02.11 Masaka-Maya-24h'!N66)</f>
        <v>0</v>
      </c>
      <c r="O66" s="15">
        <f t="shared" si="0"/>
        <v>95</v>
      </c>
      <c r="P66" s="15">
        <f t="shared" si="1"/>
        <v>110.5</v>
      </c>
      <c r="R66" s="8"/>
      <c r="T66"/>
    </row>
    <row r="67" spans="2:20" ht="23.1" customHeight="1" x14ac:dyDescent="0.25">
      <c r="B67" s="23" t="s">
        <v>104</v>
      </c>
      <c r="C67" s="49">
        <f>AVERAGE('31.10 Masaka-Maya-24h'!C67,'02.11 Masaka-Maya-24h'!C67)</f>
        <v>34.5</v>
      </c>
      <c r="D67" s="49">
        <f>AVERAGE('31.10 Masaka-Maya-24h'!D67,'02.11 Masaka-Maya-24h'!D67)</f>
        <v>5</v>
      </c>
      <c r="E67" s="49">
        <f>AVERAGE('31.10 Masaka-Maya-24h'!E67,'02.11 Masaka-Maya-24h'!E67)</f>
        <v>4</v>
      </c>
      <c r="F67" s="49">
        <f>AVERAGE('31.10 Masaka-Maya-24h'!F67,'02.11 Masaka-Maya-24h'!F67)</f>
        <v>27</v>
      </c>
      <c r="G67" s="49">
        <f>AVERAGE('31.10 Masaka-Maya-24h'!G67,'02.11 Masaka-Maya-24h'!G67)</f>
        <v>4</v>
      </c>
      <c r="H67" s="49">
        <f>AVERAGE('31.10 Masaka-Maya-24h'!H67,'02.11 Masaka-Maya-24h'!H67)</f>
        <v>2</v>
      </c>
      <c r="I67" s="49">
        <f>AVERAGE('31.10 Masaka-Maya-24h'!I67,'02.11 Masaka-Maya-24h'!I67)</f>
        <v>13</v>
      </c>
      <c r="J67" s="49">
        <f>AVERAGE('31.10 Masaka-Maya-24h'!J67,'02.11 Masaka-Maya-24h'!J67)</f>
        <v>3</v>
      </c>
      <c r="K67" s="49">
        <f>AVERAGE('31.10 Masaka-Maya-24h'!K67,'02.11 Masaka-Maya-24h'!K67)</f>
        <v>1</v>
      </c>
      <c r="L67" s="49">
        <f>AVERAGE('31.10 Masaka-Maya-24h'!L67,'02.11 Masaka-Maya-24h'!L67)</f>
        <v>3</v>
      </c>
      <c r="M67" s="49">
        <f>AVERAGE('31.10 Masaka-Maya-24h'!M67,'02.11 Masaka-Maya-24h'!M67)</f>
        <v>12</v>
      </c>
      <c r="N67" s="49">
        <f>AVERAGE('31.10 Masaka-Maya-24h'!N67,'02.11 Masaka-Maya-24h'!N67)</f>
        <v>0</v>
      </c>
      <c r="O67" s="15">
        <f t="shared" si="0"/>
        <v>96.5</v>
      </c>
      <c r="P67" s="15">
        <f t="shared" si="1"/>
        <v>108.5</v>
      </c>
      <c r="R67" s="8"/>
      <c r="T67"/>
    </row>
    <row r="68" spans="2:20" ht="23.1" customHeight="1" x14ac:dyDescent="0.25">
      <c r="B68" s="23" t="s">
        <v>105</v>
      </c>
      <c r="C68" s="49">
        <f>AVERAGE('31.10 Masaka-Maya-24h'!C68,'02.11 Masaka-Maya-24h'!C68)</f>
        <v>35</v>
      </c>
      <c r="D68" s="49">
        <f>AVERAGE('31.10 Masaka-Maya-24h'!D68,'02.11 Masaka-Maya-24h'!D68)</f>
        <v>11.5</v>
      </c>
      <c r="E68" s="49">
        <f>AVERAGE('31.10 Masaka-Maya-24h'!E68,'02.11 Masaka-Maya-24h'!E68)</f>
        <v>9</v>
      </c>
      <c r="F68" s="49">
        <f>AVERAGE('31.10 Masaka-Maya-24h'!F68,'02.11 Masaka-Maya-24h'!F68)</f>
        <v>21.5</v>
      </c>
      <c r="G68" s="49">
        <f>AVERAGE('31.10 Masaka-Maya-24h'!G68,'02.11 Masaka-Maya-24h'!G68)</f>
        <v>2.5</v>
      </c>
      <c r="H68" s="49">
        <f>AVERAGE('31.10 Masaka-Maya-24h'!H68,'02.11 Masaka-Maya-24h'!H68)</f>
        <v>2</v>
      </c>
      <c r="I68" s="49">
        <f>AVERAGE('31.10 Masaka-Maya-24h'!I68,'02.11 Masaka-Maya-24h'!I68)</f>
        <v>14</v>
      </c>
      <c r="J68" s="49">
        <f>AVERAGE('31.10 Masaka-Maya-24h'!J68,'02.11 Masaka-Maya-24h'!J68)</f>
        <v>2</v>
      </c>
      <c r="K68" s="49">
        <f>AVERAGE('31.10 Masaka-Maya-24h'!K68,'02.11 Masaka-Maya-24h'!K68)</f>
        <v>5</v>
      </c>
      <c r="L68" s="49">
        <f>AVERAGE('31.10 Masaka-Maya-24h'!L68,'02.11 Masaka-Maya-24h'!L68)</f>
        <v>4</v>
      </c>
      <c r="M68" s="49">
        <f>AVERAGE('31.10 Masaka-Maya-24h'!M68,'02.11 Masaka-Maya-24h'!M68)</f>
        <v>9</v>
      </c>
      <c r="N68" s="49">
        <f>AVERAGE('31.10 Masaka-Maya-24h'!N68,'02.11 Masaka-Maya-24h'!N68)</f>
        <v>0</v>
      </c>
      <c r="O68" s="15">
        <f t="shared" si="0"/>
        <v>106.5</v>
      </c>
      <c r="P68" s="15">
        <f t="shared" si="1"/>
        <v>115.5</v>
      </c>
      <c r="R68" s="8"/>
      <c r="T68"/>
    </row>
    <row r="69" spans="2:20" ht="23.1" customHeight="1" x14ac:dyDescent="0.25">
      <c r="B69" s="23" t="s">
        <v>106</v>
      </c>
      <c r="C69" s="49">
        <f>AVERAGE('31.10 Masaka-Maya-24h'!C69,'02.11 Masaka-Maya-24h'!C69)</f>
        <v>28</v>
      </c>
      <c r="D69" s="49">
        <f>AVERAGE('31.10 Masaka-Maya-24h'!D69,'02.11 Masaka-Maya-24h'!D69)</f>
        <v>8</v>
      </c>
      <c r="E69" s="49">
        <f>AVERAGE('31.10 Masaka-Maya-24h'!E69,'02.11 Masaka-Maya-24h'!E69)</f>
        <v>6.5</v>
      </c>
      <c r="F69" s="49">
        <f>AVERAGE('31.10 Masaka-Maya-24h'!F69,'02.11 Masaka-Maya-24h'!F69)</f>
        <v>25</v>
      </c>
      <c r="G69" s="49">
        <f>AVERAGE('31.10 Masaka-Maya-24h'!G69,'02.11 Masaka-Maya-24h'!G69)</f>
        <v>3</v>
      </c>
      <c r="H69" s="49">
        <f>AVERAGE('31.10 Masaka-Maya-24h'!H69,'02.11 Masaka-Maya-24h'!H69)</f>
        <v>2</v>
      </c>
      <c r="I69" s="49">
        <f>AVERAGE('31.10 Masaka-Maya-24h'!I69,'02.11 Masaka-Maya-24h'!I69)</f>
        <v>30</v>
      </c>
      <c r="J69" s="49">
        <f>AVERAGE('31.10 Masaka-Maya-24h'!J69,'02.11 Masaka-Maya-24h'!J69)</f>
        <v>9</v>
      </c>
      <c r="K69" s="49">
        <f>AVERAGE('31.10 Masaka-Maya-24h'!K69,'02.11 Masaka-Maya-24h'!K69)</f>
        <v>4</v>
      </c>
      <c r="L69" s="49">
        <f>AVERAGE('31.10 Masaka-Maya-24h'!L69,'02.11 Masaka-Maya-24h'!L69)</f>
        <v>2.5</v>
      </c>
      <c r="M69" s="49">
        <f>AVERAGE('31.10 Masaka-Maya-24h'!M69,'02.11 Masaka-Maya-24h'!M69)</f>
        <v>10.5</v>
      </c>
      <c r="N69" s="49">
        <f>AVERAGE('31.10 Masaka-Maya-24h'!N69,'02.11 Masaka-Maya-24h'!N69)</f>
        <v>0</v>
      </c>
      <c r="O69" s="15">
        <f t="shared" si="0"/>
        <v>118</v>
      </c>
      <c r="P69" s="15">
        <f t="shared" si="1"/>
        <v>128.5</v>
      </c>
      <c r="R69" s="8"/>
      <c r="T69"/>
    </row>
    <row r="70" spans="2:20" ht="23.1" customHeight="1" x14ac:dyDescent="0.25">
      <c r="B70" s="23" t="s">
        <v>110</v>
      </c>
      <c r="C70" s="49">
        <f>AVERAGE('31.10 Masaka-Maya-24h'!C70,'02.11 Masaka-Maya-24h'!C70)</f>
        <v>20</v>
      </c>
      <c r="D70" s="49">
        <f>AVERAGE('31.10 Masaka-Maya-24h'!D70,'02.11 Masaka-Maya-24h'!D70)</f>
        <v>5</v>
      </c>
      <c r="E70" s="49">
        <f>AVERAGE('31.10 Masaka-Maya-24h'!E70,'02.11 Masaka-Maya-24h'!E70)</f>
        <v>3</v>
      </c>
      <c r="F70" s="49">
        <f>AVERAGE('31.10 Masaka-Maya-24h'!F70,'02.11 Masaka-Maya-24h'!F70)</f>
        <v>16.5</v>
      </c>
      <c r="G70" s="49">
        <f>AVERAGE('31.10 Masaka-Maya-24h'!G70,'02.11 Masaka-Maya-24h'!G70)</f>
        <v>2</v>
      </c>
      <c r="H70" s="49">
        <f>AVERAGE('31.10 Masaka-Maya-24h'!H70,'02.11 Masaka-Maya-24h'!H70)</f>
        <v>1.5</v>
      </c>
      <c r="I70" s="49">
        <f>AVERAGE('31.10 Masaka-Maya-24h'!I70,'02.11 Masaka-Maya-24h'!I70)</f>
        <v>14.5</v>
      </c>
      <c r="J70" s="49">
        <f>AVERAGE('31.10 Masaka-Maya-24h'!J70,'02.11 Masaka-Maya-24h'!J70)</f>
        <v>4</v>
      </c>
      <c r="K70" s="49">
        <f>AVERAGE('31.10 Masaka-Maya-24h'!K70,'02.11 Masaka-Maya-24h'!K70)</f>
        <v>5</v>
      </c>
      <c r="L70" s="49">
        <f>AVERAGE('31.10 Masaka-Maya-24h'!L70,'02.11 Masaka-Maya-24h'!L70)</f>
        <v>7</v>
      </c>
      <c r="M70" s="49">
        <f>AVERAGE('31.10 Masaka-Maya-24h'!M70,'02.11 Masaka-Maya-24h'!M70)</f>
        <v>10</v>
      </c>
      <c r="N70" s="49">
        <f>AVERAGE('31.10 Masaka-Maya-24h'!N70,'02.11 Masaka-Maya-24h'!N70)</f>
        <v>0</v>
      </c>
      <c r="O70" s="15">
        <f t="shared" si="0"/>
        <v>78.5</v>
      </c>
      <c r="P70" s="15">
        <f t="shared" si="1"/>
        <v>88.5</v>
      </c>
      <c r="R70" s="8"/>
      <c r="T70"/>
    </row>
    <row r="71" spans="2:20" ht="23.1" customHeight="1" x14ac:dyDescent="0.25">
      <c r="B71" s="23" t="s">
        <v>111</v>
      </c>
      <c r="C71" s="49">
        <f>AVERAGE('31.10 Masaka-Maya-24h'!C71,'02.11 Masaka-Maya-24h'!C71)</f>
        <v>18.5</v>
      </c>
      <c r="D71" s="49">
        <f>AVERAGE('31.10 Masaka-Maya-24h'!D71,'02.11 Masaka-Maya-24h'!D71)</f>
        <v>3</v>
      </c>
      <c r="E71" s="49">
        <f>AVERAGE('31.10 Masaka-Maya-24h'!E71,'02.11 Masaka-Maya-24h'!E71)</f>
        <v>5</v>
      </c>
      <c r="F71" s="49">
        <f>AVERAGE('31.10 Masaka-Maya-24h'!F71,'02.11 Masaka-Maya-24h'!F71)</f>
        <v>17.5</v>
      </c>
      <c r="G71" s="49">
        <f>AVERAGE('31.10 Masaka-Maya-24h'!G71,'02.11 Masaka-Maya-24h'!G71)</f>
        <v>2.5</v>
      </c>
      <c r="H71" s="49">
        <f>AVERAGE('31.10 Masaka-Maya-24h'!H71,'02.11 Masaka-Maya-24h'!H71)</f>
        <v>0.5</v>
      </c>
      <c r="I71" s="49">
        <f>AVERAGE('31.10 Masaka-Maya-24h'!I71,'02.11 Masaka-Maya-24h'!I71)</f>
        <v>17</v>
      </c>
      <c r="J71" s="49">
        <f>AVERAGE('31.10 Masaka-Maya-24h'!J71,'02.11 Masaka-Maya-24h'!J71)</f>
        <v>9.5</v>
      </c>
      <c r="K71" s="49">
        <f>AVERAGE('31.10 Masaka-Maya-24h'!K71,'02.11 Masaka-Maya-24h'!K71)</f>
        <v>6.5</v>
      </c>
      <c r="L71" s="49">
        <f>AVERAGE('31.10 Masaka-Maya-24h'!L71,'02.11 Masaka-Maya-24h'!L71)</f>
        <v>3.5</v>
      </c>
      <c r="M71" s="49">
        <f>AVERAGE('31.10 Masaka-Maya-24h'!M71,'02.11 Masaka-Maya-24h'!M71)</f>
        <v>8.5</v>
      </c>
      <c r="N71" s="49">
        <f>AVERAGE('31.10 Masaka-Maya-24h'!N71,'02.11 Masaka-Maya-24h'!N71)</f>
        <v>0</v>
      </c>
      <c r="O71" s="15">
        <f t="shared" si="0"/>
        <v>83.5</v>
      </c>
      <c r="P71" s="15">
        <f t="shared" si="1"/>
        <v>92</v>
      </c>
      <c r="R71" s="8"/>
      <c r="T71"/>
    </row>
    <row r="72" spans="2:20" ht="23.1" customHeight="1" x14ac:dyDescent="0.25">
      <c r="B72" s="23" t="s">
        <v>112</v>
      </c>
      <c r="C72" s="49">
        <f>AVERAGE('31.10 Masaka-Maya-24h'!C72,'02.11 Masaka-Maya-24h'!C72)</f>
        <v>17.5</v>
      </c>
      <c r="D72" s="49">
        <f>AVERAGE('31.10 Masaka-Maya-24h'!D72,'02.11 Masaka-Maya-24h'!D72)</f>
        <v>8</v>
      </c>
      <c r="E72" s="49">
        <f>AVERAGE('31.10 Masaka-Maya-24h'!E72,'02.11 Masaka-Maya-24h'!E72)</f>
        <v>5</v>
      </c>
      <c r="F72" s="49">
        <f>AVERAGE('31.10 Masaka-Maya-24h'!F72,'02.11 Masaka-Maya-24h'!F72)</f>
        <v>16.5</v>
      </c>
      <c r="G72" s="49">
        <f>AVERAGE('31.10 Masaka-Maya-24h'!G72,'02.11 Masaka-Maya-24h'!G72)</f>
        <v>4.5</v>
      </c>
      <c r="H72" s="49">
        <f>AVERAGE('31.10 Masaka-Maya-24h'!H72,'02.11 Masaka-Maya-24h'!H72)</f>
        <v>1.5</v>
      </c>
      <c r="I72" s="49">
        <f>AVERAGE('31.10 Masaka-Maya-24h'!I72,'02.11 Masaka-Maya-24h'!I72)</f>
        <v>13</v>
      </c>
      <c r="J72" s="49">
        <f>AVERAGE('31.10 Masaka-Maya-24h'!J72,'02.11 Masaka-Maya-24h'!J72)</f>
        <v>2</v>
      </c>
      <c r="K72" s="49">
        <f>AVERAGE('31.10 Masaka-Maya-24h'!K72,'02.11 Masaka-Maya-24h'!K72)</f>
        <v>4</v>
      </c>
      <c r="L72" s="49">
        <f>AVERAGE('31.10 Masaka-Maya-24h'!L72,'02.11 Masaka-Maya-24h'!L72)</f>
        <v>5.5</v>
      </c>
      <c r="M72" s="49">
        <f>AVERAGE('31.10 Masaka-Maya-24h'!M72,'02.11 Masaka-Maya-24h'!M72)</f>
        <v>11.5</v>
      </c>
      <c r="N72" s="49">
        <f>AVERAGE('31.10 Masaka-Maya-24h'!N72,'02.11 Masaka-Maya-24h'!N72)</f>
        <v>0</v>
      </c>
      <c r="O72" s="15">
        <f t="shared" si="0"/>
        <v>77.5</v>
      </c>
      <c r="P72" s="15">
        <f t="shared" si="1"/>
        <v>89</v>
      </c>
      <c r="R72" s="8"/>
      <c r="T72"/>
    </row>
    <row r="73" spans="2:20" ht="23.1" customHeight="1" x14ac:dyDescent="0.25">
      <c r="B73" s="23" t="s">
        <v>113</v>
      </c>
      <c r="C73" s="49">
        <f>AVERAGE('31.10 Masaka-Maya-24h'!C73,'02.11 Masaka-Maya-24h'!C73)</f>
        <v>11.5</v>
      </c>
      <c r="D73" s="49">
        <f>AVERAGE('31.10 Masaka-Maya-24h'!D73,'02.11 Masaka-Maya-24h'!D73)</f>
        <v>5.5</v>
      </c>
      <c r="E73" s="49">
        <f>AVERAGE('31.10 Masaka-Maya-24h'!E73,'02.11 Masaka-Maya-24h'!E73)</f>
        <v>3</v>
      </c>
      <c r="F73" s="49">
        <f>AVERAGE('31.10 Masaka-Maya-24h'!F73,'02.11 Masaka-Maya-24h'!F73)</f>
        <v>9</v>
      </c>
      <c r="G73" s="49">
        <f>AVERAGE('31.10 Masaka-Maya-24h'!G73,'02.11 Masaka-Maya-24h'!G73)</f>
        <v>0</v>
      </c>
      <c r="H73" s="49">
        <f>AVERAGE('31.10 Masaka-Maya-24h'!H73,'02.11 Masaka-Maya-24h'!H73)</f>
        <v>3</v>
      </c>
      <c r="I73" s="49">
        <f>AVERAGE('31.10 Masaka-Maya-24h'!I73,'02.11 Masaka-Maya-24h'!I73)</f>
        <v>11</v>
      </c>
      <c r="J73" s="49">
        <f>AVERAGE('31.10 Masaka-Maya-24h'!J73,'02.11 Masaka-Maya-24h'!J73)</f>
        <v>3.5</v>
      </c>
      <c r="K73" s="49">
        <f>AVERAGE('31.10 Masaka-Maya-24h'!K73,'02.11 Masaka-Maya-24h'!K73)</f>
        <v>1.5</v>
      </c>
      <c r="L73" s="49">
        <f>AVERAGE('31.10 Masaka-Maya-24h'!L73,'02.11 Masaka-Maya-24h'!L73)</f>
        <v>3</v>
      </c>
      <c r="M73" s="49">
        <f>AVERAGE('31.10 Masaka-Maya-24h'!M73,'02.11 Masaka-Maya-24h'!M73)</f>
        <v>9</v>
      </c>
      <c r="N73" s="49">
        <f>AVERAGE('31.10 Masaka-Maya-24h'!N73,'02.11 Masaka-Maya-24h'!N73)</f>
        <v>0</v>
      </c>
      <c r="O73" s="15">
        <f t="shared" si="0"/>
        <v>51</v>
      </c>
      <c r="P73" s="15">
        <f t="shared" si="1"/>
        <v>60</v>
      </c>
      <c r="R73" s="8"/>
      <c r="T73"/>
    </row>
    <row r="74" spans="2:20" ht="23.1" customHeight="1" x14ac:dyDescent="0.25">
      <c r="B74" s="23" t="s">
        <v>114</v>
      </c>
      <c r="C74" s="49">
        <f>AVERAGE('31.10 Masaka-Maya-24h'!C74,'02.11 Masaka-Maya-24h'!C74)</f>
        <v>17</v>
      </c>
      <c r="D74" s="49">
        <f>AVERAGE('31.10 Masaka-Maya-24h'!D74,'02.11 Masaka-Maya-24h'!D74)</f>
        <v>4.5</v>
      </c>
      <c r="E74" s="49">
        <f>AVERAGE('31.10 Masaka-Maya-24h'!E74,'02.11 Masaka-Maya-24h'!E74)</f>
        <v>2.5</v>
      </c>
      <c r="F74" s="49">
        <f>AVERAGE('31.10 Masaka-Maya-24h'!F74,'02.11 Masaka-Maya-24h'!F74)</f>
        <v>12</v>
      </c>
      <c r="G74" s="49">
        <f>AVERAGE('31.10 Masaka-Maya-24h'!G74,'02.11 Masaka-Maya-24h'!G74)</f>
        <v>1</v>
      </c>
      <c r="H74" s="49">
        <f>AVERAGE('31.10 Masaka-Maya-24h'!H74,'02.11 Masaka-Maya-24h'!H74)</f>
        <v>1.5</v>
      </c>
      <c r="I74" s="49">
        <f>AVERAGE('31.10 Masaka-Maya-24h'!I74,'02.11 Masaka-Maya-24h'!I74)</f>
        <v>9</v>
      </c>
      <c r="J74" s="49">
        <f>AVERAGE('31.10 Masaka-Maya-24h'!J74,'02.11 Masaka-Maya-24h'!J74)</f>
        <v>6</v>
      </c>
      <c r="K74" s="49">
        <f>AVERAGE('31.10 Masaka-Maya-24h'!K74,'02.11 Masaka-Maya-24h'!K74)</f>
        <v>4</v>
      </c>
      <c r="L74" s="49">
        <f>AVERAGE('31.10 Masaka-Maya-24h'!L74,'02.11 Masaka-Maya-24h'!L74)</f>
        <v>2.5</v>
      </c>
      <c r="M74" s="49">
        <f>AVERAGE('31.10 Masaka-Maya-24h'!M74,'02.11 Masaka-Maya-24h'!M74)</f>
        <v>7.5</v>
      </c>
      <c r="N74" s="49">
        <f>AVERAGE('31.10 Masaka-Maya-24h'!N74,'02.11 Masaka-Maya-24h'!N74)</f>
        <v>0</v>
      </c>
      <c r="O74" s="15">
        <f t="shared" ref="O74:O105" si="35">SUM(C74:L74,N74)</f>
        <v>60</v>
      </c>
      <c r="P74" s="15">
        <f t="shared" ref="P74:P105" si="36">SUM(C74:N74)</f>
        <v>67.5</v>
      </c>
      <c r="R74" s="8"/>
      <c r="T74"/>
    </row>
    <row r="75" spans="2:20" ht="23.1" customHeight="1" x14ac:dyDescent="0.25">
      <c r="B75" s="23" t="s">
        <v>115</v>
      </c>
      <c r="C75" s="49">
        <f>AVERAGE('31.10 Masaka-Maya-24h'!C75,'02.11 Masaka-Maya-24h'!C75)</f>
        <v>18</v>
      </c>
      <c r="D75" s="49">
        <f>AVERAGE('31.10 Masaka-Maya-24h'!D75,'02.11 Masaka-Maya-24h'!D75)</f>
        <v>5</v>
      </c>
      <c r="E75" s="49">
        <f>AVERAGE('31.10 Masaka-Maya-24h'!E75,'02.11 Masaka-Maya-24h'!E75)</f>
        <v>5</v>
      </c>
      <c r="F75" s="49">
        <f>AVERAGE('31.10 Masaka-Maya-24h'!F75,'02.11 Masaka-Maya-24h'!F75)</f>
        <v>10.5</v>
      </c>
      <c r="G75" s="49">
        <f>AVERAGE('31.10 Masaka-Maya-24h'!G75,'02.11 Masaka-Maya-24h'!G75)</f>
        <v>4.5</v>
      </c>
      <c r="H75" s="49">
        <f>AVERAGE('31.10 Masaka-Maya-24h'!H75,'02.11 Masaka-Maya-24h'!H75)</f>
        <v>1</v>
      </c>
      <c r="I75" s="49">
        <f>AVERAGE('31.10 Masaka-Maya-24h'!I75,'02.11 Masaka-Maya-24h'!I75)</f>
        <v>11</v>
      </c>
      <c r="J75" s="49">
        <f>AVERAGE('31.10 Masaka-Maya-24h'!J75,'02.11 Masaka-Maya-24h'!J75)</f>
        <v>5.5</v>
      </c>
      <c r="K75" s="49">
        <f>AVERAGE('31.10 Masaka-Maya-24h'!K75,'02.11 Masaka-Maya-24h'!K75)</f>
        <v>4.5</v>
      </c>
      <c r="L75" s="49">
        <f>AVERAGE('31.10 Masaka-Maya-24h'!L75,'02.11 Masaka-Maya-24h'!L75)</f>
        <v>2.5</v>
      </c>
      <c r="M75" s="49">
        <f>AVERAGE('31.10 Masaka-Maya-24h'!M75,'02.11 Masaka-Maya-24h'!M75)</f>
        <v>3.5</v>
      </c>
      <c r="N75" s="49">
        <f>AVERAGE('31.10 Masaka-Maya-24h'!N75,'02.11 Masaka-Maya-24h'!N75)</f>
        <v>0</v>
      </c>
      <c r="O75" s="15">
        <f t="shared" si="35"/>
        <v>67.5</v>
      </c>
      <c r="P75" s="15">
        <f t="shared" si="36"/>
        <v>71</v>
      </c>
      <c r="R75" s="8"/>
      <c r="T75"/>
    </row>
    <row r="76" spans="2:20" ht="23.1" customHeight="1" x14ac:dyDescent="0.25">
      <c r="B76" s="23" t="s">
        <v>116</v>
      </c>
      <c r="C76" s="49">
        <f>AVERAGE('31.10 Masaka-Maya-24h'!C76,'02.11 Masaka-Maya-24h'!C76)</f>
        <v>12</v>
      </c>
      <c r="D76" s="49">
        <f>AVERAGE('31.10 Masaka-Maya-24h'!D76,'02.11 Masaka-Maya-24h'!D76)</f>
        <v>3</v>
      </c>
      <c r="E76" s="49">
        <f>AVERAGE('31.10 Masaka-Maya-24h'!E76,'02.11 Masaka-Maya-24h'!E76)</f>
        <v>5.5</v>
      </c>
      <c r="F76" s="49">
        <f>AVERAGE('31.10 Masaka-Maya-24h'!F76,'02.11 Masaka-Maya-24h'!F76)</f>
        <v>9.5</v>
      </c>
      <c r="G76" s="49">
        <f>AVERAGE('31.10 Masaka-Maya-24h'!G76,'02.11 Masaka-Maya-24h'!G76)</f>
        <v>1</v>
      </c>
      <c r="H76" s="49">
        <f>AVERAGE('31.10 Masaka-Maya-24h'!H76,'02.11 Masaka-Maya-24h'!H76)</f>
        <v>2</v>
      </c>
      <c r="I76" s="49">
        <f>AVERAGE('31.10 Masaka-Maya-24h'!I76,'02.11 Masaka-Maya-24h'!I76)</f>
        <v>18.5</v>
      </c>
      <c r="J76" s="49">
        <f>AVERAGE('31.10 Masaka-Maya-24h'!J76,'02.11 Masaka-Maya-24h'!J76)</f>
        <v>9</v>
      </c>
      <c r="K76" s="49">
        <f>AVERAGE('31.10 Masaka-Maya-24h'!K76,'02.11 Masaka-Maya-24h'!K76)</f>
        <v>7.5</v>
      </c>
      <c r="L76" s="49">
        <f>AVERAGE('31.10 Masaka-Maya-24h'!L76,'02.11 Masaka-Maya-24h'!L76)</f>
        <v>1.5</v>
      </c>
      <c r="M76" s="49">
        <f>AVERAGE('31.10 Masaka-Maya-24h'!M76,'02.11 Masaka-Maya-24h'!M76)</f>
        <v>5.5</v>
      </c>
      <c r="N76" s="49">
        <f>AVERAGE('31.10 Masaka-Maya-24h'!N76,'02.11 Masaka-Maya-24h'!N76)</f>
        <v>0</v>
      </c>
      <c r="O76" s="15">
        <f t="shared" si="35"/>
        <v>69.5</v>
      </c>
      <c r="P76" s="15">
        <f t="shared" si="36"/>
        <v>75</v>
      </c>
      <c r="R76" s="8"/>
      <c r="T76"/>
    </row>
    <row r="77" spans="2:20" ht="23.1" customHeight="1" x14ac:dyDescent="0.25">
      <c r="B77" s="23" t="s">
        <v>117</v>
      </c>
      <c r="C77" s="49">
        <f>AVERAGE('31.10 Masaka-Maya-24h'!C77,'02.11 Masaka-Maya-24h'!C77)</f>
        <v>16.5</v>
      </c>
      <c r="D77" s="49">
        <f>AVERAGE('31.10 Masaka-Maya-24h'!D77,'02.11 Masaka-Maya-24h'!D77)</f>
        <v>5</v>
      </c>
      <c r="E77" s="49">
        <f>AVERAGE('31.10 Masaka-Maya-24h'!E77,'02.11 Masaka-Maya-24h'!E77)</f>
        <v>4.5</v>
      </c>
      <c r="F77" s="49">
        <f>AVERAGE('31.10 Masaka-Maya-24h'!F77,'02.11 Masaka-Maya-24h'!F77)</f>
        <v>10.5</v>
      </c>
      <c r="G77" s="49">
        <f>AVERAGE('31.10 Masaka-Maya-24h'!G77,'02.11 Masaka-Maya-24h'!G77)</f>
        <v>2.5</v>
      </c>
      <c r="H77" s="49">
        <f>AVERAGE('31.10 Masaka-Maya-24h'!H77,'02.11 Masaka-Maya-24h'!H77)</f>
        <v>1.5</v>
      </c>
      <c r="I77" s="49">
        <f>AVERAGE('31.10 Masaka-Maya-24h'!I77,'02.11 Masaka-Maya-24h'!I77)</f>
        <v>15.5</v>
      </c>
      <c r="J77" s="49">
        <f>AVERAGE('31.10 Masaka-Maya-24h'!J77,'02.11 Masaka-Maya-24h'!J77)</f>
        <v>5.5</v>
      </c>
      <c r="K77" s="49">
        <f>AVERAGE('31.10 Masaka-Maya-24h'!K77,'02.11 Masaka-Maya-24h'!K77)</f>
        <v>6</v>
      </c>
      <c r="L77" s="49">
        <f>AVERAGE('31.10 Masaka-Maya-24h'!L77,'02.11 Masaka-Maya-24h'!L77)</f>
        <v>1.5</v>
      </c>
      <c r="M77" s="49">
        <f>AVERAGE('31.10 Masaka-Maya-24h'!M77,'02.11 Masaka-Maya-24h'!M77)</f>
        <v>4</v>
      </c>
      <c r="N77" s="49">
        <f>AVERAGE('31.10 Masaka-Maya-24h'!N77,'02.11 Masaka-Maya-24h'!N77)</f>
        <v>0</v>
      </c>
      <c r="O77" s="15">
        <f t="shared" si="35"/>
        <v>69</v>
      </c>
      <c r="P77" s="15">
        <f t="shared" si="36"/>
        <v>73</v>
      </c>
      <c r="R77" s="8"/>
      <c r="T77"/>
    </row>
    <row r="78" spans="2:20" ht="23.1" customHeight="1" x14ac:dyDescent="0.25">
      <c r="B78" s="24" t="s">
        <v>118</v>
      </c>
      <c r="C78" s="49">
        <f>AVERAGE('31.10 Masaka-Maya-24h'!C78,'02.11 Masaka-Maya-24h'!C78)</f>
        <v>14</v>
      </c>
      <c r="D78" s="49">
        <f>AVERAGE('31.10 Masaka-Maya-24h'!D78,'02.11 Masaka-Maya-24h'!D78)</f>
        <v>3</v>
      </c>
      <c r="E78" s="49">
        <f>AVERAGE('31.10 Masaka-Maya-24h'!E78,'02.11 Masaka-Maya-24h'!E78)</f>
        <v>1</v>
      </c>
      <c r="F78" s="49">
        <f>AVERAGE('31.10 Masaka-Maya-24h'!F78,'02.11 Masaka-Maya-24h'!F78)</f>
        <v>5.5</v>
      </c>
      <c r="G78" s="49">
        <f>AVERAGE('31.10 Masaka-Maya-24h'!G78,'02.11 Masaka-Maya-24h'!G78)</f>
        <v>1</v>
      </c>
      <c r="H78" s="49">
        <f>AVERAGE('31.10 Masaka-Maya-24h'!H78,'02.11 Masaka-Maya-24h'!H78)</f>
        <v>0.5</v>
      </c>
      <c r="I78" s="49">
        <f>AVERAGE('31.10 Masaka-Maya-24h'!I78,'02.11 Masaka-Maya-24h'!I78)</f>
        <v>14.5</v>
      </c>
      <c r="J78" s="49">
        <f>AVERAGE('31.10 Masaka-Maya-24h'!J78,'02.11 Masaka-Maya-24h'!J78)</f>
        <v>7</v>
      </c>
      <c r="K78" s="49">
        <f>AVERAGE('31.10 Masaka-Maya-24h'!K78,'02.11 Masaka-Maya-24h'!K78)</f>
        <v>5</v>
      </c>
      <c r="L78" s="49">
        <f>AVERAGE('31.10 Masaka-Maya-24h'!L78,'02.11 Masaka-Maya-24h'!L78)</f>
        <v>4</v>
      </c>
      <c r="M78" s="49">
        <f>AVERAGE('31.10 Masaka-Maya-24h'!M78,'02.11 Masaka-Maya-24h'!M78)</f>
        <v>4.5</v>
      </c>
      <c r="N78" s="49">
        <f>AVERAGE('31.10 Masaka-Maya-24h'!N78,'02.11 Masaka-Maya-24h'!N78)</f>
        <v>0</v>
      </c>
      <c r="O78" s="15">
        <f t="shared" si="35"/>
        <v>55.5</v>
      </c>
      <c r="P78" s="15">
        <f t="shared" si="36"/>
        <v>60</v>
      </c>
      <c r="R78" s="8"/>
      <c r="T78"/>
    </row>
    <row r="79" spans="2:20" ht="23.1" customHeight="1" x14ac:dyDescent="0.25">
      <c r="B79" s="23" t="s">
        <v>119</v>
      </c>
      <c r="C79" s="49">
        <f>AVERAGE('31.10 Masaka-Maya-24h'!C79,'02.11 Masaka-Maya-24h'!C79)</f>
        <v>6.5</v>
      </c>
      <c r="D79" s="49">
        <f>AVERAGE('31.10 Masaka-Maya-24h'!D79,'02.11 Masaka-Maya-24h'!D79)</f>
        <v>3</v>
      </c>
      <c r="E79" s="49">
        <f>AVERAGE('31.10 Masaka-Maya-24h'!E79,'02.11 Masaka-Maya-24h'!E79)</f>
        <v>2</v>
      </c>
      <c r="F79" s="49">
        <f>AVERAGE('31.10 Masaka-Maya-24h'!F79,'02.11 Masaka-Maya-24h'!F79)</f>
        <v>5.5</v>
      </c>
      <c r="G79" s="49">
        <f>AVERAGE('31.10 Masaka-Maya-24h'!G79,'02.11 Masaka-Maya-24h'!G79)</f>
        <v>0.5</v>
      </c>
      <c r="H79" s="49">
        <f>AVERAGE('31.10 Masaka-Maya-24h'!H79,'02.11 Masaka-Maya-24h'!H79)</f>
        <v>1.5</v>
      </c>
      <c r="I79" s="49">
        <f>AVERAGE('31.10 Masaka-Maya-24h'!I79,'02.11 Masaka-Maya-24h'!I79)</f>
        <v>11</v>
      </c>
      <c r="J79" s="49">
        <f>AVERAGE('31.10 Masaka-Maya-24h'!J79,'02.11 Masaka-Maya-24h'!J79)</f>
        <v>5</v>
      </c>
      <c r="K79" s="49">
        <f>AVERAGE('31.10 Masaka-Maya-24h'!K79,'02.11 Masaka-Maya-24h'!K79)</f>
        <v>2.5</v>
      </c>
      <c r="L79" s="49">
        <f>AVERAGE('31.10 Masaka-Maya-24h'!L79,'02.11 Masaka-Maya-24h'!L79)</f>
        <v>2.5</v>
      </c>
      <c r="M79" s="49">
        <f>AVERAGE('31.10 Masaka-Maya-24h'!M79,'02.11 Masaka-Maya-24h'!M79)</f>
        <v>3</v>
      </c>
      <c r="N79" s="49">
        <f>AVERAGE('31.10 Masaka-Maya-24h'!N79,'02.11 Masaka-Maya-24h'!N79)</f>
        <v>0</v>
      </c>
      <c r="O79" s="15">
        <f t="shared" si="35"/>
        <v>40</v>
      </c>
      <c r="P79" s="15">
        <f t="shared" si="36"/>
        <v>43</v>
      </c>
      <c r="R79" s="8"/>
      <c r="T79"/>
    </row>
    <row r="80" spans="2:20" ht="23.1" customHeight="1" x14ac:dyDescent="0.25">
      <c r="B80" s="25" t="s">
        <v>120</v>
      </c>
      <c r="C80" s="49">
        <f>AVERAGE('31.10 Masaka-Maya-24h'!C80,'02.11 Masaka-Maya-24h'!C80)</f>
        <v>8</v>
      </c>
      <c r="D80" s="49">
        <f>AVERAGE('31.10 Masaka-Maya-24h'!D80,'02.11 Masaka-Maya-24h'!D80)</f>
        <v>2.5</v>
      </c>
      <c r="E80" s="49">
        <f>AVERAGE('31.10 Masaka-Maya-24h'!E80,'02.11 Masaka-Maya-24h'!E80)</f>
        <v>1.5</v>
      </c>
      <c r="F80" s="49">
        <f>AVERAGE('31.10 Masaka-Maya-24h'!F80,'02.11 Masaka-Maya-24h'!F80)</f>
        <v>4</v>
      </c>
      <c r="G80" s="49">
        <f>AVERAGE('31.10 Masaka-Maya-24h'!G80,'02.11 Masaka-Maya-24h'!G80)</f>
        <v>0.5</v>
      </c>
      <c r="H80" s="49">
        <f>AVERAGE('31.10 Masaka-Maya-24h'!H80,'02.11 Masaka-Maya-24h'!H80)</f>
        <v>0.5</v>
      </c>
      <c r="I80" s="49">
        <f>AVERAGE('31.10 Masaka-Maya-24h'!I80,'02.11 Masaka-Maya-24h'!I80)</f>
        <v>7</v>
      </c>
      <c r="J80" s="49">
        <f>AVERAGE('31.10 Masaka-Maya-24h'!J80,'02.11 Masaka-Maya-24h'!J80)</f>
        <v>3</v>
      </c>
      <c r="K80" s="49">
        <f>AVERAGE('31.10 Masaka-Maya-24h'!K80,'02.11 Masaka-Maya-24h'!K80)</f>
        <v>3</v>
      </c>
      <c r="L80" s="49">
        <f>AVERAGE('31.10 Masaka-Maya-24h'!L80,'02.11 Masaka-Maya-24h'!L80)</f>
        <v>3</v>
      </c>
      <c r="M80" s="49">
        <f>AVERAGE('31.10 Masaka-Maya-24h'!M80,'02.11 Masaka-Maya-24h'!M80)</f>
        <v>0.5</v>
      </c>
      <c r="N80" s="49">
        <f>AVERAGE('31.10 Masaka-Maya-24h'!N80,'02.11 Masaka-Maya-24h'!N80)</f>
        <v>0</v>
      </c>
      <c r="O80" s="15">
        <f t="shared" si="35"/>
        <v>33</v>
      </c>
      <c r="P80" s="15">
        <f t="shared" si="36"/>
        <v>33.5</v>
      </c>
      <c r="R80" s="8"/>
      <c r="T80"/>
    </row>
    <row r="81" spans="2:20" ht="23.1" customHeight="1" x14ac:dyDescent="0.25">
      <c r="B81" s="23" t="s">
        <v>121</v>
      </c>
      <c r="C81" s="49">
        <f>AVERAGE('31.10 Masaka-Maya-24h'!C81,'02.11 Masaka-Maya-24h'!C81)</f>
        <v>6.5</v>
      </c>
      <c r="D81" s="49">
        <f>AVERAGE('31.10 Masaka-Maya-24h'!D81,'02.11 Masaka-Maya-24h'!D81)</f>
        <v>2</v>
      </c>
      <c r="E81" s="49">
        <f>AVERAGE('31.10 Masaka-Maya-24h'!E81,'02.11 Masaka-Maya-24h'!E81)</f>
        <v>0</v>
      </c>
      <c r="F81" s="49">
        <f>AVERAGE('31.10 Masaka-Maya-24h'!F81,'02.11 Masaka-Maya-24h'!F81)</f>
        <v>3.5</v>
      </c>
      <c r="G81" s="49">
        <f>AVERAGE('31.10 Masaka-Maya-24h'!G81,'02.11 Masaka-Maya-24h'!G81)</f>
        <v>0.5</v>
      </c>
      <c r="H81" s="49">
        <f>AVERAGE('31.10 Masaka-Maya-24h'!H81,'02.11 Masaka-Maya-24h'!H81)</f>
        <v>1</v>
      </c>
      <c r="I81" s="49">
        <f>AVERAGE('31.10 Masaka-Maya-24h'!I81,'02.11 Masaka-Maya-24h'!I81)</f>
        <v>11.5</v>
      </c>
      <c r="J81" s="49">
        <f>AVERAGE('31.10 Masaka-Maya-24h'!J81,'02.11 Masaka-Maya-24h'!J81)</f>
        <v>4.5</v>
      </c>
      <c r="K81" s="49">
        <f>AVERAGE('31.10 Masaka-Maya-24h'!K81,'02.11 Masaka-Maya-24h'!K81)</f>
        <v>3</v>
      </c>
      <c r="L81" s="49">
        <f>AVERAGE('31.10 Masaka-Maya-24h'!L81,'02.11 Masaka-Maya-24h'!L81)</f>
        <v>1</v>
      </c>
      <c r="M81" s="49">
        <f>AVERAGE('31.10 Masaka-Maya-24h'!M81,'02.11 Masaka-Maya-24h'!M81)</f>
        <v>0</v>
      </c>
      <c r="N81" s="49">
        <f>AVERAGE('31.10 Masaka-Maya-24h'!N81,'02.11 Masaka-Maya-24h'!N81)</f>
        <v>0</v>
      </c>
      <c r="O81" s="15">
        <f t="shared" si="35"/>
        <v>33.5</v>
      </c>
      <c r="P81" s="15">
        <f t="shared" si="36"/>
        <v>33.5</v>
      </c>
      <c r="R81" s="8"/>
      <c r="T81"/>
    </row>
    <row r="82" spans="2:20" ht="23.1" customHeight="1" x14ac:dyDescent="0.25">
      <c r="B82" s="24" t="s">
        <v>122</v>
      </c>
      <c r="C82" s="49">
        <f>AVERAGE('31.10 Masaka-Maya-24h'!C82,'02.11 Masaka-Maya-24h'!C82)</f>
        <v>6.5</v>
      </c>
      <c r="D82" s="49">
        <f>AVERAGE('31.10 Masaka-Maya-24h'!D82,'02.11 Masaka-Maya-24h'!D82)</f>
        <v>1</v>
      </c>
      <c r="E82" s="49">
        <f>AVERAGE('31.10 Masaka-Maya-24h'!E82,'02.11 Masaka-Maya-24h'!E82)</f>
        <v>0.5</v>
      </c>
      <c r="F82" s="49">
        <f>AVERAGE('31.10 Masaka-Maya-24h'!F82,'02.11 Masaka-Maya-24h'!F82)</f>
        <v>2</v>
      </c>
      <c r="G82" s="49">
        <f>AVERAGE('31.10 Masaka-Maya-24h'!G82,'02.11 Masaka-Maya-24h'!G82)</f>
        <v>0.5</v>
      </c>
      <c r="H82" s="49">
        <f>AVERAGE('31.10 Masaka-Maya-24h'!H82,'02.11 Masaka-Maya-24h'!H82)</f>
        <v>0</v>
      </c>
      <c r="I82" s="49">
        <f>AVERAGE('31.10 Masaka-Maya-24h'!I82,'02.11 Masaka-Maya-24h'!I82)</f>
        <v>15</v>
      </c>
      <c r="J82" s="49">
        <f>AVERAGE('31.10 Masaka-Maya-24h'!J82,'02.11 Masaka-Maya-24h'!J82)</f>
        <v>11</v>
      </c>
      <c r="K82" s="49">
        <f>AVERAGE('31.10 Masaka-Maya-24h'!K82,'02.11 Masaka-Maya-24h'!K82)</f>
        <v>8.5</v>
      </c>
      <c r="L82" s="49">
        <f>AVERAGE('31.10 Masaka-Maya-24h'!L82,'02.11 Masaka-Maya-24h'!L82)</f>
        <v>5</v>
      </c>
      <c r="M82" s="49">
        <f>AVERAGE('31.10 Masaka-Maya-24h'!M82,'02.11 Masaka-Maya-24h'!M82)</f>
        <v>1</v>
      </c>
      <c r="N82" s="49">
        <f>AVERAGE('31.10 Masaka-Maya-24h'!N82,'02.11 Masaka-Maya-24h'!N82)</f>
        <v>0</v>
      </c>
      <c r="O82" s="15">
        <f t="shared" si="35"/>
        <v>50</v>
      </c>
      <c r="P82" s="15">
        <f t="shared" si="36"/>
        <v>51</v>
      </c>
      <c r="R82" s="8"/>
      <c r="T82"/>
    </row>
    <row r="83" spans="2:20" ht="23.1" customHeight="1" x14ac:dyDescent="0.25">
      <c r="B83" s="23" t="s">
        <v>123</v>
      </c>
      <c r="C83" s="49">
        <f>AVERAGE('31.10 Masaka-Maya-24h'!C83,'02.11 Masaka-Maya-24h'!C83)</f>
        <v>7</v>
      </c>
      <c r="D83" s="49">
        <f>AVERAGE('31.10 Masaka-Maya-24h'!D83,'02.11 Masaka-Maya-24h'!D83)</f>
        <v>0</v>
      </c>
      <c r="E83" s="49">
        <f>AVERAGE('31.10 Masaka-Maya-24h'!E83,'02.11 Masaka-Maya-24h'!E83)</f>
        <v>0</v>
      </c>
      <c r="F83" s="49">
        <f>AVERAGE('31.10 Masaka-Maya-24h'!F83,'02.11 Masaka-Maya-24h'!F83)</f>
        <v>1</v>
      </c>
      <c r="G83" s="49">
        <f>AVERAGE('31.10 Masaka-Maya-24h'!G83,'02.11 Masaka-Maya-24h'!G83)</f>
        <v>0</v>
      </c>
      <c r="H83" s="49">
        <f>AVERAGE('31.10 Masaka-Maya-24h'!H83,'02.11 Masaka-Maya-24h'!H83)</f>
        <v>0.5</v>
      </c>
      <c r="I83" s="49">
        <f>AVERAGE('31.10 Masaka-Maya-24h'!I83,'02.11 Masaka-Maya-24h'!I83)</f>
        <v>18</v>
      </c>
      <c r="J83" s="49">
        <f>AVERAGE('31.10 Masaka-Maya-24h'!J83,'02.11 Masaka-Maya-24h'!J83)</f>
        <v>15</v>
      </c>
      <c r="K83" s="49">
        <f>AVERAGE('31.10 Masaka-Maya-24h'!K83,'02.11 Masaka-Maya-24h'!K83)</f>
        <v>7</v>
      </c>
      <c r="L83" s="49">
        <f>AVERAGE('31.10 Masaka-Maya-24h'!L83,'02.11 Masaka-Maya-24h'!L83)</f>
        <v>8.5</v>
      </c>
      <c r="M83" s="49">
        <f>AVERAGE('31.10 Masaka-Maya-24h'!M83,'02.11 Masaka-Maya-24h'!M83)</f>
        <v>1</v>
      </c>
      <c r="N83" s="49">
        <f>AVERAGE('31.10 Masaka-Maya-24h'!N83,'02.11 Masaka-Maya-24h'!N83)</f>
        <v>0</v>
      </c>
      <c r="O83" s="15">
        <f t="shared" si="35"/>
        <v>57</v>
      </c>
      <c r="P83" s="15">
        <f t="shared" si="36"/>
        <v>58</v>
      </c>
      <c r="R83" s="8"/>
      <c r="T83"/>
    </row>
    <row r="84" spans="2:20" ht="23.1" customHeight="1" x14ac:dyDescent="0.25">
      <c r="B84" s="25" t="s">
        <v>124</v>
      </c>
      <c r="C84" s="49">
        <f>AVERAGE('31.10 Masaka-Maya-24h'!C84,'02.11 Masaka-Maya-24h'!C84)</f>
        <v>6</v>
      </c>
      <c r="D84" s="49">
        <f>AVERAGE('31.10 Masaka-Maya-24h'!D84,'02.11 Masaka-Maya-24h'!D84)</f>
        <v>0.5</v>
      </c>
      <c r="E84" s="49">
        <f>AVERAGE('31.10 Masaka-Maya-24h'!E84,'02.11 Masaka-Maya-24h'!E84)</f>
        <v>0</v>
      </c>
      <c r="F84" s="49">
        <f>AVERAGE('31.10 Masaka-Maya-24h'!F84,'02.11 Masaka-Maya-24h'!F84)</f>
        <v>2</v>
      </c>
      <c r="G84" s="49">
        <f>AVERAGE('31.10 Masaka-Maya-24h'!G84,'02.11 Masaka-Maya-24h'!G84)</f>
        <v>0</v>
      </c>
      <c r="H84" s="49">
        <f>AVERAGE('31.10 Masaka-Maya-24h'!H84,'02.11 Masaka-Maya-24h'!H84)</f>
        <v>0.5</v>
      </c>
      <c r="I84" s="49">
        <f>AVERAGE('31.10 Masaka-Maya-24h'!I84,'02.11 Masaka-Maya-24h'!I84)</f>
        <v>11</v>
      </c>
      <c r="J84" s="49">
        <f>AVERAGE('31.10 Masaka-Maya-24h'!J84,'02.11 Masaka-Maya-24h'!J84)</f>
        <v>7.5</v>
      </c>
      <c r="K84" s="49">
        <f>AVERAGE('31.10 Masaka-Maya-24h'!K84,'02.11 Masaka-Maya-24h'!K84)</f>
        <v>2.5</v>
      </c>
      <c r="L84" s="49">
        <f>AVERAGE('31.10 Masaka-Maya-24h'!L84,'02.11 Masaka-Maya-24h'!L84)</f>
        <v>2</v>
      </c>
      <c r="M84" s="49">
        <f>AVERAGE('31.10 Masaka-Maya-24h'!M84,'02.11 Masaka-Maya-24h'!M84)</f>
        <v>0</v>
      </c>
      <c r="N84" s="49">
        <f>AVERAGE('31.10 Masaka-Maya-24h'!N84,'02.11 Masaka-Maya-24h'!N84)</f>
        <v>0</v>
      </c>
      <c r="O84" s="15">
        <f t="shared" si="35"/>
        <v>32</v>
      </c>
      <c r="P84" s="15">
        <f t="shared" si="36"/>
        <v>32</v>
      </c>
      <c r="R84" s="8"/>
      <c r="T84"/>
    </row>
    <row r="85" spans="2:20" ht="23.1" customHeight="1" x14ac:dyDescent="0.25">
      <c r="B85" s="23" t="s">
        <v>125</v>
      </c>
      <c r="C85" s="49">
        <f>AVERAGE('31.10 Masaka-Maya-24h'!C85,'02.11 Masaka-Maya-24h'!C85)</f>
        <v>3</v>
      </c>
      <c r="D85" s="49">
        <f>AVERAGE('31.10 Masaka-Maya-24h'!D85,'02.11 Masaka-Maya-24h'!D85)</f>
        <v>1</v>
      </c>
      <c r="E85" s="49">
        <f>AVERAGE('31.10 Masaka-Maya-24h'!E85,'02.11 Masaka-Maya-24h'!E85)</f>
        <v>0</v>
      </c>
      <c r="F85" s="49">
        <f>AVERAGE('31.10 Masaka-Maya-24h'!F85,'02.11 Masaka-Maya-24h'!F85)</f>
        <v>0.5</v>
      </c>
      <c r="G85" s="49">
        <f>AVERAGE('31.10 Masaka-Maya-24h'!G85,'02.11 Masaka-Maya-24h'!G85)</f>
        <v>0</v>
      </c>
      <c r="H85" s="49">
        <f>AVERAGE('31.10 Masaka-Maya-24h'!H85,'02.11 Masaka-Maya-24h'!H85)</f>
        <v>0.5</v>
      </c>
      <c r="I85" s="49">
        <f>AVERAGE('31.10 Masaka-Maya-24h'!I85,'02.11 Masaka-Maya-24h'!I85)</f>
        <v>10</v>
      </c>
      <c r="J85" s="49">
        <f>AVERAGE('31.10 Masaka-Maya-24h'!J85,'02.11 Masaka-Maya-24h'!J85)</f>
        <v>4</v>
      </c>
      <c r="K85" s="49">
        <f>AVERAGE('31.10 Masaka-Maya-24h'!K85,'02.11 Masaka-Maya-24h'!K85)</f>
        <v>2.5</v>
      </c>
      <c r="L85" s="49">
        <f>AVERAGE('31.10 Masaka-Maya-24h'!L85,'02.11 Masaka-Maya-24h'!L85)</f>
        <v>3.5</v>
      </c>
      <c r="M85" s="49">
        <f>AVERAGE('31.10 Masaka-Maya-24h'!M85,'02.11 Masaka-Maya-24h'!M85)</f>
        <v>2</v>
      </c>
      <c r="N85" s="49">
        <f>AVERAGE('31.10 Masaka-Maya-24h'!N85,'02.11 Masaka-Maya-24h'!N85)</f>
        <v>0</v>
      </c>
      <c r="O85" s="15">
        <f t="shared" si="35"/>
        <v>25</v>
      </c>
      <c r="P85" s="15">
        <f t="shared" si="36"/>
        <v>27</v>
      </c>
      <c r="R85" s="8"/>
      <c r="T85"/>
    </row>
    <row r="86" spans="2:20" ht="23.1" customHeight="1" x14ac:dyDescent="0.25">
      <c r="B86" s="24" t="s">
        <v>126</v>
      </c>
      <c r="C86" s="49">
        <f>AVERAGE('31.10 Masaka-Maya-24h'!C86,'02.11 Masaka-Maya-24h'!C86)</f>
        <v>2.5</v>
      </c>
      <c r="D86" s="49">
        <f>AVERAGE('31.10 Masaka-Maya-24h'!D86,'02.11 Masaka-Maya-24h'!D86)</f>
        <v>0.5</v>
      </c>
      <c r="E86" s="49">
        <f>AVERAGE('31.10 Masaka-Maya-24h'!E86,'02.11 Masaka-Maya-24h'!E86)</f>
        <v>1.5</v>
      </c>
      <c r="F86" s="49">
        <f>AVERAGE('31.10 Masaka-Maya-24h'!F86,'02.11 Masaka-Maya-24h'!F86)</f>
        <v>0.5</v>
      </c>
      <c r="G86" s="49">
        <f>AVERAGE('31.10 Masaka-Maya-24h'!G86,'02.11 Masaka-Maya-24h'!G86)</f>
        <v>0</v>
      </c>
      <c r="H86" s="49">
        <f>AVERAGE('31.10 Masaka-Maya-24h'!H86,'02.11 Masaka-Maya-24h'!H86)</f>
        <v>2.5</v>
      </c>
      <c r="I86" s="49">
        <f>AVERAGE('31.10 Masaka-Maya-24h'!I86,'02.11 Masaka-Maya-24h'!I86)</f>
        <v>12.5</v>
      </c>
      <c r="J86" s="49">
        <f>AVERAGE('31.10 Masaka-Maya-24h'!J86,'02.11 Masaka-Maya-24h'!J86)</f>
        <v>12.5</v>
      </c>
      <c r="K86" s="49">
        <f>AVERAGE('31.10 Masaka-Maya-24h'!K86,'02.11 Masaka-Maya-24h'!K86)</f>
        <v>8.5</v>
      </c>
      <c r="L86" s="49">
        <f>AVERAGE('31.10 Masaka-Maya-24h'!L86,'02.11 Masaka-Maya-24h'!L86)</f>
        <v>4</v>
      </c>
      <c r="M86" s="49">
        <f>AVERAGE('31.10 Masaka-Maya-24h'!M86,'02.11 Masaka-Maya-24h'!M86)</f>
        <v>1.5</v>
      </c>
      <c r="N86" s="49">
        <f>AVERAGE('31.10 Masaka-Maya-24h'!N86,'02.11 Masaka-Maya-24h'!N86)</f>
        <v>0</v>
      </c>
      <c r="O86" s="15">
        <f t="shared" si="35"/>
        <v>45</v>
      </c>
      <c r="P86" s="15">
        <f t="shared" si="36"/>
        <v>46.5</v>
      </c>
      <c r="R86" s="8"/>
      <c r="T86"/>
    </row>
    <row r="87" spans="2:20" ht="23.1" customHeight="1" x14ac:dyDescent="0.25">
      <c r="B87" s="23" t="s">
        <v>127</v>
      </c>
      <c r="C87" s="49">
        <f>AVERAGE('31.10 Masaka-Maya-24h'!C87,'02.11 Masaka-Maya-24h'!C87)</f>
        <v>8.5</v>
      </c>
      <c r="D87" s="49">
        <f>AVERAGE('31.10 Masaka-Maya-24h'!D87,'02.11 Masaka-Maya-24h'!D87)</f>
        <v>1.5</v>
      </c>
      <c r="E87" s="49">
        <f>AVERAGE('31.10 Masaka-Maya-24h'!E87,'02.11 Masaka-Maya-24h'!E87)</f>
        <v>1.5</v>
      </c>
      <c r="F87" s="49">
        <f>AVERAGE('31.10 Masaka-Maya-24h'!F87,'02.11 Masaka-Maya-24h'!F87)</f>
        <v>1</v>
      </c>
      <c r="G87" s="49">
        <f>AVERAGE('31.10 Masaka-Maya-24h'!G87,'02.11 Masaka-Maya-24h'!G87)</f>
        <v>0</v>
      </c>
      <c r="H87" s="49">
        <f>AVERAGE('31.10 Masaka-Maya-24h'!H87,'02.11 Masaka-Maya-24h'!H87)</f>
        <v>1.5</v>
      </c>
      <c r="I87" s="49">
        <f>AVERAGE('31.10 Masaka-Maya-24h'!I87,'02.11 Masaka-Maya-24h'!I87)</f>
        <v>15</v>
      </c>
      <c r="J87" s="49">
        <f>AVERAGE('31.10 Masaka-Maya-24h'!J87,'02.11 Masaka-Maya-24h'!J87)</f>
        <v>11.5</v>
      </c>
      <c r="K87" s="49">
        <f>AVERAGE('31.10 Masaka-Maya-24h'!K87,'02.11 Masaka-Maya-24h'!K87)</f>
        <v>11.5</v>
      </c>
      <c r="L87" s="49">
        <f>AVERAGE('31.10 Masaka-Maya-24h'!L87,'02.11 Masaka-Maya-24h'!L87)</f>
        <v>13.5</v>
      </c>
      <c r="M87" s="49">
        <f>AVERAGE('31.10 Masaka-Maya-24h'!M87,'02.11 Masaka-Maya-24h'!M87)</f>
        <v>1</v>
      </c>
      <c r="N87" s="49">
        <f>AVERAGE('31.10 Masaka-Maya-24h'!N87,'02.11 Masaka-Maya-24h'!N87)</f>
        <v>0</v>
      </c>
      <c r="O87" s="15">
        <f t="shared" si="35"/>
        <v>65.5</v>
      </c>
      <c r="P87" s="15">
        <f t="shared" si="36"/>
        <v>66.5</v>
      </c>
      <c r="R87" s="8"/>
      <c r="T87"/>
    </row>
    <row r="88" spans="2:20" ht="23.1" customHeight="1" x14ac:dyDescent="0.25">
      <c r="B88" s="25" t="s">
        <v>128</v>
      </c>
      <c r="C88" s="49">
        <f>AVERAGE('31.10 Masaka-Maya-24h'!C88,'02.11 Masaka-Maya-24h'!C88)</f>
        <v>2.5</v>
      </c>
      <c r="D88" s="49">
        <f>AVERAGE('31.10 Masaka-Maya-24h'!D88,'02.11 Masaka-Maya-24h'!D88)</f>
        <v>0</v>
      </c>
      <c r="E88" s="49">
        <f>AVERAGE('31.10 Masaka-Maya-24h'!E88,'02.11 Masaka-Maya-24h'!E88)</f>
        <v>0</v>
      </c>
      <c r="F88" s="49">
        <f>AVERAGE('31.10 Masaka-Maya-24h'!F88,'02.11 Masaka-Maya-24h'!F88)</f>
        <v>1</v>
      </c>
      <c r="G88" s="49">
        <f>AVERAGE('31.10 Masaka-Maya-24h'!G88,'02.11 Masaka-Maya-24h'!G88)</f>
        <v>0</v>
      </c>
      <c r="H88" s="49">
        <f>AVERAGE('31.10 Masaka-Maya-24h'!H88,'02.11 Masaka-Maya-24h'!H88)</f>
        <v>2.5</v>
      </c>
      <c r="I88" s="49">
        <f>AVERAGE('31.10 Masaka-Maya-24h'!I88,'02.11 Masaka-Maya-24h'!I88)</f>
        <v>7.5</v>
      </c>
      <c r="J88" s="49">
        <f>AVERAGE('31.10 Masaka-Maya-24h'!J88,'02.11 Masaka-Maya-24h'!J88)</f>
        <v>4</v>
      </c>
      <c r="K88" s="49">
        <f>AVERAGE('31.10 Masaka-Maya-24h'!K88,'02.11 Masaka-Maya-24h'!K88)</f>
        <v>2</v>
      </c>
      <c r="L88" s="49">
        <f>AVERAGE('31.10 Masaka-Maya-24h'!L88,'02.11 Masaka-Maya-24h'!L88)</f>
        <v>8</v>
      </c>
      <c r="M88" s="49">
        <f>AVERAGE('31.10 Masaka-Maya-24h'!M88,'02.11 Masaka-Maya-24h'!M88)</f>
        <v>0</v>
      </c>
      <c r="N88" s="49">
        <f>AVERAGE('31.10 Masaka-Maya-24h'!N88,'02.11 Masaka-Maya-24h'!N88)</f>
        <v>0</v>
      </c>
      <c r="O88" s="15">
        <f t="shared" si="35"/>
        <v>27.5</v>
      </c>
      <c r="P88" s="15">
        <f t="shared" si="36"/>
        <v>27.5</v>
      </c>
      <c r="R88" s="8"/>
      <c r="T88"/>
    </row>
    <row r="89" spans="2:20" ht="23.1" customHeight="1" x14ac:dyDescent="0.25">
      <c r="B89" s="23" t="s">
        <v>129</v>
      </c>
      <c r="C89" s="49">
        <f>AVERAGE('31.10 Masaka-Maya-24h'!C89,'02.11 Masaka-Maya-24h'!C89)</f>
        <v>1.5</v>
      </c>
      <c r="D89" s="49">
        <f>AVERAGE('31.10 Masaka-Maya-24h'!D89,'02.11 Masaka-Maya-24h'!D89)</f>
        <v>0</v>
      </c>
      <c r="E89" s="49">
        <f>AVERAGE('31.10 Masaka-Maya-24h'!E89,'02.11 Masaka-Maya-24h'!E89)</f>
        <v>0</v>
      </c>
      <c r="F89" s="49">
        <f>AVERAGE('31.10 Masaka-Maya-24h'!F89,'02.11 Masaka-Maya-24h'!F89)</f>
        <v>0</v>
      </c>
      <c r="G89" s="49">
        <f>AVERAGE('31.10 Masaka-Maya-24h'!G89,'02.11 Masaka-Maya-24h'!G89)</f>
        <v>0</v>
      </c>
      <c r="H89" s="49">
        <f>AVERAGE('31.10 Masaka-Maya-24h'!H89,'02.11 Masaka-Maya-24h'!H89)</f>
        <v>0</v>
      </c>
      <c r="I89" s="49">
        <f>AVERAGE('31.10 Masaka-Maya-24h'!I89,'02.11 Masaka-Maya-24h'!I89)</f>
        <v>7.5</v>
      </c>
      <c r="J89" s="49">
        <f>AVERAGE('31.10 Masaka-Maya-24h'!J89,'02.11 Masaka-Maya-24h'!J89)</f>
        <v>5.5</v>
      </c>
      <c r="K89" s="49">
        <f>AVERAGE('31.10 Masaka-Maya-24h'!K89,'02.11 Masaka-Maya-24h'!K89)</f>
        <v>5</v>
      </c>
      <c r="L89" s="49">
        <f>AVERAGE('31.10 Masaka-Maya-24h'!L89,'02.11 Masaka-Maya-24h'!L89)</f>
        <v>4</v>
      </c>
      <c r="M89" s="49">
        <f>AVERAGE('31.10 Masaka-Maya-24h'!M89,'02.11 Masaka-Maya-24h'!M89)</f>
        <v>0.5</v>
      </c>
      <c r="N89" s="49">
        <f>AVERAGE('31.10 Masaka-Maya-24h'!N89,'02.11 Masaka-Maya-24h'!N89)</f>
        <v>0</v>
      </c>
      <c r="O89" s="15">
        <f t="shared" si="35"/>
        <v>23.5</v>
      </c>
      <c r="P89" s="15">
        <f t="shared" si="36"/>
        <v>24</v>
      </c>
      <c r="R89" s="8"/>
      <c r="T89"/>
    </row>
    <row r="90" spans="2:20" ht="23.1" customHeight="1" x14ac:dyDescent="0.25">
      <c r="B90" s="24" t="s">
        <v>130</v>
      </c>
      <c r="C90" s="49">
        <f>AVERAGE('31.10 Masaka-Maya-24h'!C90,'02.11 Masaka-Maya-24h'!C90)</f>
        <v>1.5</v>
      </c>
      <c r="D90" s="49">
        <f>AVERAGE('31.10 Masaka-Maya-24h'!D90,'02.11 Masaka-Maya-24h'!D90)</f>
        <v>0.5</v>
      </c>
      <c r="E90" s="49">
        <f>AVERAGE('31.10 Masaka-Maya-24h'!E90,'02.11 Masaka-Maya-24h'!E90)</f>
        <v>0</v>
      </c>
      <c r="F90" s="49">
        <f>AVERAGE('31.10 Masaka-Maya-24h'!F90,'02.11 Masaka-Maya-24h'!F90)</f>
        <v>0</v>
      </c>
      <c r="G90" s="49">
        <f>AVERAGE('31.10 Masaka-Maya-24h'!G90,'02.11 Masaka-Maya-24h'!G90)</f>
        <v>1</v>
      </c>
      <c r="H90" s="49">
        <f>AVERAGE('31.10 Masaka-Maya-24h'!H90,'02.11 Masaka-Maya-24h'!H90)</f>
        <v>2</v>
      </c>
      <c r="I90" s="49">
        <f>AVERAGE('31.10 Masaka-Maya-24h'!I90,'02.11 Masaka-Maya-24h'!I90)</f>
        <v>8.5</v>
      </c>
      <c r="J90" s="49">
        <f>AVERAGE('31.10 Masaka-Maya-24h'!J90,'02.11 Masaka-Maya-24h'!J90)</f>
        <v>9</v>
      </c>
      <c r="K90" s="49">
        <f>AVERAGE('31.10 Masaka-Maya-24h'!K90,'02.11 Masaka-Maya-24h'!K90)</f>
        <v>4.5</v>
      </c>
      <c r="L90" s="49">
        <f>AVERAGE('31.10 Masaka-Maya-24h'!L90,'02.11 Masaka-Maya-24h'!L90)</f>
        <v>6</v>
      </c>
      <c r="M90" s="49">
        <f>AVERAGE('31.10 Masaka-Maya-24h'!M90,'02.11 Masaka-Maya-24h'!M90)</f>
        <v>0.5</v>
      </c>
      <c r="N90" s="49">
        <f>AVERAGE('31.10 Masaka-Maya-24h'!N90,'02.11 Masaka-Maya-24h'!N90)</f>
        <v>0</v>
      </c>
      <c r="O90" s="15">
        <f t="shared" si="35"/>
        <v>33</v>
      </c>
      <c r="P90" s="15">
        <f t="shared" si="36"/>
        <v>33.5</v>
      </c>
      <c r="R90" s="8"/>
      <c r="T90"/>
    </row>
    <row r="91" spans="2:20" ht="23.1" customHeight="1" x14ac:dyDescent="0.25">
      <c r="B91" s="23" t="s">
        <v>131</v>
      </c>
      <c r="C91" s="49">
        <f>AVERAGE('31.10 Masaka-Maya-24h'!C91,'02.11 Masaka-Maya-24h'!C91)</f>
        <v>1</v>
      </c>
      <c r="D91" s="49">
        <f>AVERAGE('31.10 Masaka-Maya-24h'!D91,'02.11 Masaka-Maya-24h'!D91)</f>
        <v>0</v>
      </c>
      <c r="E91" s="49">
        <f>AVERAGE('31.10 Masaka-Maya-24h'!E91,'02.11 Masaka-Maya-24h'!E91)</f>
        <v>0</v>
      </c>
      <c r="F91" s="49">
        <f>AVERAGE('31.10 Masaka-Maya-24h'!F91,'02.11 Masaka-Maya-24h'!F91)</f>
        <v>0.5</v>
      </c>
      <c r="G91" s="49">
        <f>AVERAGE('31.10 Masaka-Maya-24h'!G91,'02.11 Masaka-Maya-24h'!G91)</f>
        <v>0.5</v>
      </c>
      <c r="H91" s="49">
        <f>AVERAGE('31.10 Masaka-Maya-24h'!H91,'02.11 Masaka-Maya-24h'!H91)</f>
        <v>2.5</v>
      </c>
      <c r="I91" s="49">
        <f>AVERAGE('31.10 Masaka-Maya-24h'!I91,'02.11 Masaka-Maya-24h'!I91)</f>
        <v>5</v>
      </c>
      <c r="J91" s="49">
        <f>AVERAGE('31.10 Masaka-Maya-24h'!J91,'02.11 Masaka-Maya-24h'!J91)</f>
        <v>4</v>
      </c>
      <c r="K91" s="49">
        <f>AVERAGE('31.10 Masaka-Maya-24h'!K91,'02.11 Masaka-Maya-24h'!K91)</f>
        <v>2.5</v>
      </c>
      <c r="L91" s="49">
        <f>AVERAGE('31.10 Masaka-Maya-24h'!L91,'02.11 Masaka-Maya-24h'!L91)</f>
        <v>5.5</v>
      </c>
      <c r="M91" s="49">
        <f>AVERAGE('31.10 Masaka-Maya-24h'!M91,'02.11 Masaka-Maya-24h'!M91)</f>
        <v>3</v>
      </c>
      <c r="N91" s="49">
        <f>AVERAGE('31.10 Masaka-Maya-24h'!N91,'02.11 Masaka-Maya-24h'!N91)</f>
        <v>0</v>
      </c>
      <c r="O91" s="15">
        <f t="shared" si="35"/>
        <v>21.5</v>
      </c>
      <c r="P91" s="15">
        <f t="shared" si="36"/>
        <v>24.5</v>
      </c>
      <c r="R91" s="8"/>
      <c r="T91"/>
    </row>
    <row r="92" spans="2:20" ht="23.1" customHeight="1" x14ac:dyDescent="0.25">
      <c r="B92" s="25" t="s">
        <v>132</v>
      </c>
      <c r="C92" s="49">
        <f>AVERAGE('31.10 Masaka-Maya-24h'!C92,'02.11 Masaka-Maya-24h'!C92)</f>
        <v>1</v>
      </c>
      <c r="D92" s="49">
        <f>AVERAGE('31.10 Masaka-Maya-24h'!D92,'02.11 Masaka-Maya-24h'!D92)</f>
        <v>0</v>
      </c>
      <c r="E92" s="49">
        <f>AVERAGE('31.10 Masaka-Maya-24h'!E92,'02.11 Masaka-Maya-24h'!E92)</f>
        <v>0.5</v>
      </c>
      <c r="F92" s="49">
        <f>AVERAGE('31.10 Masaka-Maya-24h'!F92,'02.11 Masaka-Maya-24h'!F92)</f>
        <v>0.5</v>
      </c>
      <c r="G92" s="49">
        <f>AVERAGE('31.10 Masaka-Maya-24h'!G92,'02.11 Masaka-Maya-24h'!G92)</f>
        <v>1</v>
      </c>
      <c r="H92" s="49">
        <f>AVERAGE('31.10 Masaka-Maya-24h'!H92,'02.11 Masaka-Maya-24h'!H92)</f>
        <v>5.5</v>
      </c>
      <c r="I92" s="49">
        <f>AVERAGE('31.10 Masaka-Maya-24h'!I92,'02.11 Masaka-Maya-24h'!I92)</f>
        <v>10.5</v>
      </c>
      <c r="J92" s="49">
        <f>AVERAGE('31.10 Masaka-Maya-24h'!J92,'02.11 Masaka-Maya-24h'!J92)</f>
        <v>7</v>
      </c>
      <c r="K92" s="49">
        <f>AVERAGE('31.10 Masaka-Maya-24h'!K92,'02.11 Masaka-Maya-24h'!K92)</f>
        <v>7.5</v>
      </c>
      <c r="L92" s="49">
        <f>AVERAGE('31.10 Masaka-Maya-24h'!L92,'02.11 Masaka-Maya-24h'!L92)</f>
        <v>7.5</v>
      </c>
      <c r="M92" s="49">
        <f>AVERAGE('31.10 Masaka-Maya-24h'!M92,'02.11 Masaka-Maya-24h'!M92)</f>
        <v>2</v>
      </c>
      <c r="N92" s="49">
        <f>AVERAGE('31.10 Masaka-Maya-24h'!N92,'02.11 Masaka-Maya-24h'!N92)</f>
        <v>0</v>
      </c>
      <c r="O92" s="15">
        <f t="shared" si="35"/>
        <v>41</v>
      </c>
      <c r="P92" s="15">
        <f t="shared" si="36"/>
        <v>43</v>
      </c>
      <c r="R92" s="8"/>
      <c r="T92"/>
    </row>
    <row r="93" spans="2:20" ht="23.1" customHeight="1" x14ac:dyDescent="0.25">
      <c r="B93" s="23" t="s">
        <v>133</v>
      </c>
      <c r="C93" s="49">
        <f>AVERAGE('31.10 Masaka-Maya-24h'!C93,'02.11 Masaka-Maya-24h'!C93)</f>
        <v>2</v>
      </c>
      <c r="D93" s="49">
        <f>AVERAGE('31.10 Masaka-Maya-24h'!D93,'02.11 Masaka-Maya-24h'!D93)</f>
        <v>0</v>
      </c>
      <c r="E93" s="49">
        <f>AVERAGE('31.10 Masaka-Maya-24h'!E93,'02.11 Masaka-Maya-24h'!E93)</f>
        <v>0.5</v>
      </c>
      <c r="F93" s="49">
        <f>AVERAGE('31.10 Masaka-Maya-24h'!F93,'02.11 Masaka-Maya-24h'!F93)</f>
        <v>0</v>
      </c>
      <c r="G93" s="49">
        <f>AVERAGE('31.10 Masaka-Maya-24h'!G93,'02.11 Masaka-Maya-24h'!G93)</f>
        <v>0</v>
      </c>
      <c r="H93" s="49">
        <f>AVERAGE('31.10 Masaka-Maya-24h'!H93,'02.11 Masaka-Maya-24h'!H93)</f>
        <v>3.5</v>
      </c>
      <c r="I93" s="49">
        <f>AVERAGE('31.10 Masaka-Maya-24h'!I93,'02.11 Masaka-Maya-24h'!I93)</f>
        <v>8.5</v>
      </c>
      <c r="J93" s="49">
        <f>AVERAGE('31.10 Masaka-Maya-24h'!J93,'02.11 Masaka-Maya-24h'!J93)</f>
        <v>9</v>
      </c>
      <c r="K93" s="49">
        <f>AVERAGE('31.10 Masaka-Maya-24h'!K93,'02.11 Masaka-Maya-24h'!K93)</f>
        <v>3.5</v>
      </c>
      <c r="L93" s="49">
        <f>AVERAGE('31.10 Masaka-Maya-24h'!L93,'02.11 Masaka-Maya-24h'!L93)</f>
        <v>6.5</v>
      </c>
      <c r="M93" s="49">
        <f>AVERAGE('31.10 Masaka-Maya-24h'!M93,'02.11 Masaka-Maya-24h'!M93)</f>
        <v>0.5</v>
      </c>
      <c r="N93" s="49">
        <f>AVERAGE('31.10 Masaka-Maya-24h'!N93,'02.11 Masaka-Maya-24h'!N93)</f>
        <v>0</v>
      </c>
      <c r="O93" s="15">
        <f t="shared" si="35"/>
        <v>33.5</v>
      </c>
      <c r="P93" s="15">
        <f t="shared" si="36"/>
        <v>34</v>
      </c>
      <c r="R93" s="8"/>
      <c r="T93"/>
    </row>
    <row r="94" spans="2:20" ht="23.1" customHeight="1" x14ac:dyDescent="0.25">
      <c r="B94" s="24" t="s">
        <v>134</v>
      </c>
      <c r="C94" s="49">
        <f>AVERAGE('31.10 Masaka-Maya-24h'!C94,'02.11 Masaka-Maya-24h'!C94)</f>
        <v>1.5</v>
      </c>
      <c r="D94" s="49">
        <f>AVERAGE('31.10 Masaka-Maya-24h'!D94,'02.11 Masaka-Maya-24h'!D94)</f>
        <v>1.5</v>
      </c>
      <c r="E94" s="49">
        <f>AVERAGE('31.10 Masaka-Maya-24h'!E94,'02.11 Masaka-Maya-24h'!E94)</f>
        <v>0</v>
      </c>
      <c r="F94" s="49">
        <f>AVERAGE('31.10 Masaka-Maya-24h'!F94,'02.11 Masaka-Maya-24h'!F94)</f>
        <v>0.5</v>
      </c>
      <c r="G94" s="49">
        <f>AVERAGE('31.10 Masaka-Maya-24h'!G94,'02.11 Masaka-Maya-24h'!G94)</f>
        <v>1</v>
      </c>
      <c r="H94" s="49">
        <f>AVERAGE('31.10 Masaka-Maya-24h'!H94,'02.11 Masaka-Maya-24h'!H94)</f>
        <v>3</v>
      </c>
      <c r="I94" s="49">
        <f>AVERAGE('31.10 Masaka-Maya-24h'!I94,'02.11 Masaka-Maya-24h'!I94)</f>
        <v>6.5</v>
      </c>
      <c r="J94" s="49">
        <f>AVERAGE('31.10 Masaka-Maya-24h'!J94,'02.11 Masaka-Maya-24h'!J94)</f>
        <v>7</v>
      </c>
      <c r="K94" s="49">
        <f>AVERAGE('31.10 Masaka-Maya-24h'!K94,'02.11 Masaka-Maya-24h'!K94)</f>
        <v>2.5</v>
      </c>
      <c r="L94" s="49">
        <f>AVERAGE('31.10 Masaka-Maya-24h'!L94,'02.11 Masaka-Maya-24h'!L94)</f>
        <v>2.5</v>
      </c>
      <c r="M94" s="49">
        <f>AVERAGE('31.10 Masaka-Maya-24h'!M94,'02.11 Masaka-Maya-24h'!M94)</f>
        <v>0</v>
      </c>
      <c r="N94" s="49">
        <f>AVERAGE('31.10 Masaka-Maya-24h'!N94,'02.11 Masaka-Maya-24h'!N94)</f>
        <v>0</v>
      </c>
      <c r="O94" s="15">
        <f t="shared" si="35"/>
        <v>26</v>
      </c>
      <c r="P94" s="15">
        <f t="shared" si="36"/>
        <v>26</v>
      </c>
      <c r="R94" s="8"/>
      <c r="T94"/>
    </row>
    <row r="95" spans="2:20" ht="23.1" customHeight="1" x14ac:dyDescent="0.25">
      <c r="B95" s="23" t="s">
        <v>135</v>
      </c>
      <c r="C95" s="49">
        <f>AVERAGE('31.10 Masaka-Maya-24h'!C95,'02.11 Masaka-Maya-24h'!C95)</f>
        <v>1.5</v>
      </c>
      <c r="D95" s="49">
        <f>AVERAGE('31.10 Masaka-Maya-24h'!D95,'02.11 Masaka-Maya-24h'!D95)</f>
        <v>0</v>
      </c>
      <c r="E95" s="49">
        <f>AVERAGE('31.10 Masaka-Maya-24h'!E95,'02.11 Masaka-Maya-24h'!E95)</f>
        <v>0.5</v>
      </c>
      <c r="F95" s="49">
        <f>AVERAGE('31.10 Masaka-Maya-24h'!F95,'02.11 Masaka-Maya-24h'!F95)</f>
        <v>1.5</v>
      </c>
      <c r="G95" s="49">
        <f>AVERAGE('31.10 Masaka-Maya-24h'!G95,'02.11 Masaka-Maya-24h'!G95)</f>
        <v>1</v>
      </c>
      <c r="H95" s="49">
        <f>AVERAGE('31.10 Masaka-Maya-24h'!H95,'02.11 Masaka-Maya-24h'!H95)</f>
        <v>3.5</v>
      </c>
      <c r="I95" s="49">
        <f>AVERAGE('31.10 Masaka-Maya-24h'!I95,'02.11 Masaka-Maya-24h'!I95)</f>
        <v>6.5</v>
      </c>
      <c r="J95" s="49">
        <f>AVERAGE('31.10 Masaka-Maya-24h'!J95,'02.11 Masaka-Maya-24h'!J95)</f>
        <v>6.5</v>
      </c>
      <c r="K95" s="49">
        <f>AVERAGE('31.10 Masaka-Maya-24h'!K95,'02.11 Masaka-Maya-24h'!K95)</f>
        <v>3</v>
      </c>
      <c r="L95" s="49">
        <f>AVERAGE('31.10 Masaka-Maya-24h'!L95,'02.11 Masaka-Maya-24h'!L95)</f>
        <v>4</v>
      </c>
      <c r="M95" s="49">
        <f>AVERAGE('31.10 Masaka-Maya-24h'!M95,'02.11 Masaka-Maya-24h'!M95)</f>
        <v>0</v>
      </c>
      <c r="N95" s="49">
        <f>AVERAGE('31.10 Masaka-Maya-24h'!N95,'02.11 Masaka-Maya-24h'!N95)</f>
        <v>0</v>
      </c>
      <c r="O95" s="15">
        <f t="shared" si="35"/>
        <v>28</v>
      </c>
      <c r="P95" s="15">
        <f t="shared" si="36"/>
        <v>28</v>
      </c>
      <c r="R95" s="8"/>
      <c r="T95"/>
    </row>
    <row r="96" spans="2:20" ht="23.1" customHeight="1" x14ac:dyDescent="0.25">
      <c r="B96" s="25" t="s">
        <v>136</v>
      </c>
      <c r="C96" s="49">
        <f>AVERAGE('31.10 Masaka-Maya-24h'!C96,'02.11 Masaka-Maya-24h'!C96)</f>
        <v>3.5</v>
      </c>
      <c r="D96" s="49">
        <f>AVERAGE('31.10 Masaka-Maya-24h'!D96,'02.11 Masaka-Maya-24h'!D96)</f>
        <v>0</v>
      </c>
      <c r="E96" s="49">
        <f>AVERAGE('31.10 Masaka-Maya-24h'!E96,'02.11 Masaka-Maya-24h'!E96)</f>
        <v>0</v>
      </c>
      <c r="F96" s="49">
        <f>AVERAGE('31.10 Masaka-Maya-24h'!F96,'02.11 Masaka-Maya-24h'!F96)</f>
        <v>1.5</v>
      </c>
      <c r="G96" s="49">
        <f>AVERAGE('31.10 Masaka-Maya-24h'!G96,'02.11 Masaka-Maya-24h'!G96)</f>
        <v>0</v>
      </c>
      <c r="H96" s="49">
        <f>AVERAGE('31.10 Masaka-Maya-24h'!H96,'02.11 Masaka-Maya-24h'!H96)</f>
        <v>3</v>
      </c>
      <c r="I96" s="49">
        <f>AVERAGE('31.10 Masaka-Maya-24h'!I96,'02.11 Masaka-Maya-24h'!I96)</f>
        <v>6.5</v>
      </c>
      <c r="J96" s="49">
        <f>AVERAGE('31.10 Masaka-Maya-24h'!J96,'02.11 Masaka-Maya-24h'!J96)</f>
        <v>5</v>
      </c>
      <c r="K96" s="49">
        <f>AVERAGE('31.10 Masaka-Maya-24h'!K96,'02.11 Masaka-Maya-24h'!K96)</f>
        <v>1.5</v>
      </c>
      <c r="L96" s="49">
        <f>AVERAGE('31.10 Masaka-Maya-24h'!L96,'02.11 Masaka-Maya-24h'!L96)</f>
        <v>6</v>
      </c>
      <c r="M96" s="49">
        <f>AVERAGE('31.10 Masaka-Maya-24h'!M96,'02.11 Masaka-Maya-24h'!M96)</f>
        <v>0.5</v>
      </c>
      <c r="N96" s="49">
        <f>AVERAGE('31.10 Masaka-Maya-24h'!N96,'02.11 Masaka-Maya-24h'!N96)</f>
        <v>0</v>
      </c>
      <c r="O96" s="15">
        <f t="shared" si="35"/>
        <v>27</v>
      </c>
      <c r="P96" s="15">
        <f t="shared" si="36"/>
        <v>27.5</v>
      </c>
      <c r="R96" s="8"/>
      <c r="T96"/>
    </row>
    <row r="97" spans="2:20" ht="23.1" customHeight="1" x14ac:dyDescent="0.25">
      <c r="B97" s="23" t="s">
        <v>137</v>
      </c>
      <c r="C97" s="49">
        <f>AVERAGE('31.10 Masaka-Maya-24h'!C97,'02.11 Masaka-Maya-24h'!C97)</f>
        <v>2</v>
      </c>
      <c r="D97" s="49">
        <f>AVERAGE('31.10 Masaka-Maya-24h'!D97,'02.11 Masaka-Maya-24h'!D97)</f>
        <v>0</v>
      </c>
      <c r="E97" s="49">
        <f>AVERAGE('31.10 Masaka-Maya-24h'!E97,'02.11 Masaka-Maya-24h'!E97)</f>
        <v>0.5</v>
      </c>
      <c r="F97" s="49">
        <f>AVERAGE('31.10 Masaka-Maya-24h'!F97,'02.11 Masaka-Maya-24h'!F97)</f>
        <v>4</v>
      </c>
      <c r="G97" s="49">
        <f>AVERAGE('31.10 Masaka-Maya-24h'!G97,'02.11 Masaka-Maya-24h'!G97)</f>
        <v>0.5</v>
      </c>
      <c r="H97" s="49">
        <f>AVERAGE('31.10 Masaka-Maya-24h'!H97,'02.11 Masaka-Maya-24h'!H97)</f>
        <v>2</v>
      </c>
      <c r="I97" s="49">
        <f>AVERAGE('31.10 Masaka-Maya-24h'!I97,'02.11 Masaka-Maya-24h'!I97)</f>
        <v>7</v>
      </c>
      <c r="J97" s="49">
        <f>AVERAGE('31.10 Masaka-Maya-24h'!J97,'02.11 Masaka-Maya-24h'!J97)</f>
        <v>7</v>
      </c>
      <c r="K97" s="49">
        <f>AVERAGE('31.10 Masaka-Maya-24h'!K97,'02.11 Masaka-Maya-24h'!K97)</f>
        <v>2.5</v>
      </c>
      <c r="L97" s="49">
        <f>AVERAGE('31.10 Masaka-Maya-24h'!L97,'02.11 Masaka-Maya-24h'!L97)</f>
        <v>4.5</v>
      </c>
      <c r="M97" s="49">
        <f>AVERAGE('31.10 Masaka-Maya-24h'!M97,'02.11 Masaka-Maya-24h'!M97)</f>
        <v>1.5</v>
      </c>
      <c r="N97" s="49">
        <f>AVERAGE('31.10 Masaka-Maya-24h'!N97,'02.11 Masaka-Maya-24h'!N97)</f>
        <v>0</v>
      </c>
      <c r="O97" s="15">
        <f t="shared" si="35"/>
        <v>30</v>
      </c>
      <c r="P97" s="15">
        <f t="shared" si="36"/>
        <v>31.5</v>
      </c>
      <c r="R97" s="8"/>
      <c r="T97"/>
    </row>
    <row r="98" spans="2:20" ht="23.1" customHeight="1" x14ac:dyDescent="0.25">
      <c r="B98" s="24" t="s">
        <v>138</v>
      </c>
      <c r="C98" s="49">
        <f>AVERAGE('31.10 Masaka-Maya-24h'!C98,'02.11 Masaka-Maya-24h'!C98)</f>
        <v>5</v>
      </c>
      <c r="D98" s="49">
        <f>AVERAGE('31.10 Masaka-Maya-24h'!D98,'02.11 Masaka-Maya-24h'!D98)</f>
        <v>0</v>
      </c>
      <c r="E98" s="49">
        <f>AVERAGE('31.10 Masaka-Maya-24h'!E98,'02.11 Masaka-Maya-24h'!E98)</f>
        <v>0.5</v>
      </c>
      <c r="F98" s="49">
        <f>AVERAGE('31.10 Masaka-Maya-24h'!F98,'02.11 Masaka-Maya-24h'!F98)</f>
        <v>5</v>
      </c>
      <c r="G98" s="49">
        <f>AVERAGE('31.10 Masaka-Maya-24h'!G98,'02.11 Masaka-Maya-24h'!G98)</f>
        <v>0</v>
      </c>
      <c r="H98" s="49">
        <f>AVERAGE('31.10 Masaka-Maya-24h'!H98,'02.11 Masaka-Maya-24h'!H98)</f>
        <v>1</v>
      </c>
      <c r="I98" s="49">
        <f>AVERAGE('31.10 Masaka-Maya-24h'!I98,'02.11 Masaka-Maya-24h'!I98)</f>
        <v>8</v>
      </c>
      <c r="J98" s="49">
        <f>AVERAGE('31.10 Masaka-Maya-24h'!J98,'02.11 Masaka-Maya-24h'!J98)</f>
        <v>7</v>
      </c>
      <c r="K98" s="49">
        <f>AVERAGE('31.10 Masaka-Maya-24h'!K98,'02.11 Masaka-Maya-24h'!K98)</f>
        <v>1</v>
      </c>
      <c r="L98" s="49">
        <f>AVERAGE('31.10 Masaka-Maya-24h'!L98,'02.11 Masaka-Maya-24h'!L98)</f>
        <v>3</v>
      </c>
      <c r="M98" s="49">
        <f>AVERAGE('31.10 Masaka-Maya-24h'!M98,'02.11 Masaka-Maya-24h'!M98)</f>
        <v>2.5</v>
      </c>
      <c r="N98" s="49">
        <f>AVERAGE('31.10 Masaka-Maya-24h'!N98,'02.11 Masaka-Maya-24h'!N98)</f>
        <v>0</v>
      </c>
      <c r="O98" s="15">
        <f t="shared" si="35"/>
        <v>30.5</v>
      </c>
      <c r="P98" s="15">
        <f t="shared" si="36"/>
        <v>33</v>
      </c>
      <c r="R98" s="8"/>
      <c r="T98"/>
    </row>
    <row r="99" spans="2:20" ht="23.1" customHeight="1" x14ac:dyDescent="0.25">
      <c r="B99" s="23" t="s">
        <v>139</v>
      </c>
      <c r="C99" s="49">
        <f>AVERAGE('31.10 Masaka-Maya-24h'!C99,'02.11 Masaka-Maya-24h'!C99)</f>
        <v>2.5</v>
      </c>
      <c r="D99" s="49">
        <f>AVERAGE('31.10 Masaka-Maya-24h'!D99,'02.11 Masaka-Maya-24h'!D99)</f>
        <v>1.5</v>
      </c>
      <c r="E99" s="49">
        <f>AVERAGE('31.10 Masaka-Maya-24h'!E99,'02.11 Masaka-Maya-24h'!E99)</f>
        <v>1</v>
      </c>
      <c r="F99" s="49">
        <f>AVERAGE('31.10 Masaka-Maya-24h'!F99,'02.11 Masaka-Maya-24h'!F99)</f>
        <v>11.5</v>
      </c>
      <c r="G99" s="49">
        <f>AVERAGE('31.10 Masaka-Maya-24h'!G99,'02.11 Masaka-Maya-24h'!G99)</f>
        <v>0</v>
      </c>
      <c r="H99" s="49">
        <f>AVERAGE('31.10 Masaka-Maya-24h'!H99,'02.11 Masaka-Maya-24h'!H99)</f>
        <v>1</v>
      </c>
      <c r="I99" s="49">
        <f>AVERAGE('31.10 Masaka-Maya-24h'!I99,'02.11 Masaka-Maya-24h'!I99)</f>
        <v>4</v>
      </c>
      <c r="J99" s="49">
        <f>AVERAGE('31.10 Masaka-Maya-24h'!J99,'02.11 Masaka-Maya-24h'!J99)</f>
        <v>6.5</v>
      </c>
      <c r="K99" s="49">
        <f>AVERAGE('31.10 Masaka-Maya-24h'!K99,'02.11 Masaka-Maya-24h'!K99)</f>
        <v>1.5</v>
      </c>
      <c r="L99" s="49">
        <f>AVERAGE('31.10 Masaka-Maya-24h'!L99,'02.11 Masaka-Maya-24h'!L99)</f>
        <v>4</v>
      </c>
      <c r="M99" s="49">
        <f>AVERAGE('31.10 Masaka-Maya-24h'!M99,'02.11 Masaka-Maya-24h'!M99)</f>
        <v>1</v>
      </c>
      <c r="N99" s="49">
        <f>AVERAGE('31.10 Masaka-Maya-24h'!N99,'02.11 Masaka-Maya-24h'!N99)</f>
        <v>0</v>
      </c>
      <c r="O99" s="15">
        <f t="shared" si="35"/>
        <v>33.5</v>
      </c>
      <c r="P99" s="15">
        <f t="shared" si="36"/>
        <v>34.5</v>
      </c>
      <c r="R99" s="8"/>
      <c r="T99"/>
    </row>
    <row r="100" spans="2:20" ht="23.1" customHeight="1" x14ac:dyDescent="0.25">
      <c r="B100" s="25" t="s">
        <v>140</v>
      </c>
      <c r="C100" s="49">
        <f>AVERAGE('31.10 Masaka-Maya-24h'!C100,'02.11 Masaka-Maya-24h'!C100)</f>
        <v>4</v>
      </c>
      <c r="D100" s="49">
        <f>AVERAGE('31.10 Masaka-Maya-24h'!D100,'02.11 Masaka-Maya-24h'!D100)</f>
        <v>0.5</v>
      </c>
      <c r="E100" s="49">
        <f>AVERAGE('31.10 Masaka-Maya-24h'!E100,'02.11 Masaka-Maya-24h'!E100)</f>
        <v>0</v>
      </c>
      <c r="F100" s="49">
        <f>AVERAGE('31.10 Masaka-Maya-24h'!F100,'02.11 Masaka-Maya-24h'!F100)</f>
        <v>10.5</v>
      </c>
      <c r="G100" s="49">
        <f>AVERAGE('31.10 Masaka-Maya-24h'!G100,'02.11 Masaka-Maya-24h'!G100)</f>
        <v>1</v>
      </c>
      <c r="H100" s="49">
        <f>AVERAGE('31.10 Masaka-Maya-24h'!H100,'02.11 Masaka-Maya-24h'!H100)</f>
        <v>2</v>
      </c>
      <c r="I100" s="49">
        <f>AVERAGE('31.10 Masaka-Maya-24h'!I100,'02.11 Masaka-Maya-24h'!I100)</f>
        <v>9.5</v>
      </c>
      <c r="J100" s="49">
        <f>AVERAGE('31.10 Masaka-Maya-24h'!J100,'02.11 Masaka-Maya-24h'!J100)</f>
        <v>5.5</v>
      </c>
      <c r="K100" s="49">
        <f>AVERAGE('31.10 Masaka-Maya-24h'!K100,'02.11 Masaka-Maya-24h'!K100)</f>
        <v>2</v>
      </c>
      <c r="L100" s="49">
        <f>AVERAGE('31.10 Masaka-Maya-24h'!L100,'02.11 Masaka-Maya-24h'!L100)</f>
        <v>3</v>
      </c>
      <c r="M100" s="49">
        <f>AVERAGE('31.10 Masaka-Maya-24h'!M100,'02.11 Masaka-Maya-24h'!M100)</f>
        <v>2.5</v>
      </c>
      <c r="N100" s="49">
        <f>AVERAGE('31.10 Masaka-Maya-24h'!N100,'02.11 Masaka-Maya-24h'!N100)</f>
        <v>0</v>
      </c>
      <c r="O100" s="15">
        <f t="shared" si="35"/>
        <v>38</v>
      </c>
      <c r="P100" s="15">
        <f t="shared" si="36"/>
        <v>40.5</v>
      </c>
      <c r="R100" s="8"/>
      <c r="T100"/>
    </row>
    <row r="101" spans="2:20" ht="23.1" customHeight="1" x14ac:dyDescent="0.25">
      <c r="B101" s="23" t="s">
        <v>141</v>
      </c>
      <c r="C101" s="49">
        <f>AVERAGE('31.10 Masaka-Maya-24h'!C101,'02.11 Masaka-Maya-24h'!C101)</f>
        <v>7</v>
      </c>
      <c r="D101" s="49">
        <f>AVERAGE('31.10 Masaka-Maya-24h'!D101,'02.11 Masaka-Maya-24h'!D101)</f>
        <v>1.5</v>
      </c>
      <c r="E101" s="49">
        <f>AVERAGE('31.10 Masaka-Maya-24h'!E101,'02.11 Masaka-Maya-24h'!E101)</f>
        <v>1.5</v>
      </c>
      <c r="F101" s="49">
        <f>AVERAGE('31.10 Masaka-Maya-24h'!F101,'02.11 Masaka-Maya-24h'!F101)</f>
        <v>15.5</v>
      </c>
      <c r="G101" s="49">
        <f>AVERAGE('31.10 Masaka-Maya-24h'!G101,'02.11 Masaka-Maya-24h'!G101)</f>
        <v>1</v>
      </c>
      <c r="H101" s="49">
        <f>AVERAGE('31.10 Masaka-Maya-24h'!H101,'02.11 Masaka-Maya-24h'!H101)</f>
        <v>5.5</v>
      </c>
      <c r="I101" s="49">
        <f>AVERAGE('31.10 Masaka-Maya-24h'!I101,'02.11 Masaka-Maya-24h'!I101)</f>
        <v>6.5</v>
      </c>
      <c r="J101" s="49">
        <f>AVERAGE('31.10 Masaka-Maya-24h'!J101,'02.11 Masaka-Maya-24h'!J101)</f>
        <v>6.5</v>
      </c>
      <c r="K101" s="49">
        <f>AVERAGE('31.10 Masaka-Maya-24h'!K101,'02.11 Masaka-Maya-24h'!K101)</f>
        <v>2</v>
      </c>
      <c r="L101" s="49">
        <f>AVERAGE('31.10 Masaka-Maya-24h'!L101,'02.11 Masaka-Maya-24h'!L101)</f>
        <v>1.5</v>
      </c>
      <c r="M101" s="49">
        <f>AVERAGE('31.10 Masaka-Maya-24h'!M101,'02.11 Masaka-Maya-24h'!M101)</f>
        <v>5.5</v>
      </c>
      <c r="N101" s="49">
        <f>AVERAGE('31.10 Masaka-Maya-24h'!N101,'02.11 Masaka-Maya-24h'!N101)</f>
        <v>0</v>
      </c>
      <c r="O101" s="15">
        <f t="shared" si="35"/>
        <v>48.5</v>
      </c>
      <c r="P101" s="15">
        <f t="shared" si="36"/>
        <v>54</v>
      </c>
      <c r="R101" s="8"/>
      <c r="T101"/>
    </row>
    <row r="102" spans="2:20" ht="23.1" customHeight="1" x14ac:dyDescent="0.25">
      <c r="B102" s="24" t="s">
        <v>142</v>
      </c>
      <c r="C102" s="49">
        <f>AVERAGE('31.10 Masaka-Maya-24h'!C102,'02.11 Masaka-Maya-24h'!C102)</f>
        <v>5.5</v>
      </c>
      <c r="D102" s="49">
        <f>AVERAGE('31.10 Masaka-Maya-24h'!D102,'02.11 Masaka-Maya-24h'!D102)</f>
        <v>1.5</v>
      </c>
      <c r="E102" s="49">
        <f>AVERAGE('31.10 Masaka-Maya-24h'!E102,'02.11 Masaka-Maya-24h'!E102)</f>
        <v>1.5</v>
      </c>
      <c r="F102" s="49">
        <f>AVERAGE('31.10 Masaka-Maya-24h'!F102,'02.11 Masaka-Maya-24h'!F102)</f>
        <v>13</v>
      </c>
      <c r="G102" s="49">
        <f>AVERAGE('31.10 Masaka-Maya-24h'!G102,'02.11 Masaka-Maya-24h'!G102)</f>
        <v>1</v>
      </c>
      <c r="H102" s="49">
        <f>AVERAGE('31.10 Masaka-Maya-24h'!H102,'02.11 Masaka-Maya-24h'!H102)</f>
        <v>0.5</v>
      </c>
      <c r="I102" s="49">
        <f>AVERAGE('31.10 Masaka-Maya-24h'!I102,'02.11 Masaka-Maya-24h'!I102)</f>
        <v>6</v>
      </c>
      <c r="J102" s="49">
        <f>AVERAGE('31.10 Masaka-Maya-24h'!J102,'02.11 Masaka-Maya-24h'!J102)</f>
        <v>4</v>
      </c>
      <c r="K102" s="49">
        <f>AVERAGE('31.10 Masaka-Maya-24h'!K102,'02.11 Masaka-Maya-24h'!K102)</f>
        <v>2</v>
      </c>
      <c r="L102" s="49">
        <f>AVERAGE('31.10 Masaka-Maya-24h'!L102,'02.11 Masaka-Maya-24h'!L102)</f>
        <v>5.5</v>
      </c>
      <c r="M102" s="49">
        <f>AVERAGE('31.10 Masaka-Maya-24h'!M102,'02.11 Masaka-Maya-24h'!M102)</f>
        <v>4</v>
      </c>
      <c r="N102" s="49">
        <f>AVERAGE('31.10 Masaka-Maya-24h'!N102,'02.11 Masaka-Maya-24h'!N102)</f>
        <v>0</v>
      </c>
      <c r="O102" s="15">
        <f t="shared" si="35"/>
        <v>40.5</v>
      </c>
      <c r="P102" s="15">
        <f t="shared" si="36"/>
        <v>44.5</v>
      </c>
      <c r="R102" s="8"/>
      <c r="T102"/>
    </row>
    <row r="103" spans="2:20" ht="23.1" customHeight="1" x14ac:dyDescent="0.25">
      <c r="B103" s="23" t="s">
        <v>143</v>
      </c>
      <c r="C103" s="49">
        <f>AVERAGE('31.10 Masaka-Maya-24h'!C103,'02.11 Masaka-Maya-24h'!C103)</f>
        <v>5</v>
      </c>
      <c r="D103" s="49">
        <f>AVERAGE('31.10 Masaka-Maya-24h'!D103,'02.11 Masaka-Maya-24h'!D103)</f>
        <v>2.5</v>
      </c>
      <c r="E103" s="49">
        <f>AVERAGE('31.10 Masaka-Maya-24h'!E103,'02.11 Masaka-Maya-24h'!E103)</f>
        <v>1.5</v>
      </c>
      <c r="F103" s="49">
        <f>AVERAGE('31.10 Masaka-Maya-24h'!F103,'02.11 Masaka-Maya-24h'!F103)</f>
        <v>8.5</v>
      </c>
      <c r="G103" s="49">
        <f>AVERAGE('31.10 Masaka-Maya-24h'!G103,'02.11 Masaka-Maya-24h'!G103)</f>
        <v>1</v>
      </c>
      <c r="H103" s="49">
        <f>AVERAGE('31.10 Masaka-Maya-24h'!H103,'02.11 Masaka-Maya-24h'!H103)</f>
        <v>4.5</v>
      </c>
      <c r="I103" s="49">
        <f>AVERAGE('31.10 Masaka-Maya-24h'!I103,'02.11 Masaka-Maya-24h'!I103)</f>
        <v>9.5</v>
      </c>
      <c r="J103" s="49">
        <f>AVERAGE('31.10 Masaka-Maya-24h'!J103,'02.11 Masaka-Maya-24h'!J103)</f>
        <v>4</v>
      </c>
      <c r="K103" s="49">
        <f>AVERAGE('31.10 Masaka-Maya-24h'!K103,'02.11 Masaka-Maya-24h'!K103)</f>
        <v>1.5</v>
      </c>
      <c r="L103" s="49">
        <f>AVERAGE('31.10 Masaka-Maya-24h'!L103,'02.11 Masaka-Maya-24h'!L103)</f>
        <v>2</v>
      </c>
      <c r="M103" s="49">
        <f>AVERAGE('31.10 Masaka-Maya-24h'!M103,'02.11 Masaka-Maya-24h'!M103)</f>
        <v>5.5</v>
      </c>
      <c r="N103" s="49">
        <f>AVERAGE('31.10 Masaka-Maya-24h'!N103,'02.11 Masaka-Maya-24h'!N103)</f>
        <v>0</v>
      </c>
      <c r="O103" s="15">
        <f t="shared" si="35"/>
        <v>40</v>
      </c>
      <c r="P103" s="15">
        <f t="shared" si="36"/>
        <v>45.5</v>
      </c>
      <c r="R103" s="8"/>
      <c r="T103"/>
    </row>
    <row r="104" spans="2:20" ht="23.1" customHeight="1" x14ac:dyDescent="0.25">
      <c r="B104" s="25" t="s">
        <v>144</v>
      </c>
      <c r="C104" s="49">
        <f>AVERAGE('31.10 Masaka-Maya-24h'!C104,'02.11 Masaka-Maya-24h'!C104)</f>
        <v>5</v>
      </c>
      <c r="D104" s="49">
        <f>AVERAGE('31.10 Masaka-Maya-24h'!D104,'02.11 Masaka-Maya-24h'!D104)</f>
        <v>5</v>
      </c>
      <c r="E104" s="49">
        <f>AVERAGE('31.10 Masaka-Maya-24h'!E104,'02.11 Masaka-Maya-24h'!E104)</f>
        <v>0.5</v>
      </c>
      <c r="F104" s="49">
        <f>AVERAGE('31.10 Masaka-Maya-24h'!F104,'02.11 Masaka-Maya-24h'!F104)</f>
        <v>19</v>
      </c>
      <c r="G104" s="49">
        <f>AVERAGE('31.10 Masaka-Maya-24h'!G104,'02.11 Masaka-Maya-24h'!G104)</f>
        <v>1</v>
      </c>
      <c r="H104" s="49">
        <f>AVERAGE('31.10 Masaka-Maya-24h'!H104,'02.11 Masaka-Maya-24h'!H104)</f>
        <v>0</v>
      </c>
      <c r="I104" s="49">
        <f>AVERAGE('31.10 Masaka-Maya-24h'!I104,'02.11 Masaka-Maya-24h'!I104)</f>
        <v>5</v>
      </c>
      <c r="J104" s="49">
        <f>AVERAGE('31.10 Masaka-Maya-24h'!J104,'02.11 Masaka-Maya-24h'!J104)</f>
        <v>8</v>
      </c>
      <c r="K104" s="49">
        <f>AVERAGE('31.10 Masaka-Maya-24h'!K104,'02.11 Masaka-Maya-24h'!K104)</f>
        <v>3</v>
      </c>
      <c r="L104" s="49">
        <f>AVERAGE('31.10 Masaka-Maya-24h'!L104,'02.11 Masaka-Maya-24h'!L104)</f>
        <v>5.5</v>
      </c>
      <c r="M104" s="49">
        <f>AVERAGE('31.10 Masaka-Maya-24h'!M104,'02.11 Masaka-Maya-24h'!M104)</f>
        <v>14</v>
      </c>
      <c r="N104" s="49">
        <f>AVERAGE('31.10 Masaka-Maya-24h'!N104,'02.11 Masaka-Maya-24h'!N104)</f>
        <v>0</v>
      </c>
      <c r="O104" s="15">
        <f t="shared" si="35"/>
        <v>52</v>
      </c>
      <c r="P104" s="15">
        <f t="shared" si="36"/>
        <v>66</v>
      </c>
      <c r="R104" s="8"/>
      <c r="T104"/>
    </row>
    <row r="105" spans="2:20" ht="23.1" customHeight="1" x14ac:dyDescent="0.25">
      <c r="B105" s="23" t="s">
        <v>145</v>
      </c>
      <c r="C105" s="49">
        <f>AVERAGE('31.10 Masaka-Maya-24h'!C105,'02.11 Masaka-Maya-24h'!C105)</f>
        <v>7.5</v>
      </c>
      <c r="D105" s="49">
        <f>AVERAGE('31.10 Masaka-Maya-24h'!D105,'02.11 Masaka-Maya-24h'!D105)</f>
        <v>3</v>
      </c>
      <c r="E105" s="49">
        <f>AVERAGE('31.10 Masaka-Maya-24h'!E105,'02.11 Masaka-Maya-24h'!E105)</f>
        <v>1.5</v>
      </c>
      <c r="F105" s="49">
        <f>AVERAGE('31.10 Masaka-Maya-24h'!F105,'02.11 Masaka-Maya-24h'!F105)</f>
        <v>22.5</v>
      </c>
      <c r="G105" s="49">
        <f>AVERAGE('31.10 Masaka-Maya-24h'!G105,'02.11 Masaka-Maya-24h'!G105)</f>
        <v>1</v>
      </c>
      <c r="H105" s="49">
        <f>AVERAGE('31.10 Masaka-Maya-24h'!H105,'02.11 Masaka-Maya-24h'!H105)</f>
        <v>1.5</v>
      </c>
      <c r="I105" s="49">
        <f>AVERAGE('31.10 Masaka-Maya-24h'!I105,'02.11 Masaka-Maya-24h'!I105)</f>
        <v>8.5</v>
      </c>
      <c r="J105" s="49">
        <f>AVERAGE('31.10 Masaka-Maya-24h'!J105,'02.11 Masaka-Maya-24h'!J105)</f>
        <v>4</v>
      </c>
      <c r="K105" s="49">
        <f>AVERAGE('31.10 Masaka-Maya-24h'!K105,'02.11 Masaka-Maya-24h'!K105)</f>
        <v>1.5</v>
      </c>
      <c r="L105" s="49">
        <f>AVERAGE('31.10 Masaka-Maya-24h'!L105,'02.11 Masaka-Maya-24h'!L105)</f>
        <v>1.5</v>
      </c>
      <c r="M105" s="49">
        <f>AVERAGE('31.10 Masaka-Maya-24h'!M105,'02.11 Masaka-Maya-24h'!M105)</f>
        <v>15.5</v>
      </c>
      <c r="N105" s="49">
        <f>AVERAGE('31.10 Masaka-Maya-24h'!N105,'02.11 Masaka-Maya-24h'!N105)</f>
        <v>0</v>
      </c>
      <c r="O105" s="15">
        <f t="shared" si="35"/>
        <v>52.5</v>
      </c>
      <c r="P105" s="15">
        <f t="shared" si="36"/>
        <v>68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1956.4285714285711</v>
      </c>
      <c r="D106" s="16">
        <f t="shared" ref="D106:Q106" si="37">SUM(D10:D105)</f>
        <v>450.14285714285711</v>
      </c>
      <c r="E106" s="16">
        <f t="shared" si="37"/>
        <v>371.92857142857144</v>
      </c>
      <c r="F106" s="16">
        <f t="shared" si="37"/>
        <v>1697.4999999999998</v>
      </c>
      <c r="G106" s="16">
        <f t="shared" si="37"/>
        <v>135.35714285714286</v>
      </c>
      <c r="H106" s="16">
        <f t="shared" si="37"/>
        <v>159.35714285714283</v>
      </c>
      <c r="I106" s="16">
        <f t="shared" si="37"/>
        <v>1147.2142857142858</v>
      </c>
      <c r="J106" s="16">
        <f t="shared" si="37"/>
        <v>366.57142857142856</v>
      </c>
      <c r="K106" s="16">
        <f t="shared" si="37"/>
        <v>220.64285714285714</v>
      </c>
      <c r="L106" s="16">
        <f t="shared" si="37"/>
        <v>310.57142857142856</v>
      </c>
      <c r="M106" s="16">
        <f t="shared" si="37"/>
        <v>1546.8571428571424</v>
      </c>
      <c r="N106" s="16">
        <f t="shared" si="37"/>
        <v>0.2857142857142857</v>
      </c>
      <c r="O106" s="16">
        <f t="shared" si="37"/>
        <v>6816</v>
      </c>
      <c r="P106" s="16">
        <f t="shared" si="37"/>
        <v>8362.8571428571413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0.23394260334813802</v>
      </c>
      <c r="D107" s="43">
        <f t="shared" si="38"/>
        <v>5.3826443457464984E-2</v>
      </c>
      <c r="E107" s="43">
        <f t="shared" si="38"/>
        <v>4.4473864024598575E-2</v>
      </c>
      <c r="F107" s="43">
        <f t="shared" si="38"/>
        <v>0.20298086778271268</v>
      </c>
      <c r="G107" s="43">
        <f t="shared" si="38"/>
        <v>1.6185514178339602E-2</v>
      </c>
      <c r="H107" s="43">
        <f t="shared" si="38"/>
        <v>1.9055346771438334E-2</v>
      </c>
      <c r="I107" s="43">
        <f t="shared" si="38"/>
        <v>0.13717970618380598</v>
      </c>
      <c r="J107" s="43">
        <f t="shared" si="38"/>
        <v>4.3833276392210463E-2</v>
      </c>
      <c r="K107" s="43">
        <f t="shared" si="38"/>
        <v>2.6383669285958325E-2</v>
      </c>
      <c r="L107" s="43">
        <f t="shared" si="38"/>
        <v>3.7137000341646742E-2</v>
      </c>
      <c r="M107" s="43">
        <f t="shared" si="38"/>
        <v>0.18496754355995898</v>
      </c>
      <c r="N107" s="43">
        <f t="shared" si="38"/>
        <v>3.4164673727365909E-5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0.28703470824949695</v>
      </c>
      <c r="D108" s="44">
        <f t="shared" ref="D108:N108" si="39">D106/$O$106</f>
        <v>6.6042085848423873E-2</v>
      </c>
      <c r="E108" s="44">
        <f t="shared" si="39"/>
        <v>5.4566985244802149E-2</v>
      </c>
      <c r="F108" s="44">
        <f t="shared" si="39"/>
        <v>0.24904636150234738</v>
      </c>
      <c r="G108" s="44">
        <f t="shared" si="39"/>
        <v>1.9858735747820256E-2</v>
      </c>
      <c r="H108" s="44">
        <f t="shared" si="39"/>
        <v>2.3379862508383632E-2</v>
      </c>
      <c r="I108" s="44">
        <f t="shared" si="39"/>
        <v>0.16831195506371563</v>
      </c>
      <c r="J108" s="44">
        <f t="shared" si="39"/>
        <v>5.3781019450033531E-2</v>
      </c>
      <c r="K108" s="44">
        <f t="shared" si="39"/>
        <v>3.2371311200536552E-2</v>
      </c>
      <c r="L108" s="44">
        <f t="shared" si="39"/>
        <v>4.5565057008718976E-2</v>
      </c>
      <c r="M108" s="44"/>
      <c r="N108" s="44">
        <f t="shared" si="39"/>
        <v>4.1918175720992621E-5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tabSelected="1" view="pageBreakPreview" topLeftCell="H31" zoomScale="60" workbookViewId="0">
      <selection activeCell="AE46" sqref="AE4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'03.11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'03.11 Maya-Masaka'!G5:H5</f>
        <v>Maya</v>
      </c>
      <c r="H5" s="67"/>
      <c r="I5" s="14"/>
      <c r="J5" s="2" t="s">
        <v>5</v>
      </c>
      <c r="K5" s="66" t="str">
        <f>'03.11 Maya-Masaka'!K5:L5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'03.11 Maya-Masaka'!D6:E6</f>
        <v>Maya</v>
      </c>
      <c r="E6" s="67"/>
      <c r="F6" s="2" t="s">
        <v>2</v>
      </c>
      <c r="G6" s="66" t="str">
        <f>'03.11 Maya-Masaka'!G6:H6</f>
        <v>Masaka</v>
      </c>
      <c r="H6" s="67"/>
      <c r="J6" s="2" t="s">
        <v>21</v>
      </c>
      <c r="K6" s="66" t="str">
        <f>'03.11 Maya-Masaka'!K6:L6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AVERAGE('28.10 Maya-Masaka'!C10,'29.10 Maya-Masaka'!C10,'30.10 Maya-Masaka'!C10,'01.11 Maya-Masaka'!C10,'31.10 Maya-Masaka-24h'!C10,'02.11 Maya-Masaka-24h'!C10,'03.11 Maya-Masaka'!C10)</f>
        <v>20.428571428571427</v>
      </c>
      <c r="D10" s="49">
        <f>AVERAGE('28.10 Maya-Masaka'!D10,'29.10 Maya-Masaka'!D10,'30.10 Maya-Masaka'!D10,'01.11 Maya-Masaka'!D10,'31.10 Maya-Masaka-24h'!D10,'02.11 Maya-Masaka-24h'!D10,'03.11 Maya-Masaka'!D10)</f>
        <v>7.5714285714285712</v>
      </c>
      <c r="E10" s="49">
        <f>AVERAGE('28.10 Maya-Masaka'!E10,'29.10 Maya-Masaka'!E10,'30.10 Maya-Masaka'!E10,'01.11 Maya-Masaka'!E10,'31.10 Maya-Masaka-24h'!E10,'02.11 Maya-Masaka-24h'!E10,'03.11 Maya-Masaka'!E10)</f>
        <v>5</v>
      </c>
      <c r="F10" s="49">
        <f>AVERAGE('28.10 Maya-Masaka'!F10,'29.10 Maya-Masaka'!F10,'30.10 Maya-Masaka'!F10,'01.11 Maya-Masaka'!F10,'31.10 Maya-Masaka-24h'!F10,'02.11 Maya-Masaka-24h'!F10,'03.11 Maya-Masaka'!F10)</f>
        <v>16.142857142857142</v>
      </c>
      <c r="G10" s="49">
        <f>AVERAGE('28.10 Maya-Masaka'!G10,'29.10 Maya-Masaka'!G10,'30.10 Maya-Masaka'!G10,'01.11 Maya-Masaka'!G10,'31.10 Maya-Masaka-24h'!G10,'02.11 Maya-Masaka-24h'!G10,'03.11 Maya-Masaka'!G10)</f>
        <v>1.1428571428571428</v>
      </c>
      <c r="H10" s="49">
        <f>AVERAGE('28.10 Maya-Masaka'!H10,'29.10 Maya-Masaka'!H10,'30.10 Maya-Masaka'!H10,'01.11 Maya-Masaka'!H10,'31.10 Maya-Masaka-24h'!H10,'02.11 Maya-Masaka-24h'!H10,'03.11 Maya-Masaka'!H10)</f>
        <v>2</v>
      </c>
      <c r="I10" s="49">
        <f>AVERAGE('28.10 Maya-Masaka'!I10,'29.10 Maya-Masaka'!I10,'30.10 Maya-Masaka'!I10,'01.11 Maya-Masaka'!I10,'31.10 Maya-Masaka-24h'!I10,'02.11 Maya-Masaka-24h'!I10,'03.11 Maya-Masaka'!I10)</f>
        <v>7.8571428571428568</v>
      </c>
      <c r="J10" s="49">
        <f>AVERAGE('28.10 Maya-Masaka'!J10,'29.10 Maya-Masaka'!J10,'30.10 Maya-Masaka'!J10,'01.11 Maya-Masaka'!J10,'31.10 Maya-Masaka-24h'!J10,'02.11 Maya-Masaka-24h'!J10,'03.11 Maya-Masaka'!J10)</f>
        <v>1.5714285714285714</v>
      </c>
      <c r="K10" s="49">
        <f>AVERAGE('28.10 Maya-Masaka'!K10,'29.10 Maya-Masaka'!K10,'30.10 Maya-Masaka'!K10,'01.11 Maya-Masaka'!K10,'31.10 Maya-Masaka-24h'!K10,'02.11 Maya-Masaka-24h'!K10,'03.11 Maya-Masaka'!K10)</f>
        <v>1.4285714285714286</v>
      </c>
      <c r="L10" s="49">
        <f>AVERAGE('28.10 Maya-Masaka'!L10,'29.10 Maya-Masaka'!L10,'30.10 Maya-Masaka'!L10,'01.11 Maya-Masaka'!L10,'31.10 Maya-Masaka-24h'!L10,'02.11 Maya-Masaka-24h'!L10,'03.11 Maya-Masaka'!L10)</f>
        <v>1.1428571428571428</v>
      </c>
      <c r="M10" s="49">
        <f>AVERAGE('28.10 Maya-Masaka'!M10,'29.10 Maya-Masaka'!M10,'30.10 Maya-Masaka'!M10,'01.11 Maya-Masaka'!M10,'31.10 Maya-Masaka-24h'!M10,'02.11 Maya-Masaka-24h'!M10,'03.11 Maya-Masaka'!M10)</f>
        <v>11.714285714285714</v>
      </c>
      <c r="N10" s="49">
        <f>AVERAGE('28.10 Maya-Masaka'!N10,'29.10 Maya-Masaka'!N10,'30.10 Maya-Masaka'!N10,'01.11 Maya-Masaka'!N10,'31.10 Maya-Masaka-24h'!N10,'02.11 Maya-Masaka-24h'!N10,'03.11 Maya-Masaka'!N10)</f>
        <v>0</v>
      </c>
      <c r="O10" s="15">
        <f t="shared" ref="O10:O73" si="0">SUM(C10:L10,N10)</f>
        <v>64.285714285714278</v>
      </c>
      <c r="P10" s="15">
        <f t="shared" ref="P10:P73" si="1">SUM(C10:N10)</f>
        <v>75.999999999999986</v>
      </c>
      <c r="R10" s="1" t="s">
        <v>6</v>
      </c>
      <c r="S10" s="17">
        <f t="shared" ref="S10:AF10" si="2">SUM(C10:C13)</f>
        <v>106.14285714285714</v>
      </c>
      <c r="T10" s="17">
        <f t="shared" si="2"/>
        <v>28.714285714285715</v>
      </c>
      <c r="U10" s="17">
        <f t="shared" si="2"/>
        <v>21.285714285714288</v>
      </c>
      <c r="V10" s="17">
        <f t="shared" si="2"/>
        <v>66.142857142857139</v>
      </c>
      <c r="W10" s="17">
        <f t="shared" si="2"/>
        <v>4.8571428571428568</v>
      </c>
      <c r="X10" s="17">
        <f t="shared" si="2"/>
        <v>5.2857142857142856</v>
      </c>
      <c r="Y10" s="17">
        <f t="shared" si="2"/>
        <v>39.571428571428569</v>
      </c>
      <c r="Z10" s="17">
        <f t="shared" si="2"/>
        <v>11.285714285714286</v>
      </c>
      <c r="AA10" s="17">
        <f t="shared" si="2"/>
        <v>6.8571428571428568</v>
      </c>
      <c r="AB10" s="17">
        <f t="shared" si="2"/>
        <v>5.2857142857142847</v>
      </c>
      <c r="AC10" s="17">
        <f t="shared" si="2"/>
        <v>66.285714285714292</v>
      </c>
      <c r="AD10" s="17">
        <f t="shared" si="2"/>
        <v>0</v>
      </c>
      <c r="AE10" s="31">
        <f t="shared" si="2"/>
        <v>295.42857142857139</v>
      </c>
      <c r="AF10" s="31">
        <f t="shared" si="2"/>
        <v>361.71428571428572</v>
      </c>
    </row>
    <row r="11" spans="2:32" s="6" customFormat="1" ht="23.1" customHeight="1" x14ac:dyDescent="0.25">
      <c r="B11" s="23" t="s">
        <v>38</v>
      </c>
      <c r="C11" s="49">
        <f>AVERAGE('28.10 Maya-Masaka'!C11,'29.10 Maya-Masaka'!C11,'30.10 Maya-Masaka'!C11,'01.11 Maya-Masaka'!C11,'31.10 Maya-Masaka-24h'!C11,'02.11 Maya-Masaka-24h'!C11,'03.11 Maya-Masaka'!C11)</f>
        <v>25.428571428571427</v>
      </c>
      <c r="D11" s="49">
        <f>AVERAGE('28.10 Maya-Masaka'!D11,'29.10 Maya-Masaka'!D11,'30.10 Maya-Masaka'!D11,'01.11 Maya-Masaka'!D11,'31.10 Maya-Masaka-24h'!D11,'02.11 Maya-Masaka-24h'!D11,'03.11 Maya-Masaka'!D11)</f>
        <v>8.1428571428571423</v>
      </c>
      <c r="E11" s="49">
        <f>AVERAGE('28.10 Maya-Masaka'!E11,'29.10 Maya-Masaka'!E11,'30.10 Maya-Masaka'!E11,'01.11 Maya-Masaka'!E11,'31.10 Maya-Masaka-24h'!E11,'02.11 Maya-Masaka-24h'!E11,'03.11 Maya-Masaka'!E11)</f>
        <v>5.7142857142857144</v>
      </c>
      <c r="F11" s="49">
        <f>AVERAGE('28.10 Maya-Masaka'!F11,'29.10 Maya-Masaka'!F11,'30.10 Maya-Masaka'!F11,'01.11 Maya-Masaka'!F11,'31.10 Maya-Masaka-24h'!F11,'02.11 Maya-Masaka-24h'!F11,'03.11 Maya-Masaka'!F11)</f>
        <v>17</v>
      </c>
      <c r="G11" s="49">
        <f>AVERAGE('28.10 Maya-Masaka'!G11,'29.10 Maya-Masaka'!G11,'30.10 Maya-Masaka'!G11,'01.11 Maya-Masaka'!G11,'31.10 Maya-Masaka-24h'!G11,'02.11 Maya-Masaka-24h'!G11,'03.11 Maya-Masaka'!G11)</f>
        <v>1.7142857142857142</v>
      </c>
      <c r="H11" s="49">
        <f>AVERAGE('28.10 Maya-Masaka'!H11,'29.10 Maya-Masaka'!H11,'30.10 Maya-Masaka'!H11,'01.11 Maya-Masaka'!H11,'31.10 Maya-Masaka-24h'!H11,'02.11 Maya-Masaka-24h'!H11,'03.11 Maya-Masaka'!H11)</f>
        <v>1.4285714285714286</v>
      </c>
      <c r="I11" s="49">
        <f>AVERAGE('28.10 Maya-Masaka'!I11,'29.10 Maya-Masaka'!I11,'30.10 Maya-Masaka'!I11,'01.11 Maya-Masaka'!I11,'31.10 Maya-Masaka-24h'!I11,'02.11 Maya-Masaka-24h'!I11,'03.11 Maya-Masaka'!I11)</f>
        <v>10.142857142857142</v>
      </c>
      <c r="J11" s="49">
        <f>AVERAGE('28.10 Maya-Masaka'!J11,'29.10 Maya-Masaka'!J11,'30.10 Maya-Masaka'!J11,'01.11 Maya-Masaka'!J11,'31.10 Maya-Masaka-24h'!J11,'02.11 Maya-Masaka-24h'!J11,'03.11 Maya-Masaka'!J11)</f>
        <v>2.5714285714285716</v>
      </c>
      <c r="K11" s="49">
        <f>AVERAGE('28.10 Maya-Masaka'!K11,'29.10 Maya-Masaka'!K11,'30.10 Maya-Masaka'!K11,'01.11 Maya-Masaka'!K11,'31.10 Maya-Masaka-24h'!K11,'02.11 Maya-Masaka-24h'!K11,'03.11 Maya-Masaka'!K11)</f>
        <v>1.7142857142857142</v>
      </c>
      <c r="L11" s="49">
        <f>AVERAGE('28.10 Maya-Masaka'!L11,'29.10 Maya-Masaka'!L11,'30.10 Maya-Masaka'!L11,'01.11 Maya-Masaka'!L11,'31.10 Maya-Masaka-24h'!L11,'02.11 Maya-Masaka-24h'!L11,'03.11 Maya-Masaka'!L11)</f>
        <v>1.4285714285714286</v>
      </c>
      <c r="M11" s="49">
        <f>AVERAGE('28.10 Maya-Masaka'!M11,'29.10 Maya-Masaka'!M11,'30.10 Maya-Masaka'!M11,'01.11 Maya-Masaka'!M11,'31.10 Maya-Masaka-24h'!M11,'02.11 Maya-Masaka-24h'!M11,'03.11 Maya-Masaka'!M11)</f>
        <v>17</v>
      </c>
      <c r="N11" s="49">
        <f>AVERAGE('28.10 Maya-Masaka'!N11,'29.10 Maya-Masaka'!N11,'30.10 Maya-Masaka'!N11,'01.11 Maya-Masaka'!N11,'31.10 Maya-Masaka-24h'!N11,'02.11 Maya-Masaka-24h'!N11,'03.11 Maya-Masaka'!N11)</f>
        <v>0</v>
      </c>
      <c r="O11" s="15">
        <f t="shared" si="0"/>
        <v>75.285714285714278</v>
      </c>
      <c r="P11" s="15">
        <f t="shared" si="1"/>
        <v>92.285714285714278</v>
      </c>
      <c r="R11" s="1" t="s">
        <v>7</v>
      </c>
      <c r="S11" s="17">
        <f t="shared" ref="S11:AF11" si="3">SUM(C14:C17)</f>
        <v>127.85714285714285</v>
      </c>
      <c r="T11" s="17">
        <f t="shared" si="3"/>
        <v>33.857142857142861</v>
      </c>
      <c r="U11" s="17">
        <f t="shared" si="3"/>
        <v>18.142857142857142</v>
      </c>
      <c r="V11" s="17">
        <f t="shared" si="3"/>
        <v>85.714285714285708</v>
      </c>
      <c r="W11" s="17">
        <f t="shared" si="3"/>
        <v>5.8571428571428568</v>
      </c>
      <c r="X11" s="17">
        <f t="shared" si="3"/>
        <v>4.2857142857142856</v>
      </c>
      <c r="Y11" s="17">
        <f t="shared" si="3"/>
        <v>46.142857142857146</v>
      </c>
      <c r="Z11" s="17">
        <f t="shared" si="3"/>
        <v>13.857142857142856</v>
      </c>
      <c r="AA11" s="17">
        <f t="shared" si="3"/>
        <v>5.7142857142857144</v>
      </c>
      <c r="AB11" s="17">
        <f t="shared" si="3"/>
        <v>5.7142857142857144</v>
      </c>
      <c r="AC11" s="17">
        <f t="shared" si="3"/>
        <v>82</v>
      </c>
      <c r="AD11" s="17">
        <f t="shared" si="3"/>
        <v>0</v>
      </c>
      <c r="AE11" s="31">
        <f t="shared" si="3"/>
        <v>347.14285714285711</v>
      </c>
      <c r="AF11" s="31">
        <f t="shared" si="3"/>
        <v>429.14285714285711</v>
      </c>
    </row>
    <row r="12" spans="2:32" ht="23.1" customHeight="1" x14ac:dyDescent="0.25">
      <c r="B12" s="23" t="s">
        <v>39</v>
      </c>
      <c r="C12" s="49">
        <f>AVERAGE('28.10 Maya-Masaka'!C12,'29.10 Maya-Masaka'!C12,'30.10 Maya-Masaka'!C12,'01.11 Maya-Masaka'!C12,'31.10 Maya-Masaka-24h'!C12,'02.11 Maya-Masaka-24h'!C12,'03.11 Maya-Masaka'!C12)</f>
        <v>26.857142857142858</v>
      </c>
      <c r="D12" s="49">
        <f>AVERAGE('28.10 Maya-Masaka'!D12,'29.10 Maya-Masaka'!D12,'30.10 Maya-Masaka'!D12,'01.11 Maya-Masaka'!D12,'31.10 Maya-Masaka-24h'!D12,'02.11 Maya-Masaka-24h'!D12,'03.11 Maya-Masaka'!D12)</f>
        <v>6.4285714285714288</v>
      </c>
      <c r="E12" s="49">
        <f>AVERAGE('28.10 Maya-Masaka'!E12,'29.10 Maya-Masaka'!E12,'30.10 Maya-Masaka'!E12,'01.11 Maya-Masaka'!E12,'31.10 Maya-Masaka-24h'!E12,'02.11 Maya-Masaka-24h'!E12,'03.11 Maya-Masaka'!E12)</f>
        <v>6.4285714285714288</v>
      </c>
      <c r="F12" s="49">
        <f>AVERAGE('28.10 Maya-Masaka'!F12,'29.10 Maya-Masaka'!F12,'30.10 Maya-Masaka'!F12,'01.11 Maya-Masaka'!F12,'31.10 Maya-Masaka-24h'!F12,'02.11 Maya-Masaka-24h'!F12,'03.11 Maya-Masaka'!F12)</f>
        <v>15</v>
      </c>
      <c r="G12" s="49">
        <f>AVERAGE('28.10 Maya-Masaka'!G12,'29.10 Maya-Masaka'!G12,'30.10 Maya-Masaka'!G12,'01.11 Maya-Masaka'!G12,'31.10 Maya-Masaka-24h'!G12,'02.11 Maya-Masaka-24h'!G12,'03.11 Maya-Masaka'!G12)</f>
        <v>1.5714285714285714</v>
      </c>
      <c r="H12" s="49">
        <f>AVERAGE('28.10 Maya-Masaka'!H12,'29.10 Maya-Masaka'!H12,'30.10 Maya-Masaka'!H12,'01.11 Maya-Masaka'!H12,'31.10 Maya-Masaka-24h'!H12,'02.11 Maya-Masaka-24h'!H12,'03.11 Maya-Masaka'!H12)</f>
        <v>1.1428571428571428</v>
      </c>
      <c r="I12" s="49">
        <f>AVERAGE('28.10 Maya-Masaka'!I12,'29.10 Maya-Masaka'!I12,'30.10 Maya-Masaka'!I12,'01.11 Maya-Masaka'!I12,'31.10 Maya-Masaka-24h'!I12,'02.11 Maya-Masaka-24h'!I12,'03.11 Maya-Masaka'!I12)</f>
        <v>9</v>
      </c>
      <c r="J12" s="49">
        <f>AVERAGE('28.10 Maya-Masaka'!J12,'29.10 Maya-Masaka'!J12,'30.10 Maya-Masaka'!J12,'01.11 Maya-Masaka'!J12,'31.10 Maya-Masaka-24h'!J12,'02.11 Maya-Masaka-24h'!J12,'03.11 Maya-Masaka'!J12)</f>
        <v>4.1428571428571432</v>
      </c>
      <c r="K12" s="49">
        <f>AVERAGE('28.10 Maya-Masaka'!K12,'29.10 Maya-Masaka'!K12,'30.10 Maya-Masaka'!K12,'01.11 Maya-Masaka'!K12,'31.10 Maya-Masaka-24h'!K12,'02.11 Maya-Masaka-24h'!K12,'03.11 Maya-Masaka'!K12)</f>
        <v>1</v>
      </c>
      <c r="L12" s="49">
        <f>AVERAGE('28.10 Maya-Masaka'!L12,'29.10 Maya-Masaka'!L12,'30.10 Maya-Masaka'!L12,'01.11 Maya-Masaka'!L12,'31.10 Maya-Masaka-24h'!L12,'02.11 Maya-Masaka-24h'!L12,'03.11 Maya-Masaka'!L12)</f>
        <v>1.5714285714285714</v>
      </c>
      <c r="M12" s="49">
        <f>AVERAGE('28.10 Maya-Masaka'!M12,'29.10 Maya-Masaka'!M12,'30.10 Maya-Masaka'!M12,'01.11 Maya-Masaka'!M12,'31.10 Maya-Masaka-24h'!M12,'02.11 Maya-Masaka-24h'!M12,'03.11 Maya-Masaka'!M12)</f>
        <v>19</v>
      </c>
      <c r="N12" s="49">
        <f>AVERAGE('28.10 Maya-Masaka'!N12,'29.10 Maya-Masaka'!N12,'30.10 Maya-Masaka'!N12,'01.11 Maya-Masaka'!N12,'31.10 Maya-Masaka-24h'!N12,'02.11 Maya-Masaka-24h'!N12,'03.11 Maya-Masaka'!N12)</f>
        <v>0</v>
      </c>
      <c r="O12" s="15">
        <f t="shared" si="0"/>
        <v>73.142857142857139</v>
      </c>
      <c r="P12" s="15">
        <f t="shared" si="1"/>
        <v>92.142857142857139</v>
      </c>
      <c r="R12" s="1" t="s">
        <v>8</v>
      </c>
      <c r="S12" s="17">
        <f t="shared" ref="S12:AF12" si="4">SUM(C18:C21)</f>
        <v>120.57142857142858</v>
      </c>
      <c r="T12" s="17">
        <f t="shared" si="4"/>
        <v>36.857142857142861</v>
      </c>
      <c r="U12" s="17">
        <f t="shared" si="4"/>
        <v>20.428571428571431</v>
      </c>
      <c r="V12" s="17">
        <f t="shared" si="4"/>
        <v>86.714285714285708</v>
      </c>
      <c r="W12" s="17">
        <f t="shared" si="4"/>
        <v>5.4285714285714279</v>
      </c>
      <c r="X12" s="17">
        <f t="shared" si="4"/>
        <v>4.8571428571428577</v>
      </c>
      <c r="Y12" s="17">
        <f t="shared" si="4"/>
        <v>51.714285714285722</v>
      </c>
      <c r="Z12" s="17">
        <f t="shared" si="4"/>
        <v>15.571428571428571</v>
      </c>
      <c r="AA12" s="17">
        <f t="shared" si="4"/>
        <v>6.2857142857142856</v>
      </c>
      <c r="AB12" s="17">
        <f t="shared" si="4"/>
        <v>5.4285714285714279</v>
      </c>
      <c r="AC12" s="17">
        <f t="shared" si="4"/>
        <v>91.428571428571445</v>
      </c>
      <c r="AD12" s="17">
        <f t="shared" si="4"/>
        <v>0</v>
      </c>
      <c r="AE12" s="31">
        <f t="shared" si="4"/>
        <v>353.85714285714289</v>
      </c>
      <c r="AF12" s="31">
        <f t="shared" si="4"/>
        <v>445.28571428571428</v>
      </c>
    </row>
    <row r="13" spans="2:32" ht="23.1" customHeight="1" x14ac:dyDescent="0.25">
      <c r="B13" s="23" t="s">
        <v>40</v>
      </c>
      <c r="C13" s="49">
        <f>AVERAGE('28.10 Maya-Masaka'!C13,'29.10 Maya-Masaka'!C13,'30.10 Maya-Masaka'!C13,'01.11 Maya-Masaka'!C13,'31.10 Maya-Masaka-24h'!C13,'02.11 Maya-Masaka-24h'!C13,'03.11 Maya-Masaka'!C13)</f>
        <v>33.428571428571431</v>
      </c>
      <c r="D13" s="49">
        <f>AVERAGE('28.10 Maya-Masaka'!D13,'29.10 Maya-Masaka'!D13,'30.10 Maya-Masaka'!D13,'01.11 Maya-Masaka'!D13,'31.10 Maya-Masaka-24h'!D13,'02.11 Maya-Masaka-24h'!D13,'03.11 Maya-Masaka'!D13)</f>
        <v>6.5714285714285712</v>
      </c>
      <c r="E13" s="49">
        <f>AVERAGE('28.10 Maya-Masaka'!E13,'29.10 Maya-Masaka'!E13,'30.10 Maya-Masaka'!E13,'01.11 Maya-Masaka'!E13,'31.10 Maya-Masaka-24h'!E13,'02.11 Maya-Masaka-24h'!E13,'03.11 Maya-Masaka'!E13)</f>
        <v>4.1428571428571432</v>
      </c>
      <c r="F13" s="49">
        <f>AVERAGE('28.10 Maya-Masaka'!F13,'29.10 Maya-Masaka'!F13,'30.10 Maya-Masaka'!F13,'01.11 Maya-Masaka'!F13,'31.10 Maya-Masaka-24h'!F13,'02.11 Maya-Masaka-24h'!F13,'03.11 Maya-Masaka'!F13)</f>
        <v>18</v>
      </c>
      <c r="G13" s="49">
        <f>AVERAGE('28.10 Maya-Masaka'!G13,'29.10 Maya-Masaka'!G13,'30.10 Maya-Masaka'!G13,'01.11 Maya-Masaka'!G13,'31.10 Maya-Masaka-24h'!G13,'02.11 Maya-Masaka-24h'!G13,'03.11 Maya-Masaka'!G13)</f>
        <v>0.42857142857142855</v>
      </c>
      <c r="H13" s="49">
        <f>AVERAGE('28.10 Maya-Masaka'!H13,'29.10 Maya-Masaka'!H13,'30.10 Maya-Masaka'!H13,'01.11 Maya-Masaka'!H13,'31.10 Maya-Masaka-24h'!H13,'02.11 Maya-Masaka-24h'!H13,'03.11 Maya-Masaka'!H13)</f>
        <v>0.7142857142857143</v>
      </c>
      <c r="I13" s="49">
        <f>AVERAGE('28.10 Maya-Masaka'!I13,'29.10 Maya-Masaka'!I13,'30.10 Maya-Masaka'!I13,'01.11 Maya-Masaka'!I13,'31.10 Maya-Masaka-24h'!I13,'02.11 Maya-Masaka-24h'!I13,'03.11 Maya-Masaka'!I13)</f>
        <v>12.571428571428571</v>
      </c>
      <c r="J13" s="49">
        <f>AVERAGE('28.10 Maya-Masaka'!J13,'29.10 Maya-Masaka'!J13,'30.10 Maya-Masaka'!J13,'01.11 Maya-Masaka'!J13,'31.10 Maya-Masaka-24h'!J13,'02.11 Maya-Masaka-24h'!J13,'03.11 Maya-Masaka'!J13)</f>
        <v>3</v>
      </c>
      <c r="K13" s="49">
        <f>AVERAGE('28.10 Maya-Masaka'!K13,'29.10 Maya-Masaka'!K13,'30.10 Maya-Masaka'!K13,'01.11 Maya-Masaka'!K13,'31.10 Maya-Masaka-24h'!K13,'02.11 Maya-Masaka-24h'!K13,'03.11 Maya-Masaka'!K13)</f>
        <v>2.7142857142857144</v>
      </c>
      <c r="L13" s="49">
        <f>AVERAGE('28.10 Maya-Masaka'!L13,'29.10 Maya-Masaka'!L13,'30.10 Maya-Masaka'!L13,'01.11 Maya-Masaka'!L13,'31.10 Maya-Masaka-24h'!L13,'02.11 Maya-Masaka-24h'!L13,'03.11 Maya-Masaka'!L13)</f>
        <v>1.1428571428571428</v>
      </c>
      <c r="M13" s="49">
        <f>AVERAGE('28.10 Maya-Masaka'!M13,'29.10 Maya-Masaka'!M13,'30.10 Maya-Masaka'!M13,'01.11 Maya-Masaka'!M13,'31.10 Maya-Masaka-24h'!M13,'02.11 Maya-Masaka-24h'!M13,'03.11 Maya-Masaka'!M13)</f>
        <v>18.571428571428573</v>
      </c>
      <c r="N13" s="49">
        <f>AVERAGE('28.10 Maya-Masaka'!N13,'29.10 Maya-Masaka'!N13,'30.10 Maya-Masaka'!N13,'01.11 Maya-Masaka'!N13,'31.10 Maya-Masaka-24h'!N13,'02.11 Maya-Masaka-24h'!N13,'03.11 Maya-Masaka'!N13)</f>
        <v>0</v>
      </c>
      <c r="O13" s="15">
        <f t="shared" si="0"/>
        <v>82.714285714285708</v>
      </c>
      <c r="P13" s="15">
        <f t="shared" si="1"/>
        <v>101.28571428571428</v>
      </c>
      <c r="R13" s="1" t="s">
        <v>9</v>
      </c>
      <c r="S13" s="17">
        <f t="shared" ref="S13:AF13" si="5">SUM(C22:C25)</f>
        <v>148.14285714285717</v>
      </c>
      <c r="T13" s="17">
        <f t="shared" si="5"/>
        <v>40</v>
      </c>
      <c r="U13" s="17">
        <f t="shared" si="5"/>
        <v>18.428571428571427</v>
      </c>
      <c r="V13" s="17">
        <f t="shared" si="5"/>
        <v>110.71428571428571</v>
      </c>
      <c r="W13" s="17">
        <f t="shared" si="5"/>
        <v>8.9999999999999982</v>
      </c>
      <c r="X13" s="17">
        <f t="shared" si="5"/>
        <v>5.4285714285714279</v>
      </c>
      <c r="Y13" s="17">
        <f t="shared" si="5"/>
        <v>55.714285714285715</v>
      </c>
      <c r="Z13" s="17">
        <f t="shared" si="5"/>
        <v>14.428571428571429</v>
      </c>
      <c r="AA13" s="17">
        <f t="shared" si="5"/>
        <v>13.000000000000002</v>
      </c>
      <c r="AB13" s="17">
        <f t="shared" si="5"/>
        <v>9.8571428571428577</v>
      </c>
      <c r="AC13" s="17">
        <f t="shared" si="5"/>
        <v>102.42857142857143</v>
      </c>
      <c r="AD13" s="17">
        <f t="shared" si="5"/>
        <v>0</v>
      </c>
      <c r="AE13" s="31">
        <f t="shared" si="5"/>
        <v>424.71428571428567</v>
      </c>
      <c r="AF13" s="31">
        <f t="shared" si="5"/>
        <v>527.14285714285711</v>
      </c>
    </row>
    <row r="14" spans="2:32" ht="23.1" customHeight="1" x14ac:dyDescent="0.25">
      <c r="B14" s="23" t="s">
        <v>41</v>
      </c>
      <c r="C14" s="49">
        <f>AVERAGE('28.10 Maya-Masaka'!C14,'29.10 Maya-Masaka'!C14,'30.10 Maya-Masaka'!C14,'01.11 Maya-Masaka'!C14,'31.10 Maya-Masaka-24h'!C14,'02.11 Maya-Masaka-24h'!C14,'03.11 Maya-Masaka'!C14)</f>
        <v>29.428571428571427</v>
      </c>
      <c r="D14" s="49">
        <f>AVERAGE('28.10 Maya-Masaka'!D14,'29.10 Maya-Masaka'!D14,'30.10 Maya-Masaka'!D14,'01.11 Maya-Masaka'!D14,'31.10 Maya-Masaka-24h'!D14,'02.11 Maya-Masaka-24h'!D14,'03.11 Maya-Masaka'!D14)</f>
        <v>7.8571428571428568</v>
      </c>
      <c r="E14" s="49">
        <f>AVERAGE('28.10 Maya-Masaka'!E14,'29.10 Maya-Masaka'!E14,'30.10 Maya-Masaka'!E14,'01.11 Maya-Masaka'!E14,'31.10 Maya-Masaka-24h'!E14,'02.11 Maya-Masaka-24h'!E14,'03.11 Maya-Masaka'!E14)</f>
        <v>4.2857142857142856</v>
      </c>
      <c r="F14" s="49">
        <f>AVERAGE('28.10 Maya-Masaka'!F14,'29.10 Maya-Masaka'!F14,'30.10 Maya-Masaka'!F14,'01.11 Maya-Masaka'!F14,'31.10 Maya-Masaka-24h'!F14,'02.11 Maya-Masaka-24h'!F14,'03.11 Maya-Masaka'!F14)</f>
        <v>19</v>
      </c>
      <c r="G14" s="49">
        <f>AVERAGE('28.10 Maya-Masaka'!G14,'29.10 Maya-Masaka'!G14,'30.10 Maya-Masaka'!G14,'01.11 Maya-Masaka'!G14,'31.10 Maya-Masaka-24h'!G14,'02.11 Maya-Masaka-24h'!G14,'03.11 Maya-Masaka'!G14)</f>
        <v>1.7142857142857142</v>
      </c>
      <c r="H14" s="49">
        <f>AVERAGE('28.10 Maya-Masaka'!H14,'29.10 Maya-Masaka'!H14,'30.10 Maya-Masaka'!H14,'01.11 Maya-Masaka'!H14,'31.10 Maya-Masaka-24h'!H14,'02.11 Maya-Masaka-24h'!H14,'03.11 Maya-Masaka'!H14)</f>
        <v>1.7142857142857142</v>
      </c>
      <c r="I14" s="49">
        <f>AVERAGE('28.10 Maya-Masaka'!I14,'29.10 Maya-Masaka'!I14,'30.10 Maya-Masaka'!I14,'01.11 Maya-Masaka'!I14,'31.10 Maya-Masaka-24h'!I14,'02.11 Maya-Masaka-24h'!I14,'03.11 Maya-Masaka'!I14)</f>
        <v>13.285714285714286</v>
      </c>
      <c r="J14" s="49">
        <f>AVERAGE('28.10 Maya-Masaka'!J14,'29.10 Maya-Masaka'!J14,'30.10 Maya-Masaka'!J14,'01.11 Maya-Masaka'!J14,'31.10 Maya-Masaka-24h'!J14,'02.11 Maya-Masaka-24h'!J14,'03.11 Maya-Masaka'!J14)</f>
        <v>3</v>
      </c>
      <c r="K14" s="49">
        <f>AVERAGE('28.10 Maya-Masaka'!K14,'29.10 Maya-Masaka'!K14,'30.10 Maya-Masaka'!K14,'01.11 Maya-Masaka'!K14,'31.10 Maya-Masaka-24h'!K14,'02.11 Maya-Masaka-24h'!K14,'03.11 Maya-Masaka'!K14)</f>
        <v>1.4285714285714286</v>
      </c>
      <c r="L14" s="49">
        <f>AVERAGE('28.10 Maya-Masaka'!L14,'29.10 Maya-Masaka'!L14,'30.10 Maya-Masaka'!L14,'01.11 Maya-Masaka'!L14,'31.10 Maya-Masaka-24h'!L14,'02.11 Maya-Masaka-24h'!L14,'03.11 Maya-Masaka'!L14)</f>
        <v>1.5714285714285714</v>
      </c>
      <c r="M14" s="49">
        <f>AVERAGE('28.10 Maya-Masaka'!M14,'29.10 Maya-Masaka'!M14,'30.10 Maya-Masaka'!M14,'01.11 Maya-Masaka'!M14,'31.10 Maya-Masaka-24h'!M14,'02.11 Maya-Masaka-24h'!M14,'03.11 Maya-Masaka'!M14)</f>
        <v>16.857142857142858</v>
      </c>
      <c r="N14" s="49">
        <f>AVERAGE('28.10 Maya-Masaka'!N14,'29.10 Maya-Masaka'!N14,'30.10 Maya-Masaka'!N14,'01.11 Maya-Masaka'!N14,'31.10 Maya-Masaka-24h'!N14,'02.11 Maya-Masaka-24h'!N14,'03.11 Maya-Masaka'!N14)</f>
        <v>0</v>
      </c>
      <c r="O14" s="15">
        <f t="shared" si="0"/>
        <v>83.285714285714292</v>
      </c>
      <c r="P14" s="15">
        <f t="shared" si="1"/>
        <v>100.14285714285715</v>
      </c>
      <c r="R14" s="1" t="s">
        <v>10</v>
      </c>
      <c r="S14" s="17">
        <f t="shared" ref="S14:AF14" si="6">SUM(C26:C29)</f>
        <v>150.57142857142856</v>
      </c>
      <c r="T14" s="17">
        <f t="shared" si="6"/>
        <v>41.857142857142861</v>
      </c>
      <c r="U14" s="17">
        <f t="shared" si="6"/>
        <v>23.857142857142858</v>
      </c>
      <c r="V14" s="17">
        <f t="shared" si="6"/>
        <v>132.85714285714286</v>
      </c>
      <c r="W14" s="17">
        <f t="shared" si="6"/>
        <v>11.142857142857142</v>
      </c>
      <c r="X14" s="17">
        <f t="shared" si="6"/>
        <v>6.1428571428571423</v>
      </c>
      <c r="Y14" s="17">
        <f t="shared" si="6"/>
        <v>60.857142857142861</v>
      </c>
      <c r="Z14" s="17">
        <f t="shared" si="6"/>
        <v>15.571428571428573</v>
      </c>
      <c r="AA14" s="17">
        <f t="shared" si="6"/>
        <v>12.571428571428571</v>
      </c>
      <c r="AB14" s="17">
        <f t="shared" si="6"/>
        <v>9.2857142857142847</v>
      </c>
      <c r="AC14" s="17">
        <f t="shared" si="6"/>
        <v>104.57142857142858</v>
      </c>
      <c r="AD14" s="17">
        <f t="shared" si="6"/>
        <v>0</v>
      </c>
      <c r="AE14" s="31">
        <f t="shared" si="6"/>
        <v>464.71428571428567</v>
      </c>
      <c r="AF14" s="31">
        <f t="shared" si="6"/>
        <v>569.28571428571433</v>
      </c>
    </row>
    <row r="15" spans="2:32" ht="23.1" customHeight="1" x14ac:dyDescent="0.25">
      <c r="B15" s="23" t="s">
        <v>42</v>
      </c>
      <c r="C15" s="49">
        <f>AVERAGE('28.10 Maya-Masaka'!C15,'29.10 Maya-Masaka'!C15,'30.10 Maya-Masaka'!C15,'01.11 Maya-Masaka'!C15,'31.10 Maya-Masaka-24h'!C15,'02.11 Maya-Masaka-24h'!C15,'03.11 Maya-Masaka'!C15)</f>
        <v>32.285714285714285</v>
      </c>
      <c r="D15" s="49">
        <f>AVERAGE('28.10 Maya-Masaka'!D15,'29.10 Maya-Masaka'!D15,'30.10 Maya-Masaka'!D15,'01.11 Maya-Masaka'!D15,'31.10 Maya-Masaka-24h'!D15,'02.11 Maya-Masaka-24h'!D15,'03.11 Maya-Masaka'!D15)</f>
        <v>10.428571428571429</v>
      </c>
      <c r="E15" s="49">
        <f>AVERAGE('28.10 Maya-Masaka'!E15,'29.10 Maya-Masaka'!E15,'30.10 Maya-Masaka'!E15,'01.11 Maya-Masaka'!E15,'31.10 Maya-Masaka-24h'!E15,'02.11 Maya-Masaka-24h'!E15,'03.11 Maya-Masaka'!E15)</f>
        <v>6.1428571428571432</v>
      </c>
      <c r="F15" s="49">
        <f>AVERAGE('28.10 Maya-Masaka'!F15,'29.10 Maya-Masaka'!F15,'30.10 Maya-Masaka'!F15,'01.11 Maya-Masaka'!F15,'31.10 Maya-Masaka-24h'!F15,'02.11 Maya-Masaka-24h'!F15,'03.11 Maya-Masaka'!F15)</f>
        <v>24.571428571428573</v>
      </c>
      <c r="G15" s="49">
        <f>AVERAGE('28.10 Maya-Masaka'!G15,'29.10 Maya-Masaka'!G15,'30.10 Maya-Masaka'!G15,'01.11 Maya-Masaka'!G15,'31.10 Maya-Masaka-24h'!G15,'02.11 Maya-Masaka-24h'!G15,'03.11 Maya-Masaka'!G15)</f>
        <v>1.8571428571428572</v>
      </c>
      <c r="H15" s="49">
        <f>AVERAGE('28.10 Maya-Masaka'!H15,'29.10 Maya-Masaka'!H15,'30.10 Maya-Masaka'!H15,'01.11 Maya-Masaka'!H15,'31.10 Maya-Masaka-24h'!H15,'02.11 Maya-Masaka-24h'!H15,'03.11 Maya-Masaka'!H15)</f>
        <v>1.4285714285714286</v>
      </c>
      <c r="I15" s="49">
        <f>AVERAGE('28.10 Maya-Masaka'!I15,'29.10 Maya-Masaka'!I15,'30.10 Maya-Masaka'!I15,'01.11 Maya-Masaka'!I15,'31.10 Maya-Masaka-24h'!I15,'02.11 Maya-Masaka-24h'!I15,'03.11 Maya-Masaka'!I15)</f>
        <v>11.428571428571429</v>
      </c>
      <c r="J15" s="49">
        <f>AVERAGE('28.10 Maya-Masaka'!J15,'29.10 Maya-Masaka'!J15,'30.10 Maya-Masaka'!J15,'01.11 Maya-Masaka'!J15,'31.10 Maya-Masaka-24h'!J15,'02.11 Maya-Masaka-24h'!J15,'03.11 Maya-Masaka'!J15)</f>
        <v>2.4285714285714284</v>
      </c>
      <c r="K15" s="49">
        <f>AVERAGE('28.10 Maya-Masaka'!K15,'29.10 Maya-Masaka'!K15,'30.10 Maya-Masaka'!K15,'01.11 Maya-Masaka'!K15,'31.10 Maya-Masaka-24h'!K15,'02.11 Maya-Masaka-24h'!K15,'03.11 Maya-Masaka'!K15)</f>
        <v>1.7142857142857142</v>
      </c>
      <c r="L15" s="49">
        <f>AVERAGE('28.10 Maya-Masaka'!L15,'29.10 Maya-Masaka'!L15,'30.10 Maya-Masaka'!L15,'01.11 Maya-Masaka'!L15,'31.10 Maya-Masaka-24h'!L15,'02.11 Maya-Masaka-24h'!L15,'03.11 Maya-Masaka'!L15)</f>
        <v>1.7142857142857142</v>
      </c>
      <c r="M15" s="49">
        <f>AVERAGE('28.10 Maya-Masaka'!M15,'29.10 Maya-Masaka'!M15,'30.10 Maya-Masaka'!M15,'01.11 Maya-Masaka'!M15,'31.10 Maya-Masaka-24h'!M15,'02.11 Maya-Masaka-24h'!M15,'03.11 Maya-Masaka'!M15)</f>
        <v>19.714285714285715</v>
      </c>
      <c r="N15" s="49">
        <f>AVERAGE('28.10 Maya-Masaka'!N15,'29.10 Maya-Masaka'!N15,'30.10 Maya-Masaka'!N15,'01.11 Maya-Masaka'!N15,'31.10 Maya-Masaka-24h'!N15,'02.11 Maya-Masaka-24h'!N15,'03.11 Maya-Masaka'!N15)</f>
        <v>0</v>
      </c>
      <c r="O15" s="15">
        <f t="shared" si="0"/>
        <v>94</v>
      </c>
      <c r="P15" s="15">
        <f t="shared" si="1"/>
        <v>113.71428571428572</v>
      </c>
      <c r="R15" s="1" t="s">
        <v>11</v>
      </c>
      <c r="S15" s="17">
        <f t="shared" ref="S15:AF15" si="7">SUM(C30:C33)</f>
        <v>161.57142857142858</v>
      </c>
      <c r="T15" s="17">
        <f t="shared" si="7"/>
        <v>37.714285714285715</v>
      </c>
      <c r="U15" s="17">
        <f t="shared" si="7"/>
        <v>25.142857142857146</v>
      </c>
      <c r="V15" s="17">
        <f t="shared" si="7"/>
        <v>119.28571428571429</v>
      </c>
      <c r="W15" s="17">
        <f t="shared" si="7"/>
        <v>7.2857142857142865</v>
      </c>
      <c r="X15" s="17">
        <f t="shared" si="7"/>
        <v>7.7142857142857144</v>
      </c>
      <c r="Y15" s="17">
        <f t="shared" si="7"/>
        <v>64.857142857142861</v>
      </c>
      <c r="Z15" s="17">
        <f t="shared" si="7"/>
        <v>17.428571428571427</v>
      </c>
      <c r="AA15" s="17">
        <f t="shared" si="7"/>
        <v>7.8571428571428577</v>
      </c>
      <c r="AB15" s="17">
        <f t="shared" si="7"/>
        <v>7.2857142857142865</v>
      </c>
      <c r="AC15" s="17">
        <f t="shared" si="7"/>
        <v>111</v>
      </c>
      <c r="AD15" s="17">
        <f t="shared" si="7"/>
        <v>0</v>
      </c>
      <c r="AE15" s="31">
        <f t="shared" si="7"/>
        <v>456.14285714285722</v>
      </c>
      <c r="AF15" s="31">
        <f t="shared" si="7"/>
        <v>567.14285714285711</v>
      </c>
    </row>
    <row r="16" spans="2:32" ht="23.1" customHeight="1" x14ac:dyDescent="0.25">
      <c r="B16" s="23" t="s">
        <v>43</v>
      </c>
      <c r="C16" s="49">
        <f>AVERAGE('28.10 Maya-Masaka'!C16,'29.10 Maya-Masaka'!C16,'30.10 Maya-Masaka'!C16,'01.11 Maya-Masaka'!C16,'31.10 Maya-Masaka-24h'!C16,'02.11 Maya-Masaka-24h'!C16,'03.11 Maya-Masaka'!C16)</f>
        <v>35.571428571428569</v>
      </c>
      <c r="D16" s="49">
        <f>AVERAGE('28.10 Maya-Masaka'!D16,'29.10 Maya-Masaka'!D16,'30.10 Maya-Masaka'!D16,'01.11 Maya-Masaka'!D16,'31.10 Maya-Masaka-24h'!D16,'02.11 Maya-Masaka-24h'!D16,'03.11 Maya-Masaka'!D16)</f>
        <v>8.4285714285714288</v>
      </c>
      <c r="E16" s="49">
        <f>AVERAGE('28.10 Maya-Masaka'!E16,'29.10 Maya-Masaka'!E16,'30.10 Maya-Masaka'!E16,'01.11 Maya-Masaka'!E16,'31.10 Maya-Masaka-24h'!E16,'02.11 Maya-Masaka-24h'!E16,'03.11 Maya-Masaka'!E16)</f>
        <v>3.8571428571428572</v>
      </c>
      <c r="F16" s="49">
        <f>AVERAGE('28.10 Maya-Masaka'!F16,'29.10 Maya-Masaka'!F16,'30.10 Maya-Masaka'!F16,'01.11 Maya-Masaka'!F16,'31.10 Maya-Masaka-24h'!F16,'02.11 Maya-Masaka-24h'!F16,'03.11 Maya-Masaka'!F16)</f>
        <v>21.714285714285715</v>
      </c>
      <c r="G16" s="49">
        <f>AVERAGE('28.10 Maya-Masaka'!G16,'29.10 Maya-Masaka'!G16,'30.10 Maya-Masaka'!G16,'01.11 Maya-Masaka'!G16,'31.10 Maya-Masaka-24h'!G16,'02.11 Maya-Masaka-24h'!G16,'03.11 Maya-Masaka'!G16)</f>
        <v>1</v>
      </c>
      <c r="H16" s="49">
        <f>AVERAGE('28.10 Maya-Masaka'!H16,'29.10 Maya-Masaka'!H16,'30.10 Maya-Masaka'!H16,'01.11 Maya-Masaka'!H16,'31.10 Maya-Masaka-24h'!H16,'02.11 Maya-Masaka-24h'!H16,'03.11 Maya-Masaka'!H16)</f>
        <v>0.7142857142857143</v>
      </c>
      <c r="I16" s="49">
        <f>AVERAGE('28.10 Maya-Masaka'!I16,'29.10 Maya-Masaka'!I16,'30.10 Maya-Masaka'!I16,'01.11 Maya-Masaka'!I16,'31.10 Maya-Masaka-24h'!I16,'02.11 Maya-Masaka-24h'!I16,'03.11 Maya-Masaka'!I16)</f>
        <v>12</v>
      </c>
      <c r="J16" s="49">
        <f>AVERAGE('28.10 Maya-Masaka'!J16,'29.10 Maya-Masaka'!J16,'30.10 Maya-Masaka'!J16,'01.11 Maya-Masaka'!J16,'31.10 Maya-Masaka-24h'!J16,'02.11 Maya-Masaka-24h'!J16,'03.11 Maya-Masaka'!J16)</f>
        <v>4.8571428571428568</v>
      </c>
      <c r="K16" s="49">
        <f>AVERAGE('28.10 Maya-Masaka'!K16,'29.10 Maya-Masaka'!K16,'30.10 Maya-Masaka'!K16,'01.11 Maya-Masaka'!K16,'31.10 Maya-Masaka-24h'!K16,'02.11 Maya-Masaka-24h'!K16,'03.11 Maya-Masaka'!K16)</f>
        <v>0.7142857142857143</v>
      </c>
      <c r="L16" s="49">
        <f>AVERAGE('28.10 Maya-Masaka'!L16,'29.10 Maya-Masaka'!L16,'30.10 Maya-Masaka'!L16,'01.11 Maya-Masaka'!L16,'31.10 Maya-Masaka-24h'!L16,'02.11 Maya-Masaka-24h'!L16,'03.11 Maya-Masaka'!L16)</f>
        <v>1.1428571428571428</v>
      </c>
      <c r="M16" s="49">
        <f>AVERAGE('28.10 Maya-Masaka'!M16,'29.10 Maya-Masaka'!M16,'30.10 Maya-Masaka'!M16,'01.11 Maya-Masaka'!M16,'31.10 Maya-Masaka-24h'!M16,'02.11 Maya-Masaka-24h'!M16,'03.11 Maya-Masaka'!M16)</f>
        <v>22.714285714285715</v>
      </c>
      <c r="N16" s="49">
        <f>AVERAGE('28.10 Maya-Masaka'!N16,'29.10 Maya-Masaka'!N16,'30.10 Maya-Masaka'!N16,'01.11 Maya-Masaka'!N16,'31.10 Maya-Masaka-24h'!N16,'02.11 Maya-Masaka-24h'!N16,'03.11 Maya-Masaka'!N16)</f>
        <v>0</v>
      </c>
      <c r="O16" s="15">
        <f t="shared" si="0"/>
        <v>89.999999999999986</v>
      </c>
      <c r="P16" s="15">
        <f t="shared" si="1"/>
        <v>112.71428571428569</v>
      </c>
      <c r="R16" s="1" t="s">
        <v>12</v>
      </c>
      <c r="S16" s="17">
        <f t="shared" ref="S16:AF16" si="8">SUM(C34:C37)</f>
        <v>168.71428571428572</v>
      </c>
      <c r="T16" s="17">
        <f t="shared" si="8"/>
        <v>30.285714285714285</v>
      </c>
      <c r="U16" s="17">
        <f t="shared" si="8"/>
        <v>23.714285714285715</v>
      </c>
      <c r="V16" s="17">
        <f t="shared" si="8"/>
        <v>122.14285714285714</v>
      </c>
      <c r="W16" s="17">
        <f t="shared" si="8"/>
        <v>7.7142857142857135</v>
      </c>
      <c r="X16" s="17">
        <f t="shared" si="8"/>
        <v>6.7142857142857144</v>
      </c>
      <c r="Y16" s="17">
        <f t="shared" si="8"/>
        <v>67</v>
      </c>
      <c r="Z16" s="17">
        <f t="shared" si="8"/>
        <v>20</v>
      </c>
      <c r="AA16" s="17">
        <f t="shared" si="8"/>
        <v>10.285714285714285</v>
      </c>
      <c r="AB16" s="17">
        <f t="shared" si="8"/>
        <v>9.5714285714285712</v>
      </c>
      <c r="AC16" s="17">
        <f t="shared" si="8"/>
        <v>102</v>
      </c>
      <c r="AD16" s="17">
        <f t="shared" si="8"/>
        <v>0</v>
      </c>
      <c r="AE16" s="31">
        <f t="shared" si="8"/>
        <v>466.14285714285711</v>
      </c>
      <c r="AF16" s="31">
        <f t="shared" si="8"/>
        <v>568.14285714285711</v>
      </c>
    </row>
    <row r="17" spans="2:32" ht="23.1" customHeight="1" x14ac:dyDescent="0.25">
      <c r="B17" s="23" t="s">
        <v>44</v>
      </c>
      <c r="C17" s="49">
        <f>AVERAGE('28.10 Maya-Masaka'!C17,'29.10 Maya-Masaka'!C17,'30.10 Maya-Masaka'!C17,'01.11 Maya-Masaka'!C17,'31.10 Maya-Masaka-24h'!C17,'02.11 Maya-Masaka-24h'!C17,'03.11 Maya-Masaka'!C17)</f>
        <v>30.571428571428573</v>
      </c>
      <c r="D17" s="49">
        <f>AVERAGE('28.10 Maya-Masaka'!D17,'29.10 Maya-Masaka'!D17,'30.10 Maya-Masaka'!D17,'01.11 Maya-Masaka'!D17,'31.10 Maya-Masaka-24h'!D17,'02.11 Maya-Masaka-24h'!D17,'03.11 Maya-Masaka'!D17)</f>
        <v>7.1428571428571432</v>
      </c>
      <c r="E17" s="49">
        <f>AVERAGE('28.10 Maya-Masaka'!E17,'29.10 Maya-Masaka'!E17,'30.10 Maya-Masaka'!E17,'01.11 Maya-Masaka'!E17,'31.10 Maya-Masaka-24h'!E17,'02.11 Maya-Masaka-24h'!E17,'03.11 Maya-Masaka'!E17)</f>
        <v>3.8571428571428572</v>
      </c>
      <c r="F17" s="49">
        <f>AVERAGE('28.10 Maya-Masaka'!F17,'29.10 Maya-Masaka'!F17,'30.10 Maya-Masaka'!F17,'01.11 Maya-Masaka'!F17,'31.10 Maya-Masaka-24h'!F17,'02.11 Maya-Masaka-24h'!F17,'03.11 Maya-Masaka'!F17)</f>
        <v>20.428571428571427</v>
      </c>
      <c r="G17" s="49">
        <f>AVERAGE('28.10 Maya-Masaka'!G17,'29.10 Maya-Masaka'!G17,'30.10 Maya-Masaka'!G17,'01.11 Maya-Masaka'!G17,'31.10 Maya-Masaka-24h'!G17,'02.11 Maya-Masaka-24h'!G17,'03.11 Maya-Masaka'!G17)</f>
        <v>1.2857142857142858</v>
      </c>
      <c r="H17" s="49">
        <f>AVERAGE('28.10 Maya-Masaka'!H17,'29.10 Maya-Masaka'!H17,'30.10 Maya-Masaka'!H17,'01.11 Maya-Masaka'!H17,'31.10 Maya-Masaka-24h'!H17,'02.11 Maya-Masaka-24h'!H17,'03.11 Maya-Masaka'!H17)</f>
        <v>0.42857142857142855</v>
      </c>
      <c r="I17" s="49">
        <f>AVERAGE('28.10 Maya-Masaka'!I17,'29.10 Maya-Masaka'!I17,'30.10 Maya-Masaka'!I17,'01.11 Maya-Masaka'!I17,'31.10 Maya-Masaka-24h'!I17,'02.11 Maya-Masaka-24h'!I17,'03.11 Maya-Masaka'!I17)</f>
        <v>9.4285714285714288</v>
      </c>
      <c r="J17" s="49">
        <f>AVERAGE('28.10 Maya-Masaka'!J17,'29.10 Maya-Masaka'!J17,'30.10 Maya-Masaka'!J17,'01.11 Maya-Masaka'!J17,'31.10 Maya-Masaka-24h'!J17,'02.11 Maya-Masaka-24h'!J17,'03.11 Maya-Masaka'!J17)</f>
        <v>3.5714285714285716</v>
      </c>
      <c r="K17" s="49">
        <f>AVERAGE('28.10 Maya-Masaka'!K17,'29.10 Maya-Masaka'!K17,'30.10 Maya-Masaka'!K17,'01.11 Maya-Masaka'!K17,'31.10 Maya-Masaka-24h'!K17,'02.11 Maya-Masaka-24h'!K17,'03.11 Maya-Masaka'!K17)</f>
        <v>1.8571428571428572</v>
      </c>
      <c r="L17" s="49">
        <f>AVERAGE('28.10 Maya-Masaka'!L17,'29.10 Maya-Masaka'!L17,'30.10 Maya-Masaka'!L17,'01.11 Maya-Masaka'!L17,'31.10 Maya-Masaka-24h'!L17,'02.11 Maya-Masaka-24h'!L17,'03.11 Maya-Masaka'!L17)</f>
        <v>1.2857142857142858</v>
      </c>
      <c r="M17" s="49">
        <f>AVERAGE('28.10 Maya-Masaka'!M17,'29.10 Maya-Masaka'!M17,'30.10 Maya-Masaka'!M17,'01.11 Maya-Masaka'!M17,'31.10 Maya-Masaka-24h'!M17,'02.11 Maya-Masaka-24h'!M17,'03.11 Maya-Masaka'!M17)</f>
        <v>22.714285714285715</v>
      </c>
      <c r="N17" s="49">
        <f>AVERAGE('28.10 Maya-Masaka'!N17,'29.10 Maya-Masaka'!N17,'30.10 Maya-Masaka'!N17,'01.11 Maya-Masaka'!N17,'31.10 Maya-Masaka-24h'!N17,'02.11 Maya-Masaka-24h'!N17,'03.11 Maya-Masaka'!N17)</f>
        <v>0</v>
      </c>
      <c r="O17" s="15">
        <f t="shared" si="0"/>
        <v>79.857142857142861</v>
      </c>
      <c r="P17" s="15">
        <f t="shared" si="1"/>
        <v>102.57142857142858</v>
      </c>
      <c r="R17" s="1" t="s">
        <v>13</v>
      </c>
      <c r="S17" s="17">
        <f t="shared" ref="S17:AF17" si="9">SUM(C38:C41)</f>
        <v>157.57142857142856</v>
      </c>
      <c r="T17" s="17">
        <f t="shared" si="9"/>
        <v>34.428571428571431</v>
      </c>
      <c r="U17" s="17">
        <f t="shared" si="9"/>
        <v>29.857142857142858</v>
      </c>
      <c r="V17" s="17">
        <f t="shared" si="9"/>
        <v>109.71428571428571</v>
      </c>
      <c r="W17" s="17">
        <f t="shared" si="9"/>
        <v>7.2857142857142856</v>
      </c>
      <c r="X17" s="17">
        <f t="shared" si="9"/>
        <v>6.7142857142857135</v>
      </c>
      <c r="Y17" s="17">
        <f t="shared" si="9"/>
        <v>66.285714285714278</v>
      </c>
      <c r="Z17" s="17">
        <f t="shared" si="9"/>
        <v>21</v>
      </c>
      <c r="AA17" s="17">
        <f t="shared" si="9"/>
        <v>8.4285714285714288</v>
      </c>
      <c r="AB17" s="17">
        <f t="shared" si="9"/>
        <v>7.1428571428571423</v>
      </c>
      <c r="AC17" s="17">
        <f t="shared" si="9"/>
        <v>90.428571428571416</v>
      </c>
      <c r="AD17" s="17">
        <f t="shared" si="9"/>
        <v>0.14285714285714285</v>
      </c>
      <c r="AE17" s="31">
        <f t="shared" si="9"/>
        <v>448.57142857142856</v>
      </c>
      <c r="AF17" s="31">
        <f t="shared" si="9"/>
        <v>539</v>
      </c>
    </row>
    <row r="18" spans="2:32" ht="23.1" customHeight="1" x14ac:dyDescent="0.25">
      <c r="B18" s="23" t="s">
        <v>45</v>
      </c>
      <c r="C18" s="49">
        <f>AVERAGE('28.10 Maya-Masaka'!C18,'29.10 Maya-Masaka'!C18,'30.10 Maya-Masaka'!C18,'01.11 Maya-Masaka'!C18,'31.10 Maya-Masaka-24h'!C18,'02.11 Maya-Masaka-24h'!C18,'03.11 Maya-Masaka'!C18)</f>
        <v>33.428571428571431</v>
      </c>
      <c r="D18" s="49">
        <f>AVERAGE('28.10 Maya-Masaka'!D18,'29.10 Maya-Masaka'!D18,'30.10 Maya-Masaka'!D18,'01.11 Maya-Masaka'!D18,'31.10 Maya-Masaka-24h'!D18,'02.11 Maya-Masaka-24h'!D18,'03.11 Maya-Masaka'!D18)</f>
        <v>9.2857142857142865</v>
      </c>
      <c r="E18" s="49">
        <f>AVERAGE('28.10 Maya-Masaka'!E18,'29.10 Maya-Masaka'!E18,'30.10 Maya-Masaka'!E18,'01.11 Maya-Masaka'!E18,'31.10 Maya-Masaka-24h'!E18,'02.11 Maya-Masaka-24h'!E18,'03.11 Maya-Masaka'!E18)</f>
        <v>5.8571428571428568</v>
      </c>
      <c r="F18" s="49">
        <f>AVERAGE('28.10 Maya-Masaka'!F18,'29.10 Maya-Masaka'!F18,'30.10 Maya-Masaka'!F18,'01.11 Maya-Masaka'!F18,'31.10 Maya-Masaka-24h'!F18,'02.11 Maya-Masaka-24h'!F18,'03.11 Maya-Masaka'!F18)</f>
        <v>21.857142857142858</v>
      </c>
      <c r="G18" s="49">
        <f>AVERAGE('28.10 Maya-Masaka'!G18,'29.10 Maya-Masaka'!G18,'30.10 Maya-Masaka'!G18,'01.11 Maya-Masaka'!G18,'31.10 Maya-Masaka-24h'!G18,'02.11 Maya-Masaka-24h'!G18,'03.11 Maya-Masaka'!G18)</f>
        <v>0.8571428571428571</v>
      </c>
      <c r="H18" s="49">
        <f>AVERAGE('28.10 Maya-Masaka'!H18,'29.10 Maya-Masaka'!H18,'30.10 Maya-Masaka'!H18,'01.11 Maya-Masaka'!H18,'31.10 Maya-Masaka-24h'!H18,'02.11 Maya-Masaka-24h'!H18,'03.11 Maya-Masaka'!H18)</f>
        <v>0.8571428571428571</v>
      </c>
      <c r="I18" s="49">
        <f>AVERAGE('28.10 Maya-Masaka'!I18,'29.10 Maya-Masaka'!I18,'30.10 Maya-Masaka'!I18,'01.11 Maya-Masaka'!I18,'31.10 Maya-Masaka-24h'!I18,'02.11 Maya-Masaka-24h'!I18,'03.11 Maya-Masaka'!I18)</f>
        <v>13.142857142857142</v>
      </c>
      <c r="J18" s="49">
        <f>AVERAGE('28.10 Maya-Masaka'!J18,'29.10 Maya-Masaka'!J18,'30.10 Maya-Masaka'!J18,'01.11 Maya-Masaka'!J18,'31.10 Maya-Masaka-24h'!J18,'02.11 Maya-Masaka-24h'!J18,'03.11 Maya-Masaka'!J18)</f>
        <v>5.4285714285714288</v>
      </c>
      <c r="K18" s="49">
        <f>AVERAGE('28.10 Maya-Masaka'!K18,'29.10 Maya-Masaka'!K18,'30.10 Maya-Masaka'!K18,'01.11 Maya-Masaka'!K18,'31.10 Maya-Masaka-24h'!K18,'02.11 Maya-Masaka-24h'!K18,'03.11 Maya-Masaka'!K18)</f>
        <v>2</v>
      </c>
      <c r="L18" s="49">
        <f>AVERAGE('28.10 Maya-Masaka'!L18,'29.10 Maya-Masaka'!L18,'30.10 Maya-Masaka'!L18,'01.11 Maya-Masaka'!L18,'31.10 Maya-Masaka-24h'!L18,'02.11 Maya-Masaka-24h'!L18,'03.11 Maya-Masaka'!L18)</f>
        <v>0.8571428571428571</v>
      </c>
      <c r="M18" s="49">
        <f>AVERAGE('28.10 Maya-Masaka'!M18,'29.10 Maya-Masaka'!M18,'30.10 Maya-Masaka'!M18,'01.11 Maya-Masaka'!M18,'31.10 Maya-Masaka-24h'!M18,'02.11 Maya-Masaka-24h'!M18,'03.11 Maya-Masaka'!M18)</f>
        <v>20.142857142857142</v>
      </c>
      <c r="N18" s="49">
        <f>AVERAGE('28.10 Maya-Masaka'!N18,'29.10 Maya-Masaka'!N18,'30.10 Maya-Masaka'!N18,'01.11 Maya-Masaka'!N18,'31.10 Maya-Masaka-24h'!N18,'02.11 Maya-Masaka-24h'!N18,'03.11 Maya-Masaka'!N18)</f>
        <v>0</v>
      </c>
      <c r="O18" s="15">
        <f t="shared" si="0"/>
        <v>93.571428571428584</v>
      </c>
      <c r="P18" s="15">
        <f t="shared" si="1"/>
        <v>113.71428571428572</v>
      </c>
      <c r="R18" s="1" t="s">
        <v>14</v>
      </c>
      <c r="S18" s="17">
        <f t="shared" ref="S18:AF18" si="10">SUM(C42:C45)</f>
        <v>147.57142857142858</v>
      </c>
      <c r="T18" s="17">
        <f t="shared" si="10"/>
        <v>32.142857142857139</v>
      </c>
      <c r="U18" s="17">
        <f t="shared" si="10"/>
        <v>21.857142857142858</v>
      </c>
      <c r="V18" s="17">
        <f t="shared" si="10"/>
        <v>103.14285714285714</v>
      </c>
      <c r="W18" s="17">
        <f t="shared" si="10"/>
        <v>5</v>
      </c>
      <c r="X18" s="17">
        <f t="shared" si="10"/>
        <v>7.4285714285714279</v>
      </c>
      <c r="Y18" s="17">
        <f t="shared" si="10"/>
        <v>71.142857142857139</v>
      </c>
      <c r="Z18" s="17">
        <f t="shared" si="10"/>
        <v>21.857142857142854</v>
      </c>
      <c r="AA18" s="17">
        <f t="shared" si="10"/>
        <v>5.1428571428571423</v>
      </c>
      <c r="AB18" s="17">
        <f t="shared" si="10"/>
        <v>9.7142857142857153</v>
      </c>
      <c r="AC18" s="17">
        <f t="shared" si="10"/>
        <v>85.571428571428569</v>
      </c>
      <c r="AD18" s="17">
        <f t="shared" si="10"/>
        <v>0.14285714285714285</v>
      </c>
      <c r="AE18" s="31">
        <f t="shared" si="10"/>
        <v>425.14285714285722</v>
      </c>
      <c r="AF18" s="31">
        <f t="shared" si="10"/>
        <v>510.71428571428578</v>
      </c>
    </row>
    <row r="19" spans="2:32" ht="23.1" customHeight="1" x14ac:dyDescent="0.25">
      <c r="B19" s="23" t="s">
        <v>46</v>
      </c>
      <c r="C19" s="49">
        <f>AVERAGE('28.10 Maya-Masaka'!C19,'29.10 Maya-Masaka'!C19,'30.10 Maya-Masaka'!C19,'01.11 Maya-Masaka'!C19,'31.10 Maya-Masaka-24h'!C19,'02.11 Maya-Masaka-24h'!C19,'03.11 Maya-Masaka'!C19)</f>
        <v>25.857142857142858</v>
      </c>
      <c r="D19" s="49">
        <f>AVERAGE('28.10 Maya-Masaka'!D19,'29.10 Maya-Masaka'!D19,'30.10 Maya-Masaka'!D19,'01.11 Maya-Masaka'!D19,'31.10 Maya-Masaka-24h'!D19,'02.11 Maya-Masaka-24h'!D19,'03.11 Maya-Masaka'!D19)</f>
        <v>7.1428571428571432</v>
      </c>
      <c r="E19" s="49">
        <f>AVERAGE('28.10 Maya-Masaka'!E19,'29.10 Maya-Masaka'!E19,'30.10 Maya-Masaka'!E19,'01.11 Maya-Masaka'!E19,'31.10 Maya-Masaka-24h'!E19,'02.11 Maya-Masaka-24h'!E19,'03.11 Maya-Masaka'!E19)</f>
        <v>2.7142857142857144</v>
      </c>
      <c r="F19" s="49">
        <f>AVERAGE('28.10 Maya-Masaka'!F19,'29.10 Maya-Masaka'!F19,'30.10 Maya-Masaka'!F19,'01.11 Maya-Masaka'!F19,'31.10 Maya-Masaka-24h'!F19,'02.11 Maya-Masaka-24h'!F19,'03.11 Maya-Masaka'!F19)</f>
        <v>18.428571428571427</v>
      </c>
      <c r="G19" s="49">
        <f>AVERAGE('28.10 Maya-Masaka'!G19,'29.10 Maya-Masaka'!G19,'30.10 Maya-Masaka'!G19,'01.11 Maya-Masaka'!G19,'31.10 Maya-Masaka-24h'!G19,'02.11 Maya-Masaka-24h'!G19,'03.11 Maya-Masaka'!G19)</f>
        <v>1.2857142857142858</v>
      </c>
      <c r="H19" s="49">
        <f>AVERAGE('28.10 Maya-Masaka'!H19,'29.10 Maya-Masaka'!H19,'30.10 Maya-Masaka'!H19,'01.11 Maya-Masaka'!H19,'31.10 Maya-Masaka-24h'!H19,'02.11 Maya-Masaka-24h'!H19,'03.11 Maya-Masaka'!H19)</f>
        <v>0.8571428571428571</v>
      </c>
      <c r="I19" s="49">
        <f>AVERAGE('28.10 Maya-Masaka'!I19,'29.10 Maya-Masaka'!I19,'30.10 Maya-Masaka'!I19,'01.11 Maya-Masaka'!I19,'31.10 Maya-Masaka-24h'!I19,'02.11 Maya-Masaka-24h'!I19,'03.11 Maya-Masaka'!I19)</f>
        <v>10.857142857142858</v>
      </c>
      <c r="J19" s="49">
        <f>AVERAGE('28.10 Maya-Masaka'!J19,'29.10 Maya-Masaka'!J19,'30.10 Maya-Masaka'!J19,'01.11 Maya-Masaka'!J19,'31.10 Maya-Masaka-24h'!J19,'02.11 Maya-Masaka-24h'!J19,'03.11 Maya-Masaka'!J19)</f>
        <v>3.5714285714285716</v>
      </c>
      <c r="K19" s="49">
        <f>AVERAGE('28.10 Maya-Masaka'!K19,'29.10 Maya-Masaka'!K19,'30.10 Maya-Masaka'!K19,'01.11 Maya-Masaka'!K19,'31.10 Maya-Masaka-24h'!K19,'02.11 Maya-Masaka-24h'!K19,'03.11 Maya-Masaka'!K19)</f>
        <v>0.7142857142857143</v>
      </c>
      <c r="L19" s="49">
        <f>AVERAGE('28.10 Maya-Masaka'!L19,'29.10 Maya-Masaka'!L19,'30.10 Maya-Masaka'!L19,'01.11 Maya-Masaka'!L19,'31.10 Maya-Masaka-24h'!L19,'02.11 Maya-Masaka-24h'!L19,'03.11 Maya-Masaka'!L19)</f>
        <v>1.1428571428571428</v>
      </c>
      <c r="M19" s="49">
        <f>AVERAGE('28.10 Maya-Masaka'!M19,'29.10 Maya-Masaka'!M19,'30.10 Maya-Masaka'!M19,'01.11 Maya-Masaka'!M19,'31.10 Maya-Masaka-24h'!M19,'02.11 Maya-Masaka-24h'!M19,'03.11 Maya-Masaka'!M19)</f>
        <v>21.714285714285715</v>
      </c>
      <c r="N19" s="49">
        <f>AVERAGE('28.10 Maya-Masaka'!N19,'29.10 Maya-Masaka'!N19,'30.10 Maya-Masaka'!N19,'01.11 Maya-Masaka'!N19,'31.10 Maya-Masaka-24h'!N19,'02.11 Maya-Masaka-24h'!N19,'03.11 Maya-Masaka'!N19)</f>
        <v>0</v>
      </c>
      <c r="O19" s="15">
        <f t="shared" si="0"/>
        <v>72.571428571428555</v>
      </c>
      <c r="P19" s="15">
        <f t="shared" si="1"/>
        <v>94.285714285714278</v>
      </c>
      <c r="R19" s="1" t="s">
        <v>15</v>
      </c>
      <c r="S19" s="17">
        <f t="shared" ref="S19:AF19" si="11">SUM(C46:C49)</f>
        <v>135.28571428571428</v>
      </c>
      <c r="T19" s="17">
        <f t="shared" si="11"/>
        <v>27.857142857142858</v>
      </c>
      <c r="U19" s="17">
        <f t="shared" si="11"/>
        <v>24.142857142857146</v>
      </c>
      <c r="V19" s="17">
        <f t="shared" si="11"/>
        <v>107.14285714285714</v>
      </c>
      <c r="W19" s="17">
        <f t="shared" si="11"/>
        <v>7.4285714285714288</v>
      </c>
      <c r="X19" s="17">
        <f t="shared" si="11"/>
        <v>8</v>
      </c>
      <c r="Y19" s="17">
        <f t="shared" si="11"/>
        <v>74.142857142857139</v>
      </c>
      <c r="Z19" s="17">
        <f t="shared" si="11"/>
        <v>18.571428571428569</v>
      </c>
      <c r="AA19" s="17">
        <f t="shared" si="11"/>
        <v>11.714285714285715</v>
      </c>
      <c r="AB19" s="17">
        <f t="shared" si="11"/>
        <v>10.571428571428569</v>
      </c>
      <c r="AC19" s="17">
        <f t="shared" si="11"/>
        <v>99.857142857142861</v>
      </c>
      <c r="AD19" s="17">
        <f t="shared" si="11"/>
        <v>0</v>
      </c>
      <c r="AE19" s="31">
        <f t="shared" si="11"/>
        <v>424.85714285714289</v>
      </c>
      <c r="AF19" s="31">
        <f t="shared" si="11"/>
        <v>524.71428571428578</v>
      </c>
    </row>
    <row r="20" spans="2:32" ht="23.1" customHeight="1" x14ac:dyDescent="0.25">
      <c r="B20" s="23" t="s">
        <v>47</v>
      </c>
      <c r="C20" s="49">
        <f>AVERAGE('28.10 Maya-Masaka'!C20,'29.10 Maya-Masaka'!C20,'30.10 Maya-Masaka'!C20,'01.11 Maya-Masaka'!C20,'31.10 Maya-Masaka-24h'!C20,'02.11 Maya-Masaka-24h'!C20,'03.11 Maya-Masaka'!C20)</f>
        <v>31</v>
      </c>
      <c r="D20" s="49">
        <f>AVERAGE('28.10 Maya-Masaka'!D20,'29.10 Maya-Masaka'!D20,'30.10 Maya-Masaka'!D20,'01.11 Maya-Masaka'!D20,'31.10 Maya-Masaka-24h'!D20,'02.11 Maya-Masaka-24h'!D20,'03.11 Maya-Masaka'!D20)</f>
        <v>9.4285714285714288</v>
      </c>
      <c r="E20" s="49">
        <f>AVERAGE('28.10 Maya-Masaka'!E20,'29.10 Maya-Masaka'!E20,'30.10 Maya-Masaka'!E20,'01.11 Maya-Masaka'!E20,'31.10 Maya-Masaka-24h'!E20,'02.11 Maya-Masaka-24h'!E20,'03.11 Maya-Masaka'!E20)</f>
        <v>6.2857142857142856</v>
      </c>
      <c r="F20" s="49">
        <f>AVERAGE('28.10 Maya-Masaka'!F20,'29.10 Maya-Masaka'!F20,'30.10 Maya-Masaka'!F20,'01.11 Maya-Masaka'!F20,'31.10 Maya-Masaka-24h'!F20,'02.11 Maya-Masaka-24h'!F20,'03.11 Maya-Masaka'!F20)</f>
        <v>20.285714285714285</v>
      </c>
      <c r="G20" s="49">
        <f>AVERAGE('28.10 Maya-Masaka'!G20,'29.10 Maya-Masaka'!G20,'30.10 Maya-Masaka'!G20,'01.11 Maya-Masaka'!G20,'31.10 Maya-Masaka-24h'!G20,'02.11 Maya-Masaka-24h'!G20,'03.11 Maya-Masaka'!G20)</f>
        <v>2.4285714285714284</v>
      </c>
      <c r="H20" s="49">
        <f>AVERAGE('28.10 Maya-Masaka'!H20,'29.10 Maya-Masaka'!H20,'30.10 Maya-Masaka'!H20,'01.11 Maya-Masaka'!H20,'31.10 Maya-Masaka-24h'!H20,'02.11 Maya-Masaka-24h'!H20,'03.11 Maya-Masaka'!H20)</f>
        <v>1.2857142857142858</v>
      </c>
      <c r="I20" s="49">
        <f>AVERAGE('28.10 Maya-Masaka'!I20,'29.10 Maya-Masaka'!I20,'30.10 Maya-Masaka'!I20,'01.11 Maya-Masaka'!I20,'31.10 Maya-Masaka-24h'!I20,'02.11 Maya-Masaka-24h'!I20,'03.11 Maya-Masaka'!I20)</f>
        <v>11.857142857142858</v>
      </c>
      <c r="J20" s="49">
        <f>AVERAGE('28.10 Maya-Masaka'!J20,'29.10 Maya-Masaka'!J20,'30.10 Maya-Masaka'!J20,'01.11 Maya-Masaka'!J20,'31.10 Maya-Masaka-24h'!J20,'02.11 Maya-Masaka-24h'!J20,'03.11 Maya-Masaka'!J20)</f>
        <v>5</v>
      </c>
      <c r="K20" s="49">
        <f>AVERAGE('28.10 Maya-Masaka'!K20,'29.10 Maya-Masaka'!K20,'30.10 Maya-Masaka'!K20,'01.11 Maya-Masaka'!K20,'31.10 Maya-Masaka-24h'!K20,'02.11 Maya-Masaka-24h'!K20,'03.11 Maya-Masaka'!K20)</f>
        <v>1.1428571428571428</v>
      </c>
      <c r="L20" s="49">
        <f>AVERAGE('28.10 Maya-Masaka'!L20,'29.10 Maya-Masaka'!L20,'30.10 Maya-Masaka'!L20,'01.11 Maya-Masaka'!L20,'31.10 Maya-Masaka-24h'!L20,'02.11 Maya-Masaka-24h'!L20,'03.11 Maya-Masaka'!L20)</f>
        <v>2.1428571428571428</v>
      </c>
      <c r="M20" s="49">
        <f>AVERAGE('28.10 Maya-Masaka'!M20,'29.10 Maya-Masaka'!M20,'30.10 Maya-Masaka'!M20,'01.11 Maya-Masaka'!M20,'31.10 Maya-Masaka-24h'!M20,'02.11 Maya-Masaka-24h'!M20,'03.11 Maya-Masaka'!M20)</f>
        <v>23.714285714285715</v>
      </c>
      <c r="N20" s="49">
        <f>AVERAGE('28.10 Maya-Masaka'!N20,'29.10 Maya-Masaka'!N20,'30.10 Maya-Masaka'!N20,'01.11 Maya-Masaka'!N20,'31.10 Maya-Masaka-24h'!N20,'02.11 Maya-Masaka-24h'!N20,'03.11 Maya-Masaka'!N20)</f>
        <v>0</v>
      </c>
      <c r="O20" s="15">
        <f t="shared" si="0"/>
        <v>90.857142857142861</v>
      </c>
      <c r="P20" s="15">
        <f t="shared" si="1"/>
        <v>114.57142857142858</v>
      </c>
      <c r="R20" s="1" t="s">
        <v>16</v>
      </c>
      <c r="S20" s="17">
        <f t="shared" ref="S20:AF20" si="12">SUM(C50:C53)</f>
        <v>114.14285714285715</v>
      </c>
      <c r="T20" s="17">
        <f t="shared" si="12"/>
        <v>19.714285714285715</v>
      </c>
      <c r="U20" s="17">
        <f t="shared" si="12"/>
        <v>15.142857142857142</v>
      </c>
      <c r="V20" s="17">
        <f t="shared" si="12"/>
        <v>118.14285714285714</v>
      </c>
      <c r="W20" s="17">
        <f t="shared" si="12"/>
        <v>7.4285714285714288</v>
      </c>
      <c r="X20" s="17">
        <f t="shared" si="12"/>
        <v>8.7142857142857153</v>
      </c>
      <c r="Y20" s="17">
        <f t="shared" si="12"/>
        <v>64.714285714285722</v>
      </c>
      <c r="Z20" s="17">
        <f t="shared" si="12"/>
        <v>16.142857142857142</v>
      </c>
      <c r="AA20" s="17">
        <f t="shared" si="12"/>
        <v>11.285714285714285</v>
      </c>
      <c r="AB20" s="17">
        <f t="shared" si="12"/>
        <v>8.5714285714285712</v>
      </c>
      <c r="AC20" s="17">
        <f t="shared" si="12"/>
        <v>91.857142857142861</v>
      </c>
      <c r="AD20" s="17">
        <f t="shared" si="12"/>
        <v>0</v>
      </c>
      <c r="AE20" s="31">
        <f t="shared" si="12"/>
        <v>384</v>
      </c>
      <c r="AF20" s="31">
        <f t="shared" si="12"/>
        <v>475.85714285714289</v>
      </c>
    </row>
    <row r="21" spans="2:32" ht="23.1" customHeight="1" x14ac:dyDescent="0.25">
      <c r="B21" s="23" t="s">
        <v>48</v>
      </c>
      <c r="C21" s="49">
        <f>AVERAGE('28.10 Maya-Masaka'!C21,'29.10 Maya-Masaka'!C21,'30.10 Maya-Masaka'!C21,'01.11 Maya-Masaka'!C21,'31.10 Maya-Masaka-24h'!C21,'02.11 Maya-Masaka-24h'!C21,'03.11 Maya-Masaka'!C21)</f>
        <v>30.285714285714285</v>
      </c>
      <c r="D21" s="49">
        <f>AVERAGE('28.10 Maya-Masaka'!D21,'29.10 Maya-Masaka'!D21,'30.10 Maya-Masaka'!D21,'01.11 Maya-Masaka'!D21,'31.10 Maya-Masaka-24h'!D21,'02.11 Maya-Masaka-24h'!D21,'03.11 Maya-Masaka'!D21)</f>
        <v>11</v>
      </c>
      <c r="E21" s="49">
        <f>AVERAGE('28.10 Maya-Masaka'!E21,'29.10 Maya-Masaka'!E21,'30.10 Maya-Masaka'!E21,'01.11 Maya-Masaka'!E21,'31.10 Maya-Masaka-24h'!E21,'02.11 Maya-Masaka-24h'!E21,'03.11 Maya-Masaka'!E21)</f>
        <v>5.5714285714285712</v>
      </c>
      <c r="F21" s="49">
        <f>AVERAGE('28.10 Maya-Masaka'!F21,'29.10 Maya-Masaka'!F21,'30.10 Maya-Masaka'!F21,'01.11 Maya-Masaka'!F21,'31.10 Maya-Masaka-24h'!F21,'02.11 Maya-Masaka-24h'!F21,'03.11 Maya-Masaka'!F21)</f>
        <v>26.142857142857142</v>
      </c>
      <c r="G21" s="49">
        <f>AVERAGE('28.10 Maya-Masaka'!G21,'29.10 Maya-Masaka'!G21,'30.10 Maya-Masaka'!G21,'01.11 Maya-Masaka'!G21,'31.10 Maya-Masaka-24h'!G21,'02.11 Maya-Masaka-24h'!G21,'03.11 Maya-Masaka'!G21)</f>
        <v>0.8571428571428571</v>
      </c>
      <c r="H21" s="49">
        <f>AVERAGE('28.10 Maya-Masaka'!H21,'29.10 Maya-Masaka'!H21,'30.10 Maya-Masaka'!H21,'01.11 Maya-Masaka'!H21,'31.10 Maya-Masaka-24h'!H21,'02.11 Maya-Masaka-24h'!H21,'03.11 Maya-Masaka'!H21)</f>
        <v>1.8571428571428572</v>
      </c>
      <c r="I21" s="49">
        <f>AVERAGE('28.10 Maya-Masaka'!I21,'29.10 Maya-Masaka'!I21,'30.10 Maya-Masaka'!I21,'01.11 Maya-Masaka'!I21,'31.10 Maya-Masaka-24h'!I21,'02.11 Maya-Masaka-24h'!I21,'03.11 Maya-Masaka'!I21)</f>
        <v>15.857142857142858</v>
      </c>
      <c r="J21" s="49">
        <f>AVERAGE('28.10 Maya-Masaka'!J21,'29.10 Maya-Masaka'!J21,'30.10 Maya-Masaka'!J21,'01.11 Maya-Masaka'!J21,'31.10 Maya-Masaka-24h'!J21,'02.11 Maya-Masaka-24h'!J21,'03.11 Maya-Masaka'!J21)</f>
        <v>1.5714285714285714</v>
      </c>
      <c r="K21" s="49">
        <f>AVERAGE('28.10 Maya-Masaka'!K21,'29.10 Maya-Masaka'!K21,'30.10 Maya-Masaka'!K21,'01.11 Maya-Masaka'!K21,'31.10 Maya-Masaka-24h'!K21,'02.11 Maya-Masaka-24h'!K21,'03.11 Maya-Masaka'!K21)</f>
        <v>2.4285714285714284</v>
      </c>
      <c r="L21" s="49">
        <f>AVERAGE('28.10 Maya-Masaka'!L21,'29.10 Maya-Masaka'!L21,'30.10 Maya-Masaka'!L21,'01.11 Maya-Masaka'!L21,'31.10 Maya-Masaka-24h'!L21,'02.11 Maya-Masaka-24h'!L21,'03.11 Maya-Masaka'!L21)</f>
        <v>1.2857142857142858</v>
      </c>
      <c r="M21" s="49">
        <f>AVERAGE('28.10 Maya-Masaka'!M21,'29.10 Maya-Masaka'!M21,'30.10 Maya-Masaka'!M21,'01.11 Maya-Masaka'!M21,'31.10 Maya-Masaka-24h'!M21,'02.11 Maya-Masaka-24h'!M21,'03.11 Maya-Masaka'!M21)</f>
        <v>25.857142857142858</v>
      </c>
      <c r="N21" s="49">
        <f>AVERAGE('28.10 Maya-Masaka'!N21,'29.10 Maya-Masaka'!N21,'30.10 Maya-Masaka'!N21,'01.11 Maya-Masaka'!N21,'31.10 Maya-Masaka-24h'!N21,'02.11 Maya-Masaka-24h'!N21,'03.11 Maya-Masaka'!N21)</f>
        <v>0</v>
      </c>
      <c r="O21" s="15">
        <f t="shared" si="0"/>
        <v>96.857142857142875</v>
      </c>
      <c r="P21" s="15">
        <f t="shared" si="1"/>
        <v>122.71428571428574</v>
      </c>
      <c r="R21" s="36" t="s">
        <v>20</v>
      </c>
      <c r="S21" s="34">
        <f t="shared" ref="S21:AF21" si="13">SUM(C54:C57)</f>
        <v>115.71428571428572</v>
      </c>
      <c r="T21" s="17">
        <f t="shared" si="13"/>
        <v>26.571428571428569</v>
      </c>
      <c r="U21" s="17">
        <f t="shared" si="13"/>
        <v>17.285714285714285</v>
      </c>
      <c r="V21" s="17">
        <f t="shared" si="13"/>
        <v>115.57142857142858</v>
      </c>
      <c r="W21" s="17">
        <f t="shared" si="13"/>
        <v>6.2857142857142856</v>
      </c>
      <c r="X21" s="17">
        <f t="shared" si="13"/>
        <v>5.8571428571428568</v>
      </c>
      <c r="Y21" s="17">
        <f t="shared" si="13"/>
        <v>75.571428571428569</v>
      </c>
      <c r="Z21" s="17">
        <f t="shared" si="13"/>
        <v>24.428571428571431</v>
      </c>
      <c r="AA21" s="17">
        <f t="shared" si="13"/>
        <v>13.571428571428571</v>
      </c>
      <c r="AB21" s="17">
        <f t="shared" si="13"/>
        <v>8.7142857142857135</v>
      </c>
      <c r="AC21" s="17">
        <f t="shared" si="13"/>
        <v>106.85714285714286</v>
      </c>
      <c r="AD21" s="17">
        <f t="shared" si="13"/>
        <v>0</v>
      </c>
      <c r="AE21" s="31">
        <f t="shared" si="13"/>
        <v>409.57142857142856</v>
      </c>
      <c r="AF21" s="31">
        <f t="shared" si="13"/>
        <v>516.42857142857144</v>
      </c>
    </row>
    <row r="22" spans="2:32" ht="23.1" customHeight="1" x14ac:dyDescent="0.25">
      <c r="B22" s="23" t="s">
        <v>49</v>
      </c>
      <c r="C22" s="49">
        <f>AVERAGE('28.10 Maya-Masaka'!C22,'29.10 Maya-Masaka'!C22,'30.10 Maya-Masaka'!C22,'01.11 Maya-Masaka'!C22,'31.10 Maya-Masaka-24h'!C22,'02.11 Maya-Masaka-24h'!C22,'03.11 Maya-Masaka'!C22)</f>
        <v>44.142857142857146</v>
      </c>
      <c r="D22" s="49">
        <f>AVERAGE('28.10 Maya-Masaka'!D22,'29.10 Maya-Masaka'!D22,'30.10 Maya-Masaka'!D22,'01.11 Maya-Masaka'!D22,'31.10 Maya-Masaka-24h'!D22,'02.11 Maya-Masaka-24h'!D22,'03.11 Maya-Masaka'!D22)</f>
        <v>10.142857142857142</v>
      </c>
      <c r="E22" s="49">
        <f>AVERAGE('28.10 Maya-Masaka'!E22,'29.10 Maya-Masaka'!E22,'30.10 Maya-Masaka'!E22,'01.11 Maya-Masaka'!E22,'31.10 Maya-Masaka-24h'!E22,'02.11 Maya-Masaka-24h'!E22,'03.11 Maya-Masaka'!E22)</f>
        <v>6</v>
      </c>
      <c r="F22" s="49">
        <f>AVERAGE('28.10 Maya-Masaka'!F22,'29.10 Maya-Masaka'!F22,'30.10 Maya-Masaka'!F22,'01.11 Maya-Masaka'!F22,'31.10 Maya-Masaka-24h'!F22,'02.11 Maya-Masaka-24h'!F22,'03.11 Maya-Masaka'!F22)</f>
        <v>29.285714285714285</v>
      </c>
      <c r="G22" s="49">
        <f>AVERAGE('28.10 Maya-Masaka'!G22,'29.10 Maya-Masaka'!G22,'30.10 Maya-Masaka'!G22,'01.11 Maya-Masaka'!G22,'31.10 Maya-Masaka-24h'!G22,'02.11 Maya-Masaka-24h'!G22,'03.11 Maya-Masaka'!G22)</f>
        <v>2.1428571428571428</v>
      </c>
      <c r="H22" s="49">
        <f>AVERAGE('28.10 Maya-Masaka'!H22,'29.10 Maya-Masaka'!H22,'30.10 Maya-Masaka'!H22,'01.11 Maya-Masaka'!H22,'31.10 Maya-Masaka-24h'!H22,'02.11 Maya-Masaka-24h'!H22,'03.11 Maya-Masaka'!H22)</f>
        <v>1.5714285714285714</v>
      </c>
      <c r="I22" s="49">
        <f>AVERAGE('28.10 Maya-Masaka'!I22,'29.10 Maya-Masaka'!I22,'30.10 Maya-Masaka'!I22,'01.11 Maya-Masaka'!I22,'31.10 Maya-Masaka-24h'!I22,'02.11 Maya-Masaka-24h'!I22,'03.11 Maya-Masaka'!I22)</f>
        <v>13.285714285714286</v>
      </c>
      <c r="J22" s="49">
        <f>AVERAGE('28.10 Maya-Masaka'!J22,'29.10 Maya-Masaka'!J22,'30.10 Maya-Masaka'!J22,'01.11 Maya-Masaka'!J22,'31.10 Maya-Masaka-24h'!J22,'02.11 Maya-Masaka-24h'!J22,'03.11 Maya-Masaka'!J22)</f>
        <v>3.5714285714285716</v>
      </c>
      <c r="K22" s="49">
        <f>AVERAGE('28.10 Maya-Masaka'!K22,'29.10 Maya-Masaka'!K22,'30.10 Maya-Masaka'!K22,'01.11 Maya-Masaka'!K22,'31.10 Maya-Masaka-24h'!K22,'02.11 Maya-Masaka-24h'!K22,'03.11 Maya-Masaka'!K22)</f>
        <v>3.5714285714285716</v>
      </c>
      <c r="L22" s="49">
        <f>AVERAGE('28.10 Maya-Masaka'!L22,'29.10 Maya-Masaka'!L22,'30.10 Maya-Masaka'!L22,'01.11 Maya-Masaka'!L22,'31.10 Maya-Masaka-24h'!L22,'02.11 Maya-Masaka-24h'!L22,'03.11 Maya-Masaka'!L22)</f>
        <v>2.8571428571428572</v>
      </c>
      <c r="M22" s="49">
        <f>AVERAGE('28.10 Maya-Masaka'!M22,'29.10 Maya-Masaka'!M22,'30.10 Maya-Masaka'!M22,'01.11 Maya-Masaka'!M22,'31.10 Maya-Masaka-24h'!M22,'02.11 Maya-Masaka-24h'!M22,'03.11 Maya-Masaka'!M22)</f>
        <v>26.142857142857142</v>
      </c>
      <c r="N22" s="49">
        <f>AVERAGE('28.10 Maya-Masaka'!N22,'29.10 Maya-Masaka'!N22,'30.10 Maya-Masaka'!N22,'01.11 Maya-Masaka'!N22,'31.10 Maya-Masaka-24h'!N22,'02.11 Maya-Masaka-24h'!N22,'03.11 Maya-Masaka'!N22)</f>
        <v>0</v>
      </c>
      <c r="O22" s="15">
        <f t="shared" si="0"/>
        <v>116.57142857142858</v>
      </c>
      <c r="P22" s="15">
        <f t="shared" si="1"/>
        <v>142.71428571428572</v>
      </c>
      <c r="R22" s="1" t="s">
        <v>146</v>
      </c>
      <c r="S22" s="34">
        <f>SUM(C58:C61)</f>
        <v>43.5</v>
      </c>
      <c r="T22" s="34">
        <f t="shared" ref="T22:AF22" si="14">SUM(D58:D61)</f>
        <v>13</v>
      </c>
      <c r="U22" s="34">
        <f t="shared" si="14"/>
        <v>8.5</v>
      </c>
      <c r="V22" s="34">
        <f t="shared" si="14"/>
        <v>69</v>
      </c>
      <c r="W22" s="34">
        <f t="shared" si="14"/>
        <v>2.5</v>
      </c>
      <c r="X22" s="34">
        <f t="shared" si="14"/>
        <v>3.5</v>
      </c>
      <c r="Y22" s="34">
        <f t="shared" si="14"/>
        <v>43.5</v>
      </c>
      <c r="Z22" s="34">
        <f t="shared" si="14"/>
        <v>17</v>
      </c>
      <c r="AA22" s="34">
        <f t="shared" si="14"/>
        <v>20.5</v>
      </c>
      <c r="AB22" s="34">
        <f t="shared" si="14"/>
        <v>10</v>
      </c>
      <c r="AC22" s="34">
        <f t="shared" si="14"/>
        <v>52.5</v>
      </c>
      <c r="AD22" s="34">
        <f t="shared" si="14"/>
        <v>0</v>
      </c>
      <c r="AE22" s="31">
        <f t="shared" si="14"/>
        <v>231</v>
      </c>
      <c r="AF22" s="31">
        <f t="shared" si="14"/>
        <v>283.5</v>
      </c>
    </row>
    <row r="23" spans="2:32" ht="23.1" customHeight="1" x14ac:dyDescent="0.25">
      <c r="B23" s="23" t="s">
        <v>50</v>
      </c>
      <c r="C23" s="49">
        <f>AVERAGE('28.10 Maya-Masaka'!C23,'29.10 Maya-Masaka'!C23,'30.10 Maya-Masaka'!C23,'01.11 Maya-Masaka'!C23,'31.10 Maya-Masaka-24h'!C23,'02.11 Maya-Masaka-24h'!C23,'03.11 Maya-Masaka'!C23)</f>
        <v>32.571428571428569</v>
      </c>
      <c r="D23" s="49">
        <f>AVERAGE('28.10 Maya-Masaka'!D23,'29.10 Maya-Masaka'!D23,'30.10 Maya-Masaka'!D23,'01.11 Maya-Masaka'!D23,'31.10 Maya-Masaka-24h'!D23,'02.11 Maya-Masaka-24h'!D23,'03.11 Maya-Masaka'!D23)</f>
        <v>12</v>
      </c>
      <c r="E23" s="49">
        <f>AVERAGE('28.10 Maya-Masaka'!E23,'29.10 Maya-Masaka'!E23,'30.10 Maya-Masaka'!E23,'01.11 Maya-Masaka'!E23,'31.10 Maya-Masaka-24h'!E23,'02.11 Maya-Masaka-24h'!E23,'03.11 Maya-Masaka'!E23)</f>
        <v>5.2857142857142856</v>
      </c>
      <c r="F23" s="49">
        <f>AVERAGE('28.10 Maya-Masaka'!F23,'29.10 Maya-Masaka'!F23,'30.10 Maya-Masaka'!F23,'01.11 Maya-Masaka'!F23,'31.10 Maya-Masaka-24h'!F23,'02.11 Maya-Masaka-24h'!F23,'03.11 Maya-Masaka'!F23)</f>
        <v>28.857142857142858</v>
      </c>
      <c r="G23" s="49">
        <f>AVERAGE('28.10 Maya-Masaka'!G23,'29.10 Maya-Masaka'!G23,'30.10 Maya-Masaka'!G23,'01.11 Maya-Masaka'!G23,'31.10 Maya-Masaka-24h'!G23,'02.11 Maya-Masaka-24h'!G23,'03.11 Maya-Masaka'!G23)</f>
        <v>1.7142857142857142</v>
      </c>
      <c r="H23" s="49">
        <f>AVERAGE('28.10 Maya-Masaka'!H23,'29.10 Maya-Masaka'!H23,'30.10 Maya-Masaka'!H23,'01.11 Maya-Masaka'!H23,'31.10 Maya-Masaka-24h'!H23,'02.11 Maya-Masaka-24h'!H23,'03.11 Maya-Masaka'!H23)</f>
        <v>2</v>
      </c>
      <c r="I23" s="49">
        <f>AVERAGE('28.10 Maya-Masaka'!I23,'29.10 Maya-Masaka'!I23,'30.10 Maya-Masaka'!I23,'01.11 Maya-Masaka'!I23,'31.10 Maya-Masaka-24h'!I23,'02.11 Maya-Masaka-24h'!I23,'03.11 Maya-Masaka'!I23)</f>
        <v>14.714285714285714</v>
      </c>
      <c r="J23" s="49">
        <f>AVERAGE('28.10 Maya-Masaka'!J23,'29.10 Maya-Masaka'!J23,'30.10 Maya-Masaka'!J23,'01.11 Maya-Masaka'!J23,'31.10 Maya-Masaka-24h'!J23,'02.11 Maya-Masaka-24h'!J23,'03.11 Maya-Masaka'!J23)</f>
        <v>3.1428571428571428</v>
      </c>
      <c r="K23" s="49">
        <f>AVERAGE('28.10 Maya-Masaka'!K23,'29.10 Maya-Masaka'!K23,'30.10 Maya-Masaka'!K23,'01.11 Maya-Masaka'!K23,'31.10 Maya-Masaka-24h'!K23,'02.11 Maya-Masaka-24h'!K23,'03.11 Maya-Masaka'!K23)</f>
        <v>3.7142857142857144</v>
      </c>
      <c r="L23" s="49">
        <f>AVERAGE('28.10 Maya-Masaka'!L23,'29.10 Maya-Masaka'!L23,'30.10 Maya-Masaka'!L23,'01.11 Maya-Masaka'!L23,'31.10 Maya-Masaka-24h'!L23,'02.11 Maya-Masaka-24h'!L23,'03.11 Maya-Masaka'!L23)</f>
        <v>2.1428571428571428</v>
      </c>
      <c r="M23" s="49">
        <f>AVERAGE('28.10 Maya-Masaka'!M23,'29.10 Maya-Masaka'!M23,'30.10 Maya-Masaka'!M23,'01.11 Maya-Masaka'!M23,'31.10 Maya-Masaka-24h'!M23,'02.11 Maya-Masaka-24h'!M23,'03.11 Maya-Masaka'!M23)</f>
        <v>26.714285714285715</v>
      </c>
      <c r="N23" s="49">
        <f>AVERAGE('28.10 Maya-Masaka'!N23,'29.10 Maya-Masaka'!N23,'30.10 Maya-Masaka'!N23,'01.11 Maya-Masaka'!N23,'31.10 Maya-Masaka-24h'!N23,'02.11 Maya-Masaka-24h'!N23,'03.11 Maya-Masaka'!N23)</f>
        <v>0</v>
      </c>
      <c r="O23" s="15">
        <f t="shared" si="0"/>
        <v>106.14285714285711</v>
      </c>
      <c r="P23" s="15">
        <f t="shared" si="1"/>
        <v>132.85714285714283</v>
      </c>
      <c r="R23" s="1" t="s">
        <v>147</v>
      </c>
      <c r="S23" s="34">
        <f>SUM(C62:C65)</f>
        <v>48</v>
      </c>
      <c r="T23" s="34">
        <f t="shared" ref="T23:AF23" si="15">SUM(D62:D65)</f>
        <v>21</v>
      </c>
      <c r="U23" s="34">
        <f t="shared" si="15"/>
        <v>9.5</v>
      </c>
      <c r="V23" s="34">
        <f t="shared" si="15"/>
        <v>75</v>
      </c>
      <c r="W23" s="34">
        <f t="shared" si="15"/>
        <v>3.5</v>
      </c>
      <c r="X23" s="34">
        <f t="shared" si="15"/>
        <v>4</v>
      </c>
      <c r="Y23" s="34">
        <f t="shared" si="15"/>
        <v>44.5</v>
      </c>
      <c r="Z23" s="34">
        <f t="shared" si="15"/>
        <v>20.5</v>
      </c>
      <c r="AA23" s="34">
        <f t="shared" si="15"/>
        <v>19.5</v>
      </c>
      <c r="AB23" s="34">
        <f t="shared" si="15"/>
        <v>4.5</v>
      </c>
      <c r="AC23" s="34">
        <f t="shared" si="15"/>
        <v>72</v>
      </c>
      <c r="AD23" s="34">
        <f t="shared" si="15"/>
        <v>0</v>
      </c>
      <c r="AE23" s="31">
        <f t="shared" si="15"/>
        <v>250</v>
      </c>
      <c r="AF23" s="31">
        <f t="shared" si="15"/>
        <v>322</v>
      </c>
    </row>
    <row r="24" spans="2:32" ht="23.1" customHeight="1" x14ac:dyDescent="0.25">
      <c r="B24" s="23" t="s">
        <v>51</v>
      </c>
      <c r="C24" s="49">
        <f>AVERAGE('28.10 Maya-Masaka'!C24,'29.10 Maya-Masaka'!C24,'30.10 Maya-Masaka'!C24,'01.11 Maya-Masaka'!C24,'31.10 Maya-Masaka-24h'!C24,'02.11 Maya-Masaka-24h'!C24,'03.11 Maya-Masaka'!C24)</f>
        <v>32.857142857142854</v>
      </c>
      <c r="D24" s="49">
        <f>AVERAGE('28.10 Maya-Masaka'!D24,'29.10 Maya-Masaka'!D24,'30.10 Maya-Masaka'!D24,'01.11 Maya-Masaka'!D24,'31.10 Maya-Masaka-24h'!D24,'02.11 Maya-Masaka-24h'!D24,'03.11 Maya-Masaka'!D24)</f>
        <v>7.8571428571428568</v>
      </c>
      <c r="E24" s="49">
        <f>AVERAGE('28.10 Maya-Masaka'!E24,'29.10 Maya-Masaka'!E24,'30.10 Maya-Masaka'!E24,'01.11 Maya-Masaka'!E24,'31.10 Maya-Masaka-24h'!E24,'02.11 Maya-Masaka-24h'!E24,'03.11 Maya-Masaka'!E24)</f>
        <v>4.4285714285714288</v>
      </c>
      <c r="F24" s="49">
        <f>AVERAGE('28.10 Maya-Masaka'!F24,'29.10 Maya-Masaka'!F24,'30.10 Maya-Masaka'!F24,'01.11 Maya-Masaka'!F24,'31.10 Maya-Masaka-24h'!F24,'02.11 Maya-Masaka-24h'!F24,'03.11 Maya-Masaka'!F24)</f>
        <v>24.571428571428573</v>
      </c>
      <c r="G24" s="49">
        <f>AVERAGE('28.10 Maya-Masaka'!G24,'29.10 Maya-Masaka'!G24,'30.10 Maya-Masaka'!G24,'01.11 Maya-Masaka'!G24,'31.10 Maya-Masaka-24h'!G24,'02.11 Maya-Masaka-24h'!G24,'03.11 Maya-Masaka'!G24)</f>
        <v>3.4285714285714284</v>
      </c>
      <c r="H24" s="49">
        <f>AVERAGE('28.10 Maya-Masaka'!H24,'29.10 Maya-Masaka'!H24,'30.10 Maya-Masaka'!H24,'01.11 Maya-Masaka'!H24,'31.10 Maya-Masaka-24h'!H24,'02.11 Maya-Masaka-24h'!H24,'03.11 Maya-Masaka'!H24)</f>
        <v>1</v>
      </c>
      <c r="I24" s="49">
        <f>AVERAGE('28.10 Maya-Masaka'!I24,'29.10 Maya-Masaka'!I24,'30.10 Maya-Masaka'!I24,'01.11 Maya-Masaka'!I24,'31.10 Maya-Masaka-24h'!I24,'02.11 Maya-Masaka-24h'!I24,'03.11 Maya-Masaka'!I24)</f>
        <v>10.428571428571429</v>
      </c>
      <c r="J24" s="49">
        <f>AVERAGE('28.10 Maya-Masaka'!J24,'29.10 Maya-Masaka'!J24,'30.10 Maya-Masaka'!J24,'01.11 Maya-Masaka'!J24,'31.10 Maya-Masaka-24h'!J24,'02.11 Maya-Masaka-24h'!J24,'03.11 Maya-Masaka'!J24)</f>
        <v>4.1428571428571432</v>
      </c>
      <c r="K24" s="49">
        <f>AVERAGE('28.10 Maya-Masaka'!K24,'29.10 Maya-Masaka'!K24,'30.10 Maya-Masaka'!K24,'01.11 Maya-Masaka'!K24,'31.10 Maya-Masaka-24h'!K24,'02.11 Maya-Masaka-24h'!K24,'03.11 Maya-Masaka'!K24)</f>
        <v>2.2857142857142856</v>
      </c>
      <c r="L24" s="49">
        <f>AVERAGE('28.10 Maya-Masaka'!L24,'29.10 Maya-Masaka'!L24,'30.10 Maya-Masaka'!L24,'01.11 Maya-Masaka'!L24,'31.10 Maya-Masaka-24h'!L24,'02.11 Maya-Masaka-24h'!L24,'03.11 Maya-Masaka'!L24)</f>
        <v>2</v>
      </c>
      <c r="M24" s="49">
        <f>AVERAGE('28.10 Maya-Masaka'!M24,'29.10 Maya-Masaka'!M24,'30.10 Maya-Masaka'!M24,'01.11 Maya-Masaka'!M24,'31.10 Maya-Masaka-24h'!M24,'02.11 Maya-Masaka-24h'!M24,'03.11 Maya-Masaka'!M24)</f>
        <v>22.571428571428573</v>
      </c>
      <c r="N24" s="49">
        <f>AVERAGE('28.10 Maya-Masaka'!N24,'29.10 Maya-Masaka'!N24,'30.10 Maya-Masaka'!N24,'01.11 Maya-Masaka'!N24,'31.10 Maya-Masaka-24h'!N24,'02.11 Maya-Masaka-24h'!N24,'03.11 Maya-Masaka'!N24)</f>
        <v>0</v>
      </c>
      <c r="O24" s="15">
        <f t="shared" si="0"/>
        <v>93</v>
      </c>
      <c r="P24" s="15">
        <f t="shared" si="1"/>
        <v>115.57142857142857</v>
      </c>
      <c r="R24" s="1" t="s">
        <v>148</v>
      </c>
      <c r="S24" s="34">
        <f>SUM(C66:C69)</f>
        <v>61.5</v>
      </c>
      <c r="T24" s="34">
        <f t="shared" ref="T24:AF24" si="16">SUM(D66:D69)</f>
        <v>21</v>
      </c>
      <c r="U24" s="34">
        <f t="shared" si="16"/>
        <v>9</v>
      </c>
      <c r="V24" s="34">
        <f t="shared" si="16"/>
        <v>68</v>
      </c>
      <c r="W24" s="34">
        <f t="shared" si="16"/>
        <v>3.5</v>
      </c>
      <c r="X24" s="34">
        <f t="shared" si="16"/>
        <v>7.5</v>
      </c>
      <c r="Y24" s="34">
        <f t="shared" si="16"/>
        <v>40.5</v>
      </c>
      <c r="Z24" s="34">
        <f t="shared" si="16"/>
        <v>17.5</v>
      </c>
      <c r="AA24" s="34">
        <f t="shared" si="16"/>
        <v>25.5</v>
      </c>
      <c r="AB24" s="34">
        <f t="shared" si="16"/>
        <v>4.5</v>
      </c>
      <c r="AC24" s="34">
        <f t="shared" si="16"/>
        <v>55.5</v>
      </c>
      <c r="AD24" s="34">
        <f t="shared" si="16"/>
        <v>0</v>
      </c>
      <c r="AE24" s="31">
        <f t="shared" si="16"/>
        <v>258.5</v>
      </c>
      <c r="AF24" s="31">
        <f t="shared" si="16"/>
        <v>314</v>
      </c>
    </row>
    <row r="25" spans="2:32" ht="23.1" customHeight="1" x14ac:dyDescent="0.25">
      <c r="B25" s="23" t="s">
        <v>52</v>
      </c>
      <c r="C25" s="49">
        <f>AVERAGE('28.10 Maya-Masaka'!C25,'29.10 Maya-Masaka'!C25,'30.10 Maya-Masaka'!C25,'01.11 Maya-Masaka'!C25,'31.10 Maya-Masaka-24h'!C25,'02.11 Maya-Masaka-24h'!C25,'03.11 Maya-Masaka'!C25)</f>
        <v>38.571428571428569</v>
      </c>
      <c r="D25" s="49">
        <f>AVERAGE('28.10 Maya-Masaka'!D25,'29.10 Maya-Masaka'!D25,'30.10 Maya-Masaka'!D25,'01.11 Maya-Masaka'!D25,'31.10 Maya-Masaka-24h'!D25,'02.11 Maya-Masaka-24h'!D25,'03.11 Maya-Masaka'!D25)</f>
        <v>10</v>
      </c>
      <c r="E25" s="49">
        <f>AVERAGE('28.10 Maya-Masaka'!E25,'29.10 Maya-Masaka'!E25,'30.10 Maya-Masaka'!E25,'01.11 Maya-Masaka'!E25,'31.10 Maya-Masaka-24h'!E25,'02.11 Maya-Masaka-24h'!E25,'03.11 Maya-Masaka'!E25)</f>
        <v>2.7142857142857144</v>
      </c>
      <c r="F25" s="49">
        <f>AVERAGE('28.10 Maya-Masaka'!F25,'29.10 Maya-Masaka'!F25,'30.10 Maya-Masaka'!F25,'01.11 Maya-Masaka'!F25,'31.10 Maya-Masaka-24h'!F25,'02.11 Maya-Masaka-24h'!F25,'03.11 Maya-Masaka'!F25)</f>
        <v>28</v>
      </c>
      <c r="G25" s="49">
        <f>AVERAGE('28.10 Maya-Masaka'!G25,'29.10 Maya-Masaka'!G25,'30.10 Maya-Masaka'!G25,'01.11 Maya-Masaka'!G25,'31.10 Maya-Masaka-24h'!G25,'02.11 Maya-Masaka-24h'!G25,'03.11 Maya-Masaka'!G25)</f>
        <v>1.7142857142857142</v>
      </c>
      <c r="H25" s="49">
        <f>AVERAGE('28.10 Maya-Masaka'!H25,'29.10 Maya-Masaka'!H25,'30.10 Maya-Masaka'!H25,'01.11 Maya-Masaka'!H25,'31.10 Maya-Masaka-24h'!H25,'02.11 Maya-Masaka-24h'!H25,'03.11 Maya-Masaka'!H25)</f>
        <v>0.8571428571428571</v>
      </c>
      <c r="I25" s="49">
        <f>AVERAGE('28.10 Maya-Masaka'!I25,'29.10 Maya-Masaka'!I25,'30.10 Maya-Masaka'!I25,'01.11 Maya-Masaka'!I25,'31.10 Maya-Masaka-24h'!I25,'02.11 Maya-Masaka-24h'!I25,'03.11 Maya-Masaka'!I25)</f>
        <v>17.285714285714285</v>
      </c>
      <c r="J25" s="49">
        <f>AVERAGE('28.10 Maya-Masaka'!J25,'29.10 Maya-Masaka'!J25,'30.10 Maya-Masaka'!J25,'01.11 Maya-Masaka'!J25,'31.10 Maya-Masaka-24h'!J25,'02.11 Maya-Masaka-24h'!J25,'03.11 Maya-Masaka'!J25)</f>
        <v>3.5714285714285716</v>
      </c>
      <c r="K25" s="49">
        <f>AVERAGE('28.10 Maya-Masaka'!K25,'29.10 Maya-Masaka'!K25,'30.10 Maya-Masaka'!K25,'01.11 Maya-Masaka'!K25,'31.10 Maya-Masaka-24h'!K25,'02.11 Maya-Masaka-24h'!K25,'03.11 Maya-Masaka'!K25)</f>
        <v>3.4285714285714284</v>
      </c>
      <c r="L25" s="49">
        <f>AVERAGE('28.10 Maya-Masaka'!L25,'29.10 Maya-Masaka'!L25,'30.10 Maya-Masaka'!L25,'01.11 Maya-Masaka'!L25,'31.10 Maya-Masaka-24h'!L25,'02.11 Maya-Masaka-24h'!L25,'03.11 Maya-Masaka'!L25)</f>
        <v>2.8571428571428572</v>
      </c>
      <c r="M25" s="49">
        <f>AVERAGE('28.10 Maya-Masaka'!M25,'29.10 Maya-Masaka'!M25,'30.10 Maya-Masaka'!M25,'01.11 Maya-Masaka'!M25,'31.10 Maya-Masaka-24h'!M25,'02.11 Maya-Masaka-24h'!M25,'03.11 Maya-Masaka'!M25)</f>
        <v>27</v>
      </c>
      <c r="N25" s="49">
        <f>AVERAGE('28.10 Maya-Masaka'!N25,'29.10 Maya-Masaka'!N25,'30.10 Maya-Masaka'!N25,'01.11 Maya-Masaka'!N25,'31.10 Maya-Masaka-24h'!N25,'02.11 Maya-Masaka-24h'!N25,'03.11 Maya-Masaka'!N25)</f>
        <v>0</v>
      </c>
      <c r="O25" s="15">
        <f t="shared" si="0"/>
        <v>109</v>
      </c>
      <c r="P25" s="15">
        <f t="shared" si="1"/>
        <v>136</v>
      </c>
      <c r="R25" s="1" t="s">
        <v>149</v>
      </c>
      <c r="S25" s="34">
        <f>SUM(C70:C73)</f>
        <v>52.5</v>
      </c>
      <c r="T25" s="34">
        <f t="shared" ref="T25:AF25" si="17">SUM(D70:D73)</f>
        <v>16.5</v>
      </c>
      <c r="U25" s="34">
        <f t="shared" si="17"/>
        <v>8.5</v>
      </c>
      <c r="V25" s="34">
        <f t="shared" si="17"/>
        <v>54</v>
      </c>
      <c r="W25" s="34">
        <f t="shared" si="17"/>
        <v>2</v>
      </c>
      <c r="X25" s="34">
        <f t="shared" si="17"/>
        <v>9.5</v>
      </c>
      <c r="Y25" s="34">
        <f t="shared" si="17"/>
        <v>27</v>
      </c>
      <c r="Z25" s="34">
        <f t="shared" si="17"/>
        <v>24.5</v>
      </c>
      <c r="AA25" s="34">
        <f t="shared" si="17"/>
        <v>21</v>
      </c>
      <c r="AB25" s="34">
        <f t="shared" si="17"/>
        <v>6.5</v>
      </c>
      <c r="AC25" s="34">
        <f t="shared" si="17"/>
        <v>38.5</v>
      </c>
      <c r="AD25" s="34">
        <f t="shared" si="17"/>
        <v>0</v>
      </c>
      <c r="AE25" s="31">
        <f t="shared" si="17"/>
        <v>222</v>
      </c>
      <c r="AF25" s="31">
        <f t="shared" si="17"/>
        <v>260.5</v>
      </c>
    </row>
    <row r="26" spans="2:32" ht="23.1" customHeight="1" x14ac:dyDescent="0.25">
      <c r="B26" s="23" t="s">
        <v>53</v>
      </c>
      <c r="C26" s="49">
        <f>AVERAGE('28.10 Maya-Masaka'!C26,'29.10 Maya-Masaka'!C26,'30.10 Maya-Masaka'!C26,'01.11 Maya-Masaka'!C26,'31.10 Maya-Masaka-24h'!C26,'02.11 Maya-Masaka-24h'!C26,'03.11 Maya-Masaka'!C26)</f>
        <v>37.285714285714285</v>
      </c>
      <c r="D26" s="49">
        <f>AVERAGE('28.10 Maya-Masaka'!D26,'29.10 Maya-Masaka'!D26,'30.10 Maya-Masaka'!D26,'01.11 Maya-Masaka'!D26,'31.10 Maya-Masaka-24h'!D26,'02.11 Maya-Masaka-24h'!D26,'03.11 Maya-Masaka'!D26)</f>
        <v>10.714285714285714</v>
      </c>
      <c r="E26" s="49">
        <f>AVERAGE('28.10 Maya-Masaka'!E26,'29.10 Maya-Masaka'!E26,'30.10 Maya-Masaka'!E26,'01.11 Maya-Masaka'!E26,'31.10 Maya-Masaka-24h'!E26,'02.11 Maya-Masaka-24h'!E26,'03.11 Maya-Masaka'!E26)</f>
        <v>4.8571428571428568</v>
      </c>
      <c r="F26" s="49">
        <f>AVERAGE('28.10 Maya-Masaka'!F26,'29.10 Maya-Masaka'!F26,'30.10 Maya-Masaka'!F26,'01.11 Maya-Masaka'!F26,'31.10 Maya-Masaka-24h'!F26,'02.11 Maya-Masaka-24h'!F26,'03.11 Maya-Masaka'!F26)</f>
        <v>33.142857142857146</v>
      </c>
      <c r="G26" s="49">
        <f>AVERAGE('28.10 Maya-Masaka'!G26,'29.10 Maya-Masaka'!G26,'30.10 Maya-Masaka'!G26,'01.11 Maya-Masaka'!G26,'31.10 Maya-Masaka-24h'!G26,'02.11 Maya-Masaka-24h'!G26,'03.11 Maya-Masaka'!G26)</f>
        <v>2.4285714285714284</v>
      </c>
      <c r="H26" s="49">
        <f>AVERAGE('28.10 Maya-Masaka'!H26,'29.10 Maya-Masaka'!H26,'30.10 Maya-Masaka'!H26,'01.11 Maya-Masaka'!H26,'31.10 Maya-Masaka-24h'!H26,'02.11 Maya-Masaka-24h'!H26,'03.11 Maya-Masaka'!H26)</f>
        <v>1.1428571428571428</v>
      </c>
      <c r="I26" s="49">
        <f>AVERAGE('28.10 Maya-Masaka'!I26,'29.10 Maya-Masaka'!I26,'30.10 Maya-Masaka'!I26,'01.11 Maya-Masaka'!I26,'31.10 Maya-Masaka-24h'!I26,'02.11 Maya-Masaka-24h'!I26,'03.11 Maya-Masaka'!I26)</f>
        <v>14.428571428571429</v>
      </c>
      <c r="J26" s="49">
        <f>AVERAGE('28.10 Maya-Masaka'!J26,'29.10 Maya-Masaka'!J26,'30.10 Maya-Masaka'!J26,'01.11 Maya-Masaka'!J26,'31.10 Maya-Masaka-24h'!J26,'02.11 Maya-Masaka-24h'!J26,'03.11 Maya-Masaka'!J26)</f>
        <v>4</v>
      </c>
      <c r="K26" s="49">
        <f>AVERAGE('28.10 Maya-Masaka'!K26,'29.10 Maya-Masaka'!K26,'30.10 Maya-Masaka'!K26,'01.11 Maya-Masaka'!K26,'31.10 Maya-Masaka-24h'!K26,'02.11 Maya-Masaka-24h'!K26,'03.11 Maya-Masaka'!K26)</f>
        <v>3.4285714285714284</v>
      </c>
      <c r="L26" s="49">
        <f>AVERAGE('28.10 Maya-Masaka'!L26,'29.10 Maya-Masaka'!L26,'30.10 Maya-Masaka'!L26,'01.11 Maya-Masaka'!L26,'31.10 Maya-Masaka-24h'!L26,'02.11 Maya-Masaka-24h'!L26,'03.11 Maya-Masaka'!L26)</f>
        <v>2.5714285714285716</v>
      </c>
      <c r="M26" s="49">
        <f>AVERAGE('28.10 Maya-Masaka'!M26,'29.10 Maya-Masaka'!M26,'30.10 Maya-Masaka'!M26,'01.11 Maya-Masaka'!M26,'31.10 Maya-Masaka-24h'!M26,'02.11 Maya-Masaka-24h'!M26,'03.11 Maya-Masaka'!M26)</f>
        <v>26.571428571428573</v>
      </c>
      <c r="N26" s="49">
        <f>AVERAGE('28.10 Maya-Masaka'!N26,'29.10 Maya-Masaka'!N26,'30.10 Maya-Masaka'!N26,'01.11 Maya-Masaka'!N26,'31.10 Maya-Masaka-24h'!N26,'02.11 Maya-Masaka-24h'!N26,'03.11 Maya-Masaka'!N26)</f>
        <v>0</v>
      </c>
      <c r="O26" s="15">
        <f t="shared" si="0"/>
        <v>114</v>
      </c>
      <c r="P26" s="15">
        <f t="shared" si="1"/>
        <v>140.57142857142858</v>
      </c>
      <c r="R26" s="1" t="s">
        <v>150</v>
      </c>
      <c r="S26" s="34">
        <f>SUM(C74:C77)</f>
        <v>57</v>
      </c>
      <c r="T26" s="34">
        <f t="shared" ref="T26:AF26" si="18">SUM(D74:D77)</f>
        <v>19</v>
      </c>
      <c r="U26" s="34">
        <f t="shared" si="18"/>
        <v>5</v>
      </c>
      <c r="V26" s="34">
        <f t="shared" si="18"/>
        <v>41</v>
      </c>
      <c r="W26" s="34">
        <f t="shared" si="18"/>
        <v>3</v>
      </c>
      <c r="X26" s="34">
        <f t="shared" si="18"/>
        <v>10.5</v>
      </c>
      <c r="Y26" s="34">
        <f t="shared" si="18"/>
        <v>43</v>
      </c>
      <c r="Z26" s="34">
        <f t="shared" si="18"/>
        <v>29</v>
      </c>
      <c r="AA26" s="34">
        <f t="shared" si="18"/>
        <v>16</v>
      </c>
      <c r="AB26" s="34">
        <f t="shared" si="18"/>
        <v>5.5</v>
      </c>
      <c r="AC26" s="34">
        <f t="shared" si="18"/>
        <v>26.5</v>
      </c>
      <c r="AD26" s="34">
        <f t="shared" si="18"/>
        <v>0</v>
      </c>
      <c r="AE26" s="31">
        <f t="shared" si="18"/>
        <v>229</v>
      </c>
      <c r="AF26" s="31">
        <f t="shared" si="18"/>
        <v>255.5</v>
      </c>
    </row>
    <row r="27" spans="2:32" ht="23.1" customHeight="1" x14ac:dyDescent="0.25">
      <c r="B27" s="23" t="s">
        <v>54</v>
      </c>
      <c r="C27" s="49">
        <f>AVERAGE('28.10 Maya-Masaka'!C27,'29.10 Maya-Masaka'!C27,'30.10 Maya-Masaka'!C27,'01.11 Maya-Masaka'!C27,'31.10 Maya-Masaka-24h'!C27,'02.11 Maya-Masaka-24h'!C27,'03.11 Maya-Masaka'!C27)</f>
        <v>39.142857142857146</v>
      </c>
      <c r="D27" s="49">
        <f>AVERAGE('28.10 Maya-Masaka'!D27,'29.10 Maya-Masaka'!D27,'30.10 Maya-Masaka'!D27,'01.11 Maya-Masaka'!D27,'31.10 Maya-Masaka-24h'!D27,'02.11 Maya-Masaka-24h'!D27,'03.11 Maya-Masaka'!D27)</f>
        <v>12.285714285714286</v>
      </c>
      <c r="E27" s="49">
        <f>AVERAGE('28.10 Maya-Masaka'!E27,'29.10 Maya-Masaka'!E27,'30.10 Maya-Masaka'!E27,'01.11 Maya-Masaka'!E27,'31.10 Maya-Masaka-24h'!E27,'02.11 Maya-Masaka-24h'!E27,'03.11 Maya-Masaka'!E27)</f>
        <v>6</v>
      </c>
      <c r="F27" s="49">
        <f>AVERAGE('28.10 Maya-Masaka'!F27,'29.10 Maya-Masaka'!F27,'30.10 Maya-Masaka'!F27,'01.11 Maya-Masaka'!F27,'31.10 Maya-Masaka-24h'!F27,'02.11 Maya-Masaka-24h'!F27,'03.11 Maya-Masaka'!F27)</f>
        <v>36.571428571428569</v>
      </c>
      <c r="G27" s="49">
        <f>AVERAGE('28.10 Maya-Masaka'!G27,'29.10 Maya-Masaka'!G27,'30.10 Maya-Masaka'!G27,'01.11 Maya-Masaka'!G27,'31.10 Maya-Masaka-24h'!G27,'02.11 Maya-Masaka-24h'!G27,'03.11 Maya-Masaka'!G27)</f>
        <v>2</v>
      </c>
      <c r="H27" s="49">
        <f>AVERAGE('28.10 Maya-Masaka'!H27,'29.10 Maya-Masaka'!H27,'30.10 Maya-Masaka'!H27,'01.11 Maya-Masaka'!H27,'31.10 Maya-Masaka-24h'!H27,'02.11 Maya-Masaka-24h'!H27,'03.11 Maya-Masaka'!H27)</f>
        <v>1.5714285714285714</v>
      </c>
      <c r="I27" s="49">
        <f>AVERAGE('28.10 Maya-Masaka'!I27,'29.10 Maya-Masaka'!I27,'30.10 Maya-Masaka'!I27,'01.11 Maya-Masaka'!I27,'31.10 Maya-Masaka-24h'!I27,'02.11 Maya-Masaka-24h'!I27,'03.11 Maya-Masaka'!I27)</f>
        <v>15.428571428571429</v>
      </c>
      <c r="J27" s="49">
        <f>AVERAGE('28.10 Maya-Masaka'!J27,'29.10 Maya-Masaka'!J27,'30.10 Maya-Masaka'!J27,'01.11 Maya-Masaka'!J27,'31.10 Maya-Masaka-24h'!J27,'02.11 Maya-Masaka-24h'!J27,'03.11 Maya-Masaka'!J27)</f>
        <v>3.4285714285714284</v>
      </c>
      <c r="K27" s="49">
        <f>AVERAGE('28.10 Maya-Masaka'!K27,'29.10 Maya-Masaka'!K27,'30.10 Maya-Masaka'!K27,'01.11 Maya-Masaka'!K27,'31.10 Maya-Masaka-24h'!K27,'02.11 Maya-Masaka-24h'!K27,'03.11 Maya-Masaka'!K27)</f>
        <v>3.4285714285714284</v>
      </c>
      <c r="L27" s="49">
        <f>AVERAGE('28.10 Maya-Masaka'!L27,'29.10 Maya-Masaka'!L27,'30.10 Maya-Masaka'!L27,'01.11 Maya-Masaka'!L27,'31.10 Maya-Masaka-24h'!L27,'02.11 Maya-Masaka-24h'!L27,'03.11 Maya-Masaka'!L27)</f>
        <v>1.7142857142857142</v>
      </c>
      <c r="M27" s="49">
        <f>AVERAGE('28.10 Maya-Masaka'!M27,'29.10 Maya-Masaka'!M27,'30.10 Maya-Masaka'!M27,'01.11 Maya-Masaka'!M27,'31.10 Maya-Masaka-24h'!M27,'02.11 Maya-Masaka-24h'!M27,'03.11 Maya-Masaka'!M27)</f>
        <v>27.285714285714285</v>
      </c>
      <c r="N27" s="49">
        <f>AVERAGE('28.10 Maya-Masaka'!N27,'29.10 Maya-Masaka'!N27,'30.10 Maya-Masaka'!N27,'01.11 Maya-Masaka'!N27,'31.10 Maya-Masaka-24h'!N27,'02.11 Maya-Masaka-24h'!N27,'03.11 Maya-Masaka'!N27)</f>
        <v>0</v>
      </c>
      <c r="O27" s="15">
        <f t="shared" si="0"/>
        <v>121.57142857142857</v>
      </c>
      <c r="P27" s="15">
        <f t="shared" si="1"/>
        <v>148.85714285714286</v>
      </c>
      <c r="R27" s="1" t="s">
        <v>151</v>
      </c>
      <c r="S27" s="34">
        <f>SUM(C78:C81)</f>
        <v>29.5</v>
      </c>
      <c r="T27" s="34">
        <f t="shared" ref="T27:AF27" si="19">SUM(D78:D81)</f>
        <v>11.5</v>
      </c>
      <c r="U27" s="34">
        <f t="shared" si="19"/>
        <v>4.5</v>
      </c>
      <c r="V27" s="34">
        <f t="shared" si="19"/>
        <v>20</v>
      </c>
      <c r="W27" s="34">
        <f t="shared" si="19"/>
        <v>1</v>
      </c>
      <c r="X27" s="34">
        <f t="shared" si="19"/>
        <v>12.5</v>
      </c>
      <c r="Y27" s="34">
        <f t="shared" si="19"/>
        <v>35.5</v>
      </c>
      <c r="Z27" s="34">
        <f t="shared" si="19"/>
        <v>19</v>
      </c>
      <c r="AA27" s="34">
        <f t="shared" si="19"/>
        <v>10.5</v>
      </c>
      <c r="AB27" s="34">
        <f t="shared" si="19"/>
        <v>7</v>
      </c>
      <c r="AC27" s="34">
        <f t="shared" si="19"/>
        <v>15.5</v>
      </c>
      <c r="AD27" s="34">
        <f t="shared" si="19"/>
        <v>0</v>
      </c>
      <c r="AE27" s="31">
        <f t="shared" si="19"/>
        <v>151</v>
      </c>
      <c r="AF27" s="31">
        <f t="shared" si="19"/>
        <v>166.5</v>
      </c>
    </row>
    <row r="28" spans="2:32" ht="23.1" customHeight="1" x14ac:dyDescent="0.25">
      <c r="B28" s="23" t="s">
        <v>55</v>
      </c>
      <c r="C28" s="49">
        <f>AVERAGE('28.10 Maya-Masaka'!C28,'29.10 Maya-Masaka'!C28,'30.10 Maya-Masaka'!C28,'01.11 Maya-Masaka'!C28,'31.10 Maya-Masaka-24h'!C28,'02.11 Maya-Masaka-24h'!C28,'03.11 Maya-Masaka'!C28)</f>
        <v>30.571428571428573</v>
      </c>
      <c r="D28" s="49">
        <f>AVERAGE('28.10 Maya-Masaka'!D28,'29.10 Maya-Masaka'!D28,'30.10 Maya-Masaka'!D28,'01.11 Maya-Masaka'!D28,'31.10 Maya-Masaka-24h'!D28,'02.11 Maya-Masaka-24h'!D28,'03.11 Maya-Masaka'!D28)</f>
        <v>8.7142857142857135</v>
      </c>
      <c r="E28" s="49">
        <f>AVERAGE('28.10 Maya-Masaka'!E28,'29.10 Maya-Masaka'!E28,'30.10 Maya-Masaka'!E28,'01.11 Maya-Masaka'!E28,'31.10 Maya-Masaka-24h'!E28,'02.11 Maya-Masaka-24h'!E28,'03.11 Maya-Masaka'!E28)</f>
        <v>6.1428571428571432</v>
      </c>
      <c r="F28" s="49">
        <f>AVERAGE('28.10 Maya-Masaka'!F28,'29.10 Maya-Masaka'!F28,'30.10 Maya-Masaka'!F28,'01.11 Maya-Masaka'!F28,'31.10 Maya-Masaka-24h'!F28,'02.11 Maya-Masaka-24h'!F28,'03.11 Maya-Masaka'!F28)</f>
        <v>26.857142857142858</v>
      </c>
      <c r="G28" s="49">
        <f>AVERAGE('28.10 Maya-Masaka'!G28,'29.10 Maya-Masaka'!G28,'30.10 Maya-Masaka'!G28,'01.11 Maya-Masaka'!G28,'31.10 Maya-Masaka-24h'!G28,'02.11 Maya-Masaka-24h'!G28,'03.11 Maya-Masaka'!G28)</f>
        <v>2.4285714285714284</v>
      </c>
      <c r="H28" s="49">
        <f>AVERAGE('28.10 Maya-Masaka'!H28,'29.10 Maya-Masaka'!H28,'30.10 Maya-Masaka'!H28,'01.11 Maya-Masaka'!H28,'31.10 Maya-Masaka-24h'!H28,'02.11 Maya-Masaka-24h'!H28,'03.11 Maya-Masaka'!H28)</f>
        <v>1.8571428571428572</v>
      </c>
      <c r="I28" s="49">
        <f>AVERAGE('28.10 Maya-Masaka'!I28,'29.10 Maya-Masaka'!I28,'30.10 Maya-Masaka'!I28,'01.11 Maya-Masaka'!I28,'31.10 Maya-Masaka-24h'!I28,'02.11 Maya-Masaka-24h'!I28,'03.11 Maya-Masaka'!I28)</f>
        <v>16.571428571428573</v>
      </c>
      <c r="J28" s="49">
        <f>AVERAGE('28.10 Maya-Masaka'!J28,'29.10 Maya-Masaka'!J28,'30.10 Maya-Masaka'!J28,'01.11 Maya-Masaka'!J28,'31.10 Maya-Masaka-24h'!J28,'02.11 Maya-Masaka-24h'!J28,'03.11 Maya-Masaka'!J28)</f>
        <v>4</v>
      </c>
      <c r="K28" s="49">
        <f>AVERAGE('28.10 Maya-Masaka'!K28,'29.10 Maya-Masaka'!K28,'30.10 Maya-Masaka'!K28,'01.11 Maya-Masaka'!K28,'31.10 Maya-Masaka-24h'!K28,'02.11 Maya-Masaka-24h'!K28,'03.11 Maya-Masaka'!K28)</f>
        <v>3.1428571428571428</v>
      </c>
      <c r="L28" s="49">
        <f>AVERAGE('28.10 Maya-Masaka'!L28,'29.10 Maya-Masaka'!L28,'30.10 Maya-Masaka'!L28,'01.11 Maya-Masaka'!L28,'31.10 Maya-Masaka-24h'!L28,'02.11 Maya-Masaka-24h'!L28,'03.11 Maya-Masaka'!L28)</f>
        <v>2.2857142857142856</v>
      </c>
      <c r="M28" s="49">
        <f>AVERAGE('28.10 Maya-Masaka'!M28,'29.10 Maya-Masaka'!M28,'30.10 Maya-Masaka'!M28,'01.11 Maya-Masaka'!M28,'31.10 Maya-Masaka-24h'!M28,'02.11 Maya-Masaka-24h'!M28,'03.11 Maya-Masaka'!M28)</f>
        <v>25.857142857142858</v>
      </c>
      <c r="N28" s="49">
        <f>AVERAGE('28.10 Maya-Masaka'!N28,'29.10 Maya-Masaka'!N28,'30.10 Maya-Masaka'!N28,'01.11 Maya-Masaka'!N28,'31.10 Maya-Masaka-24h'!N28,'02.11 Maya-Masaka-24h'!N28,'03.11 Maya-Masaka'!N28)</f>
        <v>0</v>
      </c>
      <c r="O28" s="15">
        <f t="shared" si="0"/>
        <v>102.57142857142858</v>
      </c>
      <c r="P28" s="15">
        <f t="shared" si="1"/>
        <v>128.42857142857144</v>
      </c>
      <c r="R28" s="1" t="s">
        <v>152</v>
      </c>
      <c r="S28" s="34">
        <f>SUM(C82:C85)</f>
        <v>13.5</v>
      </c>
      <c r="T28" s="34">
        <f t="shared" ref="T28:AF28" si="20">SUM(D82:D85)</f>
        <v>4</v>
      </c>
      <c r="U28" s="34">
        <f t="shared" si="20"/>
        <v>3</v>
      </c>
      <c r="V28" s="34">
        <f t="shared" si="20"/>
        <v>3</v>
      </c>
      <c r="W28" s="34">
        <f t="shared" si="20"/>
        <v>0.5</v>
      </c>
      <c r="X28" s="34">
        <f t="shared" si="20"/>
        <v>3.5</v>
      </c>
      <c r="Y28" s="34">
        <f t="shared" si="20"/>
        <v>25.5</v>
      </c>
      <c r="Z28" s="34">
        <f t="shared" si="20"/>
        <v>11.5</v>
      </c>
      <c r="AA28" s="34">
        <f t="shared" si="20"/>
        <v>7.5</v>
      </c>
      <c r="AB28" s="34">
        <f t="shared" si="20"/>
        <v>2.5</v>
      </c>
      <c r="AC28" s="34">
        <f t="shared" si="20"/>
        <v>5.5</v>
      </c>
      <c r="AD28" s="34">
        <f t="shared" si="20"/>
        <v>0</v>
      </c>
      <c r="AE28" s="31">
        <f t="shared" si="20"/>
        <v>74.5</v>
      </c>
      <c r="AF28" s="31">
        <f t="shared" si="20"/>
        <v>80</v>
      </c>
    </row>
    <row r="29" spans="2:32" ht="23.1" customHeight="1" x14ac:dyDescent="0.25">
      <c r="B29" s="23" t="s">
        <v>56</v>
      </c>
      <c r="C29" s="49">
        <f>AVERAGE('28.10 Maya-Masaka'!C29,'29.10 Maya-Masaka'!C29,'30.10 Maya-Masaka'!C29,'01.11 Maya-Masaka'!C29,'31.10 Maya-Masaka-24h'!C29,'02.11 Maya-Masaka-24h'!C29,'03.11 Maya-Masaka'!C29)</f>
        <v>43.571428571428569</v>
      </c>
      <c r="D29" s="49">
        <f>AVERAGE('28.10 Maya-Masaka'!D29,'29.10 Maya-Masaka'!D29,'30.10 Maya-Masaka'!D29,'01.11 Maya-Masaka'!D29,'31.10 Maya-Masaka-24h'!D29,'02.11 Maya-Masaka-24h'!D29,'03.11 Maya-Masaka'!D29)</f>
        <v>10.142857142857142</v>
      </c>
      <c r="E29" s="49">
        <f>AVERAGE('28.10 Maya-Masaka'!E29,'29.10 Maya-Masaka'!E29,'30.10 Maya-Masaka'!E29,'01.11 Maya-Masaka'!E29,'31.10 Maya-Masaka-24h'!E29,'02.11 Maya-Masaka-24h'!E29,'03.11 Maya-Masaka'!E29)</f>
        <v>6.8571428571428568</v>
      </c>
      <c r="F29" s="49">
        <f>AVERAGE('28.10 Maya-Masaka'!F29,'29.10 Maya-Masaka'!F29,'30.10 Maya-Masaka'!F29,'01.11 Maya-Masaka'!F29,'31.10 Maya-Masaka-24h'!F29,'02.11 Maya-Masaka-24h'!F29,'03.11 Maya-Masaka'!F29)</f>
        <v>36.285714285714285</v>
      </c>
      <c r="G29" s="49">
        <f>AVERAGE('28.10 Maya-Masaka'!G29,'29.10 Maya-Masaka'!G29,'30.10 Maya-Masaka'!G29,'01.11 Maya-Masaka'!G29,'31.10 Maya-Masaka-24h'!G29,'02.11 Maya-Masaka-24h'!G29,'03.11 Maya-Masaka'!G29)</f>
        <v>4.2857142857142856</v>
      </c>
      <c r="H29" s="49">
        <f>AVERAGE('28.10 Maya-Masaka'!H29,'29.10 Maya-Masaka'!H29,'30.10 Maya-Masaka'!H29,'01.11 Maya-Masaka'!H29,'31.10 Maya-Masaka-24h'!H29,'02.11 Maya-Masaka-24h'!H29,'03.11 Maya-Masaka'!H29)</f>
        <v>1.5714285714285714</v>
      </c>
      <c r="I29" s="49">
        <f>AVERAGE('28.10 Maya-Masaka'!I29,'29.10 Maya-Masaka'!I29,'30.10 Maya-Masaka'!I29,'01.11 Maya-Masaka'!I29,'31.10 Maya-Masaka-24h'!I29,'02.11 Maya-Masaka-24h'!I29,'03.11 Maya-Masaka'!I29)</f>
        <v>14.428571428571429</v>
      </c>
      <c r="J29" s="49">
        <f>AVERAGE('28.10 Maya-Masaka'!J29,'29.10 Maya-Masaka'!J29,'30.10 Maya-Masaka'!J29,'01.11 Maya-Masaka'!J29,'31.10 Maya-Masaka-24h'!J29,'02.11 Maya-Masaka-24h'!J29,'03.11 Maya-Masaka'!J29)</f>
        <v>4.1428571428571432</v>
      </c>
      <c r="K29" s="49">
        <f>AVERAGE('28.10 Maya-Masaka'!K29,'29.10 Maya-Masaka'!K29,'30.10 Maya-Masaka'!K29,'01.11 Maya-Masaka'!K29,'31.10 Maya-Masaka-24h'!K29,'02.11 Maya-Masaka-24h'!K29,'03.11 Maya-Masaka'!K29)</f>
        <v>2.5714285714285716</v>
      </c>
      <c r="L29" s="49">
        <f>AVERAGE('28.10 Maya-Masaka'!L29,'29.10 Maya-Masaka'!L29,'30.10 Maya-Masaka'!L29,'01.11 Maya-Masaka'!L29,'31.10 Maya-Masaka-24h'!L29,'02.11 Maya-Masaka-24h'!L29,'03.11 Maya-Masaka'!L29)</f>
        <v>2.7142857142857144</v>
      </c>
      <c r="M29" s="49">
        <f>AVERAGE('28.10 Maya-Masaka'!M29,'29.10 Maya-Masaka'!M29,'30.10 Maya-Masaka'!M29,'01.11 Maya-Masaka'!M29,'31.10 Maya-Masaka-24h'!M29,'02.11 Maya-Masaka-24h'!M29,'03.11 Maya-Masaka'!M29)</f>
        <v>24.857142857142858</v>
      </c>
      <c r="N29" s="49">
        <f>AVERAGE('28.10 Maya-Masaka'!N29,'29.10 Maya-Masaka'!N29,'30.10 Maya-Masaka'!N29,'01.11 Maya-Masaka'!N29,'31.10 Maya-Masaka-24h'!N29,'02.11 Maya-Masaka-24h'!N29,'03.11 Maya-Masaka'!N29)</f>
        <v>0</v>
      </c>
      <c r="O29" s="15">
        <f t="shared" si="0"/>
        <v>126.57142857142856</v>
      </c>
      <c r="P29" s="15">
        <f t="shared" si="1"/>
        <v>151.42857142857142</v>
      </c>
      <c r="R29" s="1" t="s">
        <v>153</v>
      </c>
      <c r="S29" s="34">
        <f>SUM(C86:C89)</f>
        <v>9</v>
      </c>
      <c r="T29" s="34">
        <f t="shared" ref="T29:AF29" si="21">SUM(D86:D89)</f>
        <v>1.5</v>
      </c>
      <c r="U29" s="34">
        <f t="shared" si="21"/>
        <v>2</v>
      </c>
      <c r="V29" s="34">
        <f t="shared" si="21"/>
        <v>2.5</v>
      </c>
      <c r="W29" s="34">
        <f t="shared" si="21"/>
        <v>0.5</v>
      </c>
      <c r="X29" s="34">
        <f t="shared" si="21"/>
        <v>3</v>
      </c>
      <c r="Y29" s="34">
        <f t="shared" si="21"/>
        <v>22</v>
      </c>
      <c r="Z29" s="34">
        <f t="shared" si="21"/>
        <v>9</v>
      </c>
      <c r="AA29" s="34">
        <f t="shared" si="21"/>
        <v>6.5</v>
      </c>
      <c r="AB29" s="34">
        <f t="shared" si="21"/>
        <v>6.5</v>
      </c>
      <c r="AC29" s="34">
        <f t="shared" si="21"/>
        <v>4.5</v>
      </c>
      <c r="AD29" s="34">
        <f t="shared" si="21"/>
        <v>0</v>
      </c>
      <c r="AE29" s="31">
        <f t="shared" si="21"/>
        <v>62.5</v>
      </c>
      <c r="AF29" s="31">
        <f t="shared" si="21"/>
        <v>67</v>
      </c>
    </row>
    <row r="30" spans="2:32" ht="23.1" customHeight="1" x14ac:dyDescent="0.25">
      <c r="B30" s="23" t="s">
        <v>57</v>
      </c>
      <c r="C30" s="49">
        <f>AVERAGE('28.10 Maya-Masaka'!C30,'29.10 Maya-Masaka'!C30,'30.10 Maya-Masaka'!C30,'01.11 Maya-Masaka'!C30,'31.10 Maya-Masaka-24h'!C30,'02.11 Maya-Masaka-24h'!C30,'03.11 Maya-Masaka'!C30)</f>
        <v>46</v>
      </c>
      <c r="D30" s="49">
        <f>AVERAGE('28.10 Maya-Masaka'!D30,'29.10 Maya-Masaka'!D30,'30.10 Maya-Masaka'!D30,'01.11 Maya-Masaka'!D30,'31.10 Maya-Masaka-24h'!D30,'02.11 Maya-Masaka-24h'!D30,'03.11 Maya-Masaka'!D30)</f>
        <v>9.5714285714285712</v>
      </c>
      <c r="E30" s="49">
        <f>AVERAGE('28.10 Maya-Masaka'!E30,'29.10 Maya-Masaka'!E30,'30.10 Maya-Masaka'!E30,'01.11 Maya-Masaka'!E30,'31.10 Maya-Masaka-24h'!E30,'02.11 Maya-Masaka-24h'!E30,'03.11 Maya-Masaka'!E30)</f>
        <v>6.8571428571428568</v>
      </c>
      <c r="F30" s="49">
        <f>AVERAGE('28.10 Maya-Masaka'!F30,'29.10 Maya-Masaka'!F30,'30.10 Maya-Masaka'!F30,'01.11 Maya-Masaka'!F30,'31.10 Maya-Masaka-24h'!F30,'02.11 Maya-Masaka-24h'!F30,'03.11 Maya-Masaka'!F30)</f>
        <v>28.714285714285715</v>
      </c>
      <c r="G30" s="49">
        <f>AVERAGE('28.10 Maya-Masaka'!G30,'29.10 Maya-Masaka'!G30,'30.10 Maya-Masaka'!G30,'01.11 Maya-Masaka'!G30,'31.10 Maya-Masaka-24h'!G30,'02.11 Maya-Masaka-24h'!G30,'03.11 Maya-Masaka'!G30)</f>
        <v>1.5714285714285714</v>
      </c>
      <c r="H30" s="49">
        <f>AVERAGE('28.10 Maya-Masaka'!H30,'29.10 Maya-Masaka'!H30,'30.10 Maya-Masaka'!H30,'01.11 Maya-Masaka'!H30,'31.10 Maya-Masaka-24h'!H30,'02.11 Maya-Masaka-24h'!H30,'03.11 Maya-Masaka'!H30)</f>
        <v>1.4285714285714286</v>
      </c>
      <c r="I30" s="49">
        <f>AVERAGE('28.10 Maya-Masaka'!I30,'29.10 Maya-Masaka'!I30,'30.10 Maya-Masaka'!I30,'01.11 Maya-Masaka'!I30,'31.10 Maya-Masaka-24h'!I30,'02.11 Maya-Masaka-24h'!I30,'03.11 Maya-Masaka'!I30)</f>
        <v>13.285714285714286</v>
      </c>
      <c r="J30" s="49">
        <f>AVERAGE('28.10 Maya-Masaka'!J30,'29.10 Maya-Masaka'!J30,'30.10 Maya-Masaka'!J30,'01.11 Maya-Masaka'!J30,'31.10 Maya-Masaka-24h'!J30,'02.11 Maya-Masaka-24h'!J30,'03.11 Maya-Masaka'!J30)</f>
        <v>4</v>
      </c>
      <c r="K30" s="49">
        <f>AVERAGE('28.10 Maya-Masaka'!K30,'29.10 Maya-Masaka'!K30,'30.10 Maya-Masaka'!K30,'01.11 Maya-Masaka'!K30,'31.10 Maya-Masaka-24h'!K30,'02.11 Maya-Masaka-24h'!K30,'03.11 Maya-Masaka'!K30)</f>
        <v>2.8571428571428572</v>
      </c>
      <c r="L30" s="49">
        <f>AVERAGE('28.10 Maya-Masaka'!L30,'29.10 Maya-Masaka'!L30,'30.10 Maya-Masaka'!L30,'01.11 Maya-Masaka'!L30,'31.10 Maya-Masaka-24h'!L30,'02.11 Maya-Masaka-24h'!L30,'03.11 Maya-Masaka'!L30)</f>
        <v>1.2857142857142858</v>
      </c>
      <c r="M30" s="49">
        <f>AVERAGE('28.10 Maya-Masaka'!M30,'29.10 Maya-Masaka'!M30,'30.10 Maya-Masaka'!M30,'01.11 Maya-Masaka'!M30,'31.10 Maya-Masaka-24h'!M30,'02.11 Maya-Masaka-24h'!M30,'03.11 Maya-Masaka'!M30)</f>
        <v>31</v>
      </c>
      <c r="N30" s="49">
        <f>AVERAGE('28.10 Maya-Masaka'!N30,'29.10 Maya-Masaka'!N30,'30.10 Maya-Masaka'!N30,'01.11 Maya-Masaka'!N30,'31.10 Maya-Masaka-24h'!N30,'02.11 Maya-Masaka-24h'!N30,'03.11 Maya-Masaka'!N30)</f>
        <v>0</v>
      </c>
      <c r="O30" s="15">
        <f t="shared" si="0"/>
        <v>115.57142857142858</v>
      </c>
      <c r="P30" s="15">
        <f t="shared" si="1"/>
        <v>146.57142857142858</v>
      </c>
      <c r="R30" s="1" t="s">
        <v>154</v>
      </c>
      <c r="S30" s="34">
        <f>SUM(C90:C93)</f>
        <v>6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1.5</v>
      </c>
      <c r="W30" s="34">
        <f t="shared" si="22"/>
        <v>0</v>
      </c>
      <c r="X30" s="34">
        <f t="shared" si="22"/>
        <v>1</v>
      </c>
      <c r="Y30" s="34">
        <f t="shared" si="22"/>
        <v>20</v>
      </c>
      <c r="Z30" s="34">
        <f t="shared" si="22"/>
        <v>5.5</v>
      </c>
      <c r="AA30" s="34">
        <f t="shared" si="22"/>
        <v>9</v>
      </c>
      <c r="AB30" s="34">
        <f t="shared" si="22"/>
        <v>3</v>
      </c>
      <c r="AC30" s="34">
        <f t="shared" si="22"/>
        <v>4</v>
      </c>
      <c r="AD30" s="34">
        <f t="shared" si="22"/>
        <v>0</v>
      </c>
      <c r="AE30" s="31">
        <f t="shared" si="22"/>
        <v>49</v>
      </c>
      <c r="AF30" s="31">
        <f t="shared" si="22"/>
        <v>53</v>
      </c>
    </row>
    <row r="31" spans="2:32" ht="23.1" customHeight="1" x14ac:dyDescent="0.25">
      <c r="B31" s="24" t="s">
        <v>58</v>
      </c>
      <c r="C31" s="49">
        <f>AVERAGE('28.10 Maya-Masaka'!C31,'29.10 Maya-Masaka'!C31,'30.10 Maya-Masaka'!C31,'01.11 Maya-Masaka'!C31,'31.10 Maya-Masaka-24h'!C31,'02.11 Maya-Masaka-24h'!C31,'03.11 Maya-Masaka'!C31)</f>
        <v>39.428571428571431</v>
      </c>
      <c r="D31" s="49">
        <f>AVERAGE('28.10 Maya-Masaka'!D31,'29.10 Maya-Masaka'!D31,'30.10 Maya-Masaka'!D31,'01.11 Maya-Masaka'!D31,'31.10 Maya-Masaka-24h'!D31,'02.11 Maya-Masaka-24h'!D31,'03.11 Maya-Masaka'!D31)</f>
        <v>11</v>
      </c>
      <c r="E31" s="49">
        <f>AVERAGE('28.10 Maya-Masaka'!E31,'29.10 Maya-Masaka'!E31,'30.10 Maya-Masaka'!E31,'01.11 Maya-Masaka'!E31,'31.10 Maya-Masaka-24h'!E31,'02.11 Maya-Masaka-24h'!E31,'03.11 Maya-Masaka'!E31)</f>
        <v>5.1428571428571432</v>
      </c>
      <c r="F31" s="49">
        <f>AVERAGE('28.10 Maya-Masaka'!F31,'29.10 Maya-Masaka'!F31,'30.10 Maya-Masaka'!F31,'01.11 Maya-Masaka'!F31,'31.10 Maya-Masaka-24h'!F31,'02.11 Maya-Masaka-24h'!F31,'03.11 Maya-Masaka'!F31)</f>
        <v>30.714285714285715</v>
      </c>
      <c r="G31" s="49">
        <f>AVERAGE('28.10 Maya-Masaka'!G31,'29.10 Maya-Masaka'!G31,'30.10 Maya-Masaka'!G31,'01.11 Maya-Masaka'!G31,'31.10 Maya-Masaka-24h'!G31,'02.11 Maya-Masaka-24h'!G31,'03.11 Maya-Masaka'!G31)</f>
        <v>1.8571428571428572</v>
      </c>
      <c r="H31" s="49">
        <f>AVERAGE('28.10 Maya-Masaka'!H31,'29.10 Maya-Masaka'!H31,'30.10 Maya-Masaka'!H31,'01.11 Maya-Masaka'!H31,'31.10 Maya-Masaka-24h'!H31,'02.11 Maya-Masaka-24h'!H31,'03.11 Maya-Masaka'!H31)</f>
        <v>1.4285714285714286</v>
      </c>
      <c r="I31" s="49">
        <f>AVERAGE('28.10 Maya-Masaka'!I31,'29.10 Maya-Masaka'!I31,'30.10 Maya-Masaka'!I31,'01.11 Maya-Masaka'!I31,'31.10 Maya-Masaka-24h'!I31,'02.11 Maya-Masaka-24h'!I31,'03.11 Maya-Masaka'!I31)</f>
        <v>19</v>
      </c>
      <c r="J31" s="49">
        <f>AVERAGE('28.10 Maya-Masaka'!J31,'29.10 Maya-Masaka'!J31,'30.10 Maya-Masaka'!J31,'01.11 Maya-Masaka'!J31,'31.10 Maya-Masaka-24h'!J31,'02.11 Maya-Masaka-24h'!J31,'03.11 Maya-Masaka'!J31)</f>
        <v>3.1428571428571428</v>
      </c>
      <c r="K31" s="49">
        <f>AVERAGE('28.10 Maya-Masaka'!K31,'29.10 Maya-Masaka'!K31,'30.10 Maya-Masaka'!K31,'01.11 Maya-Masaka'!K31,'31.10 Maya-Masaka-24h'!K31,'02.11 Maya-Masaka-24h'!K31,'03.11 Maya-Masaka'!K31)</f>
        <v>1.5714285714285714</v>
      </c>
      <c r="L31" s="49">
        <f>AVERAGE('28.10 Maya-Masaka'!L31,'29.10 Maya-Masaka'!L31,'30.10 Maya-Masaka'!L31,'01.11 Maya-Masaka'!L31,'31.10 Maya-Masaka-24h'!L31,'02.11 Maya-Masaka-24h'!L31,'03.11 Maya-Masaka'!L31)</f>
        <v>2</v>
      </c>
      <c r="M31" s="49">
        <f>AVERAGE('28.10 Maya-Masaka'!M31,'29.10 Maya-Masaka'!M31,'30.10 Maya-Masaka'!M31,'01.11 Maya-Masaka'!M31,'31.10 Maya-Masaka-24h'!M31,'02.11 Maya-Masaka-24h'!M31,'03.11 Maya-Masaka'!M31)</f>
        <v>27.285714285714285</v>
      </c>
      <c r="N31" s="49">
        <f>AVERAGE('28.10 Maya-Masaka'!N31,'29.10 Maya-Masaka'!N31,'30.10 Maya-Masaka'!N31,'01.11 Maya-Masaka'!N31,'31.10 Maya-Masaka-24h'!N31,'02.11 Maya-Masaka-24h'!N31,'03.11 Maya-Masaka'!N31)</f>
        <v>0</v>
      </c>
      <c r="O31" s="15">
        <f t="shared" si="0"/>
        <v>115.28571428571429</v>
      </c>
      <c r="P31" s="15">
        <f t="shared" si="1"/>
        <v>142.57142857142858</v>
      </c>
      <c r="R31" s="1" t="s">
        <v>155</v>
      </c>
      <c r="S31" s="34">
        <f>SUM(C94:C97)</f>
        <v>10.5</v>
      </c>
      <c r="T31" s="34">
        <f t="shared" ref="T31:AF31" si="23">SUM(D94:D97)</f>
        <v>4</v>
      </c>
      <c r="U31" s="34">
        <f t="shared" si="23"/>
        <v>2</v>
      </c>
      <c r="V31" s="34">
        <f t="shared" si="23"/>
        <v>4.5</v>
      </c>
      <c r="W31" s="34">
        <f t="shared" si="23"/>
        <v>1.5</v>
      </c>
      <c r="X31" s="34">
        <f t="shared" si="23"/>
        <v>0.5</v>
      </c>
      <c r="Y31" s="34">
        <f t="shared" si="23"/>
        <v>28.5</v>
      </c>
      <c r="Z31" s="34">
        <f t="shared" si="23"/>
        <v>5.5</v>
      </c>
      <c r="AA31" s="34">
        <f t="shared" si="23"/>
        <v>4</v>
      </c>
      <c r="AB31" s="34">
        <f t="shared" si="23"/>
        <v>2.5</v>
      </c>
      <c r="AC31" s="34">
        <f t="shared" si="23"/>
        <v>2</v>
      </c>
      <c r="AD31" s="34">
        <f t="shared" si="23"/>
        <v>0</v>
      </c>
      <c r="AE31" s="31">
        <f t="shared" si="23"/>
        <v>63.5</v>
      </c>
      <c r="AF31" s="31">
        <f t="shared" si="23"/>
        <v>65.5</v>
      </c>
    </row>
    <row r="32" spans="2:32" ht="23.1" customHeight="1" x14ac:dyDescent="0.25">
      <c r="B32" s="24" t="s">
        <v>59</v>
      </c>
      <c r="C32" s="49">
        <f>AVERAGE('28.10 Maya-Masaka'!C32,'29.10 Maya-Masaka'!C32,'30.10 Maya-Masaka'!C32,'01.11 Maya-Masaka'!C32,'31.10 Maya-Masaka-24h'!C32,'02.11 Maya-Masaka-24h'!C32,'03.11 Maya-Masaka'!C32)</f>
        <v>40.285714285714285</v>
      </c>
      <c r="D32" s="49">
        <f>AVERAGE('28.10 Maya-Masaka'!D32,'29.10 Maya-Masaka'!D32,'30.10 Maya-Masaka'!D32,'01.11 Maya-Masaka'!D32,'31.10 Maya-Masaka-24h'!D32,'02.11 Maya-Masaka-24h'!D32,'03.11 Maya-Masaka'!D32)</f>
        <v>9.4285714285714288</v>
      </c>
      <c r="E32" s="49">
        <f>AVERAGE('28.10 Maya-Masaka'!E32,'29.10 Maya-Masaka'!E32,'30.10 Maya-Masaka'!E32,'01.11 Maya-Masaka'!E32,'31.10 Maya-Masaka-24h'!E32,'02.11 Maya-Masaka-24h'!E32,'03.11 Maya-Masaka'!E32)</f>
        <v>6.4285714285714288</v>
      </c>
      <c r="F32" s="49">
        <f>AVERAGE('28.10 Maya-Masaka'!F32,'29.10 Maya-Masaka'!F32,'30.10 Maya-Masaka'!F32,'01.11 Maya-Masaka'!F32,'31.10 Maya-Masaka-24h'!F32,'02.11 Maya-Masaka-24h'!F32,'03.11 Maya-Masaka'!F32)</f>
        <v>29.428571428571427</v>
      </c>
      <c r="G32" s="49">
        <f>AVERAGE('28.10 Maya-Masaka'!G32,'29.10 Maya-Masaka'!G32,'30.10 Maya-Masaka'!G32,'01.11 Maya-Masaka'!G32,'31.10 Maya-Masaka-24h'!G32,'02.11 Maya-Masaka-24h'!G32,'03.11 Maya-Masaka'!G32)</f>
        <v>1.2857142857142858</v>
      </c>
      <c r="H32" s="49">
        <f>AVERAGE('28.10 Maya-Masaka'!H32,'29.10 Maya-Masaka'!H32,'30.10 Maya-Masaka'!H32,'01.11 Maya-Masaka'!H32,'31.10 Maya-Masaka-24h'!H32,'02.11 Maya-Masaka-24h'!H32,'03.11 Maya-Masaka'!H32)</f>
        <v>3.5714285714285716</v>
      </c>
      <c r="I32" s="49">
        <f>AVERAGE('28.10 Maya-Masaka'!I32,'29.10 Maya-Masaka'!I32,'30.10 Maya-Masaka'!I32,'01.11 Maya-Masaka'!I32,'31.10 Maya-Masaka-24h'!I32,'02.11 Maya-Masaka-24h'!I32,'03.11 Maya-Masaka'!I32)</f>
        <v>17.142857142857142</v>
      </c>
      <c r="J32" s="49">
        <f>AVERAGE('28.10 Maya-Masaka'!J32,'29.10 Maya-Masaka'!J32,'30.10 Maya-Masaka'!J32,'01.11 Maya-Masaka'!J32,'31.10 Maya-Masaka-24h'!J32,'02.11 Maya-Masaka-24h'!J32,'03.11 Maya-Masaka'!J32)</f>
        <v>5.1428571428571432</v>
      </c>
      <c r="K32" s="49">
        <f>AVERAGE('28.10 Maya-Masaka'!K32,'29.10 Maya-Masaka'!K32,'30.10 Maya-Masaka'!K32,'01.11 Maya-Masaka'!K32,'31.10 Maya-Masaka-24h'!K32,'02.11 Maya-Masaka-24h'!K32,'03.11 Maya-Masaka'!K32)</f>
        <v>1.5714285714285714</v>
      </c>
      <c r="L32" s="49">
        <f>AVERAGE('28.10 Maya-Masaka'!L32,'29.10 Maya-Masaka'!L32,'30.10 Maya-Masaka'!L32,'01.11 Maya-Masaka'!L32,'31.10 Maya-Masaka-24h'!L32,'02.11 Maya-Masaka-24h'!L32,'03.11 Maya-Masaka'!L32)</f>
        <v>2.1428571428571428</v>
      </c>
      <c r="M32" s="49">
        <f>AVERAGE('28.10 Maya-Masaka'!M32,'29.10 Maya-Masaka'!M32,'30.10 Maya-Masaka'!M32,'01.11 Maya-Masaka'!M32,'31.10 Maya-Masaka-24h'!M32,'02.11 Maya-Masaka-24h'!M32,'03.11 Maya-Masaka'!M32)</f>
        <v>27.428571428571427</v>
      </c>
      <c r="N32" s="49">
        <f>AVERAGE('28.10 Maya-Masaka'!N32,'29.10 Maya-Masaka'!N32,'30.10 Maya-Masaka'!N32,'01.11 Maya-Masaka'!N32,'31.10 Maya-Masaka-24h'!N32,'02.11 Maya-Masaka-24h'!N32,'03.11 Maya-Masaka'!N32)</f>
        <v>0</v>
      </c>
      <c r="O32" s="15">
        <f t="shared" si="0"/>
        <v>116.42857142857142</v>
      </c>
      <c r="P32" s="15">
        <f t="shared" si="1"/>
        <v>143.85714285714283</v>
      </c>
      <c r="R32" s="1" t="s">
        <v>156</v>
      </c>
      <c r="S32" s="34">
        <f>SUM(C98:C101)</f>
        <v>28.5</v>
      </c>
      <c r="T32" s="34">
        <f t="shared" ref="T32:AF32" si="24">SUM(D98:D101)</f>
        <v>5</v>
      </c>
      <c r="U32" s="34">
        <f t="shared" si="24"/>
        <v>3.5</v>
      </c>
      <c r="V32" s="34">
        <f t="shared" si="24"/>
        <v>10.5</v>
      </c>
      <c r="W32" s="34">
        <f t="shared" si="24"/>
        <v>0.5</v>
      </c>
      <c r="X32" s="34">
        <f t="shared" si="24"/>
        <v>1</v>
      </c>
      <c r="Y32" s="34">
        <f t="shared" si="24"/>
        <v>41</v>
      </c>
      <c r="Z32" s="34">
        <f t="shared" si="24"/>
        <v>7.5</v>
      </c>
      <c r="AA32" s="34">
        <f t="shared" si="24"/>
        <v>8</v>
      </c>
      <c r="AB32" s="34">
        <f t="shared" si="24"/>
        <v>5</v>
      </c>
      <c r="AC32" s="34">
        <f t="shared" si="24"/>
        <v>15.5</v>
      </c>
      <c r="AD32" s="34">
        <f t="shared" si="24"/>
        <v>0</v>
      </c>
      <c r="AE32" s="31">
        <f t="shared" si="24"/>
        <v>110.5</v>
      </c>
      <c r="AF32" s="31">
        <f t="shared" si="24"/>
        <v>126</v>
      </c>
    </row>
    <row r="33" spans="2:32" ht="23.1" customHeight="1" x14ac:dyDescent="0.25">
      <c r="B33" s="23" t="s">
        <v>60</v>
      </c>
      <c r="C33" s="49">
        <f>AVERAGE('28.10 Maya-Masaka'!C33,'29.10 Maya-Masaka'!C33,'30.10 Maya-Masaka'!C33,'01.11 Maya-Masaka'!C33,'31.10 Maya-Masaka-24h'!C33,'02.11 Maya-Masaka-24h'!C33,'03.11 Maya-Masaka'!C33)</f>
        <v>35.857142857142854</v>
      </c>
      <c r="D33" s="49">
        <f>AVERAGE('28.10 Maya-Masaka'!D33,'29.10 Maya-Masaka'!D33,'30.10 Maya-Masaka'!D33,'01.11 Maya-Masaka'!D33,'31.10 Maya-Masaka-24h'!D33,'02.11 Maya-Masaka-24h'!D33,'03.11 Maya-Masaka'!D33)</f>
        <v>7.7142857142857144</v>
      </c>
      <c r="E33" s="49">
        <f>AVERAGE('28.10 Maya-Masaka'!E33,'29.10 Maya-Masaka'!E33,'30.10 Maya-Masaka'!E33,'01.11 Maya-Masaka'!E33,'31.10 Maya-Masaka-24h'!E33,'02.11 Maya-Masaka-24h'!E33,'03.11 Maya-Masaka'!E33)</f>
        <v>6.7142857142857144</v>
      </c>
      <c r="F33" s="49">
        <f>AVERAGE('28.10 Maya-Masaka'!F33,'29.10 Maya-Masaka'!F33,'30.10 Maya-Masaka'!F33,'01.11 Maya-Masaka'!F33,'31.10 Maya-Masaka-24h'!F33,'02.11 Maya-Masaka-24h'!F33,'03.11 Maya-Masaka'!F33)</f>
        <v>30.428571428571427</v>
      </c>
      <c r="G33" s="49">
        <f>AVERAGE('28.10 Maya-Masaka'!G33,'29.10 Maya-Masaka'!G33,'30.10 Maya-Masaka'!G33,'01.11 Maya-Masaka'!G33,'31.10 Maya-Masaka-24h'!G33,'02.11 Maya-Masaka-24h'!G33,'03.11 Maya-Masaka'!G33)</f>
        <v>2.5714285714285716</v>
      </c>
      <c r="H33" s="49">
        <f>AVERAGE('28.10 Maya-Masaka'!H33,'29.10 Maya-Masaka'!H33,'30.10 Maya-Masaka'!H33,'01.11 Maya-Masaka'!H33,'31.10 Maya-Masaka-24h'!H33,'02.11 Maya-Masaka-24h'!H33,'03.11 Maya-Masaka'!H33)</f>
        <v>1.2857142857142858</v>
      </c>
      <c r="I33" s="49">
        <f>AVERAGE('28.10 Maya-Masaka'!I33,'29.10 Maya-Masaka'!I33,'30.10 Maya-Masaka'!I33,'01.11 Maya-Masaka'!I33,'31.10 Maya-Masaka-24h'!I33,'02.11 Maya-Masaka-24h'!I33,'03.11 Maya-Masaka'!I33)</f>
        <v>15.428571428571429</v>
      </c>
      <c r="J33" s="49">
        <f>AVERAGE('28.10 Maya-Masaka'!J33,'29.10 Maya-Masaka'!J33,'30.10 Maya-Masaka'!J33,'01.11 Maya-Masaka'!J33,'31.10 Maya-Masaka-24h'!J33,'02.11 Maya-Masaka-24h'!J33,'03.11 Maya-Masaka'!J33)</f>
        <v>5.1428571428571432</v>
      </c>
      <c r="K33" s="49">
        <f>AVERAGE('28.10 Maya-Masaka'!K33,'29.10 Maya-Masaka'!K33,'30.10 Maya-Masaka'!K33,'01.11 Maya-Masaka'!K33,'31.10 Maya-Masaka-24h'!K33,'02.11 Maya-Masaka-24h'!K33,'03.11 Maya-Masaka'!K33)</f>
        <v>1.8571428571428572</v>
      </c>
      <c r="L33" s="49">
        <f>AVERAGE('28.10 Maya-Masaka'!L33,'29.10 Maya-Masaka'!L33,'30.10 Maya-Masaka'!L33,'01.11 Maya-Masaka'!L33,'31.10 Maya-Masaka-24h'!L33,'02.11 Maya-Masaka-24h'!L33,'03.11 Maya-Masaka'!L33)</f>
        <v>1.8571428571428572</v>
      </c>
      <c r="M33" s="49">
        <f>AVERAGE('28.10 Maya-Masaka'!M33,'29.10 Maya-Masaka'!M33,'30.10 Maya-Masaka'!M33,'01.11 Maya-Masaka'!M33,'31.10 Maya-Masaka-24h'!M33,'02.11 Maya-Masaka-24h'!M33,'03.11 Maya-Masaka'!M33)</f>
        <v>25.285714285714285</v>
      </c>
      <c r="N33" s="49">
        <f>AVERAGE('28.10 Maya-Masaka'!N33,'29.10 Maya-Masaka'!N33,'30.10 Maya-Masaka'!N33,'01.11 Maya-Masaka'!N33,'31.10 Maya-Masaka-24h'!N33,'02.11 Maya-Masaka-24h'!N33,'03.11 Maya-Masaka'!N33)</f>
        <v>0</v>
      </c>
      <c r="O33" s="15">
        <f t="shared" si="0"/>
        <v>108.85714285714286</v>
      </c>
      <c r="P33" s="15">
        <f t="shared" si="1"/>
        <v>134.14285714285714</v>
      </c>
      <c r="R33" s="1" t="s">
        <v>157</v>
      </c>
      <c r="S33" s="34">
        <f>SUM(C102:C105)</f>
        <v>59</v>
      </c>
      <c r="T33" s="34">
        <f t="shared" ref="T33:AF33" si="25">SUM(D102:D105)</f>
        <v>32.5</v>
      </c>
      <c r="U33" s="34">
        <f t="shared" si="25"/>
        <v>8.5</v>
      </c>
      <c r="V33" s="34">
        <f t="shared" si="25"/>
        <v>37</v>
      </c>
      <c r="W33" s="34">
        <f t="shared" si="25"/>
        <v>4</v>
      </c>
      <c r="X33" s="34">
        <f t="shared" si="25"/>
        <v>3</v>
      </c>
      <c r="Y33" s="34">
        <f t="shared" si="25"/>
        <v>49.5</v>
      </c>
      <c r="Z33" s="34">
        <f t="shared" si="25"/>
        <v>12.5</v>
      </c>
      <c r="AA33" s="34">
        <f t="shared" si="25"/>
        <v>10</v>
      </c>
      <c r="AB33" s="34">
        <f t="shared" si="25"/>
        <v>8</v>
      </c>
      <c r="AC33" s="34">
        <f t="shared" si="25"/>
        <v>28.5</v>
      </c>
      <c r="AD33" s="34">
        <f t="shared" si="25"/>
        <v>0</v>
      </c>
      <c r="AE33" s="31">
        <f t="shared" si="25"/>
        <v>224</v>
      </c>
      <c r="AF33" s="31">
        <f t="shared" si="25"/>
        <v>252.5</v>
      </c>
    </row>
    <row r="34" spans="2:32" ht="23.1" customHeight="1" x14ac:dyDescent="0.25">
      <c r="B34" s="24" t="s">
        <v>61</v>
      </c>
      <c r="C34" s="49">
        <f>AVERAGE('28.10 Maya-Masaka'!C34,'29.10 Maya-Masaka'!C34,'30.10 Maya-Masaka'!C34,'01.11 Maya-Masaka'!C34,'31.10 Maya-Masaka-24h'!C34,'02.11 Maya-Masaka-24h'!C34,'03.11 Maya-Masaka'!C34)</f>
        <v>41.857142857142854</v>
      </c>
      <c r="D34" s="49">
        <f>AVERAGE('28.10 Maya-Masaka'!D34,'29.10 Maya-Masaka'!D34,'30.10 Maya-Masaka'!D34,'01.11 Maya-Masaka'!D34,'31.10 Maya-Masaka-24h'!D34,'02.11 Maya-Masaka-24h'!D34,'03.11 Maya-Masaka'!D34)</f>
        <v>8.5714285714285712</v>
      </c>
      <c r="E34" s="49">
        <f>AVERAGE('28.10 Maya-Masaka'!E34,'29.10 Maya-Masaka'!E34,'30.10 Maya-Masaka'!E34,'01.11 Maya-Masaka'!E34,'31.10 Maya-Masaka-24h'!E34,'02.11 Maya-Masaka-24h'!E34,'03.11 Maya-Masaka'!E34)</f>
        <v>4.4285714285714288</v>
      </c>
      <c r="F34" s="49">
        <f>AVERAGE('28.10 Maya-Masaka'!F34,'29.10 Maya-Masaka'!F34,'30.10 Maya-Masaka'!F34,'01.11 Maya-Masaka'!F34,'31.10 Maya-Masaka-24h'!F34,'02.11 Maya-Masaka-24h'!F34,'03.11 Maya-Masaka'!F34)</f>
        <v>30</v>
      </c>
      <c r="G34" s="49">
        <f>AVERAGE('28.10 Maya-Masaka'!G34,'29.10 Maya-Masaka'!G34,'30.10 Maya-Masaka'!G34,'01.11 Maya-Masaka'!G34,'31.10 Maya-Masaka-24h'!G34,'02.11 Maya-Masaka-24h'!G34,'03.11 Maya-Masaka'!G34)</f>
        <v>2</v>
      </c>
      <c r="H34" s="49">
        <f>AVERAGE('28.10 Maya-Masaka'!H34,'29.10 Maya-Masaka'!H34,'30.10 Maya-Masaka'!H34,'01.11 Maya-Masaka'!H34,'31.10 Maya-Masaka-24h'!H34,'02.11 Maya-Masaka-24h'!H34,'03.11 Maya-Masaka'!H34)</f>
        <v>1.5714285714285714</v>
      </c>
      <c r="I34" s="49">
        <f>AVERAGE('28.10 Maya-Masaka'!I34,'29.10 Maya-Masaka'!I34,'30.10 Maya-Masaka'!I34,'01.11 Maya-Masaka'!I34,'31.10 Maya-Masaka-24h'!I34,'02.11 Maya-Masaka-24h'!I34,'03.11 Maya-Masaka'!I34)</f>
        <v>18.857142857142858</v>
      </c>
      <c r="J34" s="49">
        <f>AVERAGE('28.10 Maya-Masaka'!J34,'29.10 Maya-Masaka'!J34,'30.10 Maya-Masaka'!J34,'01.11 Maya-Masaka'!J34,'31.10 Maya-Masaka-24h'!J34,'02.11 Maya-Masaka-24h'!J34,'03.11 Maya-Masaka'!J34)</f>
        <v>4.4285714285714288</v>
      </c>
      <c r="K34" s="49">
        <f>AVERAGE('28.10 Maya-Masaka'!K34,'29.10 Maya-Masaka'!K34,'30.10 Maya-Masaka'!K34,'01.11 Maya-Masaka'!K34,'31.10 Maya-Masaka-24h'!K34,'02.11 Maya-Masaka-24h'!K34,'03.11 Maya-Masaka'!K34)</f>
        <v>2.7142857142857144</v>
      </c>
      <c r="L34" s="49">
        <f>AVERAGE('28.10 Maya-Masaka'!L34,'29.10 Maya-Masaka'!L34,'30.10 Maya-Masaka'!L34,'01.11 Maya-Masaka'!L34,'31.10 Maya-Masaka-24h'!L34,'02.11 Maya-Masaka-24h'!L34,'03.11 Maya-Masaka'!L34)</f>
        <v>1.5714285714285714</v>
      </c>
      <c r="M34" s="49">
        <f>AVERAGE('28.10 Maya-Masaka'!M34,'29.10 Maya-Masaka'!M34,'30.10 Maya-Masaka'!M34,'01.11 Maya-Masaka'!M34,'31.10 Maya-Masaka-24h'!M34,'02.11 Maya-Masaka-24h'!M34,'03.11 Maya-Masaka'!M34)</f>
        <v>28.428571428571427</v>
      </c>
      <c r="N34" s="49">
        <f>AVERAGE('28.10 Maya-Masaka'!N34,'29.10 Maya-Masaka'!N34,'30.10 Maya-Masaka'!N34,'01.11 Maya-Masaka'!N34,'31.10 Maya-Masaka-24h'!N34,'02.11 Maya-Masaka-24h'!N34,'03.11 Maya-Masaka'!N34)</f>
        <v>0</v>
      </c>
      <c r="O34" s="15">
        <f t="shared" si="0"/>
        <v>116</v>
      </c>
      <c r="P34" s="15">
        <f t="shared" si="1"/>
        <v>144.42857142857142</v>
      </c>
      <c r="R34" s="51" t="s">
        <v>90</v>
      </c>
      <c r="S34" s="52">
        <f t="shared" ref="S34:AF34" si="26">MAX(S10:S12)</f>
        <v>127.85714285714285</v>
      </c>
      <c r="T34" s="52">
        <f t="shared" si="26"/>
        <v>36.857142857142861</v>
      </c>
      <c r="U34" s="52">
        <f t="shared" si="26"/>
        <v>21.285714285714288</v>
      </c>
      <c r="V34" s="52">
        <f t="shared" si="26"/>
        <v>86.714285714285708</v>
      </c>
      <c r="W34" s="52">
        <f t="shared" si="26"/>
        <v>5.8571428571428568</v>
      </c>
      <c r="X34" s="52">
        <f t="shared" si="26"/>
        <v>5.2857142857142856</v>
      </c>
      <c r="Y34" s="52">
        <f t="shared" si="26"/>
        <v>51.714285714285722</v>
      </c>
      <c r="Z34" s="52">
        <f t="shared" si="26"/>
        <v>15.571428571428571</v>
      </c>
      <c r="AA34" s="52">
        <f t="shared" si="26"/>
        <v>6.8571428571428568</v>
      </c>
      <c r="AB34" s="52">
        <f t="shared" si="26"/>
        <v>5.7142857142857144</v>
      </c>
      <c r="AC34" s="52">
        <f t="shared" si="26"/>
        <v>91.428571428571445</v>
      </c>
      <c r="AD34" s="52">
        <f t="shared" si="26"/>
        <v>0</v>
      </c>
      <c r="AE34" s="40">
        <f t="shared" si="26"/>
        <v>353.85714285714289</v>
      </c>
      <c r="AF34" s="40">
        <f t="shared" si="26"/>
        <v>445.28571428571428</v>
      </c>
    </row>
    <row r="35" spans="2:32" ht="23.1" customHeight="1" x14ac:dyDescent="0.25">
      <c r="B35" s="24" t="s">
        <v>62</v>
      </c>
      <c r="C35" s="49">
        <f>AVERAGE('28.10 Maya-Masaka'!C35,'29.10 Maya-Masaka'!C35,'30.10 Maya-Masaka'!C35,'01.11 Maya-Masaka'!C35,'31.10 Maya-Masaka-24h'!C35,'02.11 Maya-Masaka-24h'!C35,'03.11 Maya-Masaka'!C35)</f>
        <v>43.142857142857146</v>
      </c>
      <c r="D35" s="49">
        <f>AVERAGE('28.10 Maya-Masaka'!D35,'29.10 Maya-Masaka'!D35,'30.10 Maya-Masaka'!D35,'01.11 Maya-Masaka'!D35,'31.10 Maya-Masaka-24h'!D35,'02.11 Maya-Masaka-24h'!D35,'03.11 Maya-Masaka'!D35)</f>
        <v>6.8571428571428568</v>
      </c>
      <c r="E35" s="49">
        <f>AVERAGE('28.10 Maya-Masaka'!E35,'29.10 Maya-Masaka'!E35,'30.10 Maya-Masaka'!E35,'01.11 Maya-Masaka'!E35,'31.10 Maya-Masaka-24h'!E35,'02.11 Maya-Masaka-24h'!E35,'03.11 Maya-Masaka'!E35)</f>
        <v>7.1428571428571432</v>
      </c>
      <c r="F35" s="49">
        <f>AVERAGE('28.10 Maya-Masaka'!F35,'29.10 Maya-Masaka'!F35,'30.10 Maya-Masaka'!F35,'01.11 Maya-Masaka'!F35,'31.10 Maya-Masaka-24h'!F35,'02.11 Maya-Masaka-24h'!F35,'03.11 Maya-Masaka'!F35)</f>
        <v>30.142857142857142</v>
      </c>
      <c r="G35" s="49">
        <f>AVERAGE('28.10 Maya-Masaka'!G35,'29.10 Maya-Masaka'!G35,'30.10 Maya-Masaka'!G35,'01.11 Maya-Masaka'!G35,'31.10 Maya-Masaka-24h'!G35,'02.11 Maya-Masaka-24h'!G35,'03.11 Maya-Masaka'!G35)</f>
        <v>1.4285714285714286</v>
      </c>
      <c r="H35" s="49">
        <f>AVERAGE('28.10 Maya-Masaka'!H35,'29.10 Maya-Masaka'!H35,'30.10 Maya-Masaka'!H35,'01.11 Maya-Masaka'!H35,'31.10 Maya-Masaka-24h'!H35,'02.11 Maya-Masaka-24h'!H35,'03.11 Maya-Masaka'!H35)</f>
        <v>1.8571428571428572</v>
      </c>
      <c r="I35" s="49">
        <f>AVERAGE('28.10 Maya-Masaka'!I35,'29.10 Maya-Masaka'!I35,'30.10 Maya-Masaka'!I35,'01.11 Maya-Masaka'!I35,'31.10 Maya-Masaka-24h'!I35,'02.11 Maya-Masaka-24h'!I35,'03.11 Maya-Masaka'!I35)</f>
        <v>15.714285714285714</v>
      </c>
      <c r="J35" s="49">
        <f>AVERAGE('28.10 Maya-Masaka'!J35,'29.10 Maya-Masaka'!J35,'30.10 Maya-Masaka'!J35,'01.11 Maya-Masaka'!J35,'31.10 Maya-Masaka-24h'!J35,'02.11 Maya-Masaka-24h'!J35,'03.11 Maya-Masaka'!J35)</f>
        <v>4.7142857142857144</v>
      </c>
      <c r="K35" s="49">
        <f>AVERAGE('28.10 Maya-Masaka'!K35,'29.10 Maya-Masaka'!K35,'30.10 Maya-Masaka'!K35,'01.11 Maya-Masaka'!K35,'31.10 Maya-Masaka-24h'!K35,'02.11 Maya-Masaka-24h'!K35,'03.11 Maya-Masaka'!K35)</f>
        <v>2</v>
      </c>
      <c r="L35" s="49">
        <f>AVERAGE('28.10 Maya-Masaka'!L35,'29.10 Maya-Masaka'!L35,'30.10 Maya-Masaka'!L35,'01.11 Maya-Masaka'!L35,'31.10 Maya-Masaka-24h'!L35,'02.11 Maya-Masaka-24h'!L35,'03.11 Maya-Masaka'!L35)</f>
        <v>2.7142857142857144</v>
      </c>
      <c r="M35" s="49">
        <f>AVERAGE('28.10 Maya-Masaka'!M35,'29.10 Maya-Masaka'!M35,'30.10 Maya-Masaka'!M35,'01.11 Maya-Masaka'!M35,'31.10 Maya-Masaka-24h'!M35,'02.11 Maya-Masaka-24h'!M35,'03.11 Maya-Masaka'!M35)</f>
        <v>23.857142857142858</v>
      </c>
      <c r="N35" s="49">
        <f>AVERAGE('28.10 Maya-Masaka'!N35,'29.10 Maya-Masaka'!N35,'30.10 Maya-Masaka'!N35,'01.11 Maya-Masaka'!N35,'31.10 Maya-Masaka-24h'!N35,'02.11 Maya-Masaka-24h'!N35,'03.11 Maya-Masaka'!N35)</f>
        <v>0</v>
      </c>
      <c r="O35" s="15">
        <f t="shared" si="0"/>
        <v>115.71428571428571</v>
      </c>
      <c r="P35" s="15">
        <f t="shared" si="1"/>
        <v>139.57142857142856</v>
      </c>
      <c r="R35" s="51" t="s">
        <v>91</v>
      </c>
      <c r="S35" s="52">
        <f t="shared" ref="S35:AF35" si="27">MAX(S13:S18)</f>
        <v>168.71428571428572</v>
      </c>
      <c r="T35" s="52">
        <f t="shared" si="27"/>
        <v>41.857142857142861</v>
      </c>
      <c r="U35" s="52">
        <f t="shared" si="27"/>
        <v>29.857142857142858</v>
      </c>
      <c r="V35" s="52">
        <f t="shared" si="27"/>
        <v>132.85714285714286</v>
      </c>
      <c r="W35" s="52">
        <f t="shared" si="27"/>
        <v>11.142857142857142</v>
      </c>
      <c r="X35" s="52">
        <f t="shared" si="27"/>
        <v>7.7142857142857144</v>
      </c>
      <c r="Y35" s="52">
        <f t="shared" si="27"/>
        <v>71.142857142857139</v>
      </c>
      <c r="Z35" s="52">
        <f t="shared" si="27"/>
        <v>21.857142857142854</v>
      </c>
      <c r="AA35" s="52">
        <f t="shared" si="27"/>
        <v>13.000000000000002</v>
      </c>
      <c r="AB35" s="52">
        <f t="shared" si="27"/>
        <v>9.8571428571428577</v>
      </c>
      <c r="AC35" s="52">
        <f t="shared" si="27"/>
        <v>111</v>
      </c>
      <c r="AD35" s="52">
        <f t="shared" si="27"/>
        <v>0.14285714285714285</v>
      </c>
      <c r="AE35" s="40">
        <f t="shared" si="27"/>
        <v>466.14285714285711</v>
      </c>
      <c r="AF35" s="40">
        <f t="shared" si="27"/>
        <v>569.28571428571433</v>
      </c>
    </row>
    <row r="36" spans="2:32" ht="23.1" customHeight="1" x14ac:dyDescent="0.25">
      <c r="B36" s="24" t="s">
        <v>63</v>
      </c>
      <c r="C36" s="49">
        <f>AVERAGE('28.10 Maya-Masaka'!C36,'29.10 Maya-Masaka'!C36,'30.10 Maya-Masaka'!C36,'01.11 Maya-Masaka'!C36,'31.10 Maya-Masaka-24h'!C36,'02.11 Maya-Masaka-24h'!C36,'03.11 Maya-Masaka'!C36)</f>
        <v>35</v>
      </c>
      <c r="D36" s="49">
        <f>AVERAGE('28.10 Maya-Masaka'!D36,'29.10 Maya-Masaka'!D36,'30.10 Maya-Masaka'!D36,'01.11 Maya-Masaka'!D36,'31.10 Maya-Masaka-24h'!D36,'02.11 Maya-Masaka-24h'!D36,'03.11 Maya-Masaka'!D36)</f>
        <v>7</v>
      </c>
      <c r="E36" s="49">
        <f>AVERAGE('28.10 Maya-Masaka'!E36,'29.10 Maya-Masaka'!E36,'30.10 Maya-Masaka'!E36,'01.11 Maya-Masaka'!E36,'31.10 Maya-Masaka-24h'!E36,'02.11 Maya-Masaka-24h'!E36,'03.11 Maya-Masaka'!E36)</f>
        <v>5.2857142857142856</v>
      </c>
      <c r="F36" s="49">
        <f>AVERAGE('28.10 Maya-Masaka'!F36,'29.10 Maya-Masaka'!F36,'30.10 Maya-Masaka'!F36,'01.11 Maya-Masaka'!F36,'31.10 Maya-Masaka-24h'!F36,'02.11 Maya-Masaka-24h'!F36,'03.11 Maya-Masaka'!F36)</f>
        <v>32</v>
      </c>
      <c r="G36" s="49">
        <f>AVERAGE('28.10 Maya-Masaka'!G36,'29.10 Maya-Masaka'!G36,'30.10 Maya-Masaka'!G36,'01.11 Maya-Masaka'!G36,'31.10 Maya-Masaka-24h'!G36,'02.11 Maya-Masaka-24h'!G36,'03.11 Maya-Masaka'!G36)</f>
        <v>2.1428571428571428</v>
      </c>
      <c r="H36" s="49">
        <f>AVERAGE('28.10 Maya-Masaka'!H36,'29.10 Maya-Masaka'!H36,'30.10 Maya-Masaka'!H36,'01.11 Maya-Masaka'!H36,'31.10 Maya-Masaka-24h'!H36,'02.11 Maya-Masaka-24h'!H36,'03.11 Maya-Masaka'!H36)</f>
        <v>2</v>
      </c>
      <c r="I36" s="49">
        <f>AVERAGE('28.10 Maya-Masaka'!I36,'29.10 Maya-Masaka'!I36,'30.10 Maya-Masaka'!I36,'01.11 Maya-Masaka'!I36,'31.10 Maya-Masaka-24h'!I36,'02.11 Maya-Masaka-24h'!I36,'03.11 Maya-Masaka'!I36)</f>
        <v>15.714285714285714</v>
      </c>
      <c r="J36" s="49">
        <f>AVERAGE('28.10 Maya-Masaka'!J36,'29.10 Maya-Masaka'!J36,'30.10 Maya-Masaka'!J36,'01.11 Maya-Masaka'!J36,'31.10 Maya-Masaka-24h'!J36,'02.11 Maya-Masaka-24h'!J36,'03.11 Maya-Masaka'!J36)</f>
        <v>5.4285714285714288</v>
      </c>
      <c r="K36" s="49">
        <f>AVERAGE('28.10 Maya-Masaka'!K36,'29.10 Maya-Masaka'!K36,'30.10 Maya-Masaka'!K36,'01.11 Maya-Masaka'!K36,'31.10 Maya-Masaka-24h'!K36,'02.11 Maya-Masaka-24h'!K36,'03.11 Maya-Masaka'!K36)</f>
        <v>2.8571428571428572</v>
      </c>
      <c r="L36" s="49">
        <f>AVERAGE('28.10 Maya-Masaka'!L36,'29.10 Maya-Masaka'!L36,'30.10 Maya-Masaka'!L36,'01.11 Maya-Masaka'!L36,'31.10 Maya-Masaka-24h'!L36,'02.11 Maya-Masaka-24h'!L36,'03.11 Maya-Masaka'!L36)</f>
        <v>2</v>
      </c>
      <c r="M36" s="49">
        <f>AVERAGE('28.10 Maya-Masaka'!M36,'29.10 Maya-Masaka'!M36,'30.10 Maya-Masaka'!M36,'01.11 Maya-Masaka'!M36,'31.10 Maya-Masaka-24h'!M36,'02.11 Maya-Masaka-24h'!M36,'03.11 Maya-Masaka'!M36)</f>
        <v>23</v>
      </c>
      <c r="N36" s="49">
        <f>AVERAGE('28.10 Maya-Masaka'!N36,'29.10 Maya-Masaka'!N36,'30.10 Maya-Masaka'!N36,'01.11 Maya-Masaka'!N36,'31.10 Maya-Masaka-24h'!N36,'02.11 Maya-Masaka-24h'!N36,'03.11 Maya-Masaka'!N36)</f>
        <v>0</v>
      </c>
      <c r="O36" s="15">
        <f t="shared" si="0"/>
        <v>109.42857142857142</v>
      </c>
      <c r="P36" s="15">
        <f t="shared" si="1"/>
        <v>132.42857142857142</v>
      </c>
      <c r="R36" s="51" t="s">
        <v>92</v>
      </c>
      <c r="S36" s="52">
        <f t="shared" ref="S36:AF36" si="28">MAX(S19:S21)</f>
        <v>135.28571428571428</v>
      </c>
      <c r="T36" s="52">
        <f t="shared" si="28"/>
        <v>27.857142857142858</v>
      </c>
      <c r="U36" s="52">
        <f t="shared" si="28"/>
        <v>24.142857142857146</v>
      </c>
      <c r="V36" s="52">
        <f t="shared" si="28"/>
        <v>118.14285714285714</v>
      </c>
      <c r="W36" s="52">
        <f t="shared" si="28"/>
        <v>7.4285714285714288</v>
      </c>
      <c r="X36" s="52">
        <f t="shared" si="28"/>
        <v>8.7142857142857153</v>
      </c>
      <c r="Y36" s="52">
        <f t="shared" si="28"/>
        <v>75.571428571428569</v>
      </c>
      <c r="Z36" s="52">
        <f t="shared" si="28"/>
        <v>24.428571428571431</v>
      </c>
      <c r="AA36" s="52">
        <f t="shared" si="28"/>
        <v>13.571428571428571</v>
      </c>
      <c r="AB36" s="52">
        <f t="shared" si="28"/>
        <v>10.571428571428569</v>
      </c>
      <c r="AC36" s="52">
        <f t="shared" si="28"/>
        <v>106.85714285714286</v>
      </c>
      <c r="AD36" s="52">
        <f t="shared" si="28"/>
        <v>0</v>
      </c>
      <c r="AE36" s="40">
        <f t="shared" si="28"/>
        <v>424.85714285714289</v>
      </c>
      <c r="AF36" s="40">
        <f t="shared" si="28"/>
        <v>524.71428571428578</v>
      </c>
    </row>
    <row r="37" spans="2:32" ht="23.1" customHeight="1" x14ac:dyDescent="0.25">
      <c r="B37" s="23" t="s">
        <v>64</v>
      </c>
      <c r="C37" s="49">
        <f>AVERAGE('28.10 Maya-Masaka'!C37,'29.10 Maya-Masaka'!C37,'30.10 Maya-Masaka'!C37,'01.11 Maya-Masaka'!C37,'31.10 Maya-Masaka-24h'!C37,'02.11 Maya-Masaka-24h'!C37,'03.11 Maya-Masaka'!C37)</f>
        <v>48.714285714285715</v>
      </c>
      <c r="D37" s="49">
        <f>AVERAGE('28.10 Maya-Masaka'!D37,'29.10 Maya-Masaka'!D37,'30.10 Maya-Masaka'!D37,'01.11 Maya-Masaka'!D37,'31.10 Maya-Masaka-24h'!D37,'02.11 Maya-Masaka-24h'!D37,'03.11 Maya-Masaka'!D37)</f>
        <v>7.8571428571428568</v>
      </c>
      <c r="E37" s="49">
        <f>AVERAGE('28.10 Maya-Masaka'!E37,'29.10 Maya-Masaka'!E37,'30.10 Maya-Masaka'!E37,'01.11 Maya-Masaka'!E37,'31.10 Maya-Masaka-24h'!E37,'02.11 Maya-Masaka-24h'!E37,'03.11 Maya-Masaka'!E37)</f>
        <v>6.8571428571428568</v>
      </c>
      <c r="F37" s="49">
        <f>AVERAGE('28.10 Maya-Masaka'!F37,'29.10 Maya-Masaka'!F37,'30.10 Maya-Masaka'!F37,'01.11 Maya-Masaka'!F37,'31.10 Maya-Masaka-24h'!F37,'02.11 Maya-Masaka-24h'!F37,'03.11 Maya-Masaka'!F37)</f>
        <v>30</v>
      </c>
      <c r="G37" s="49">
        <f>AVERAGE('28.10 Maya-Masaka'!G37,'29.10 Maya-Masaka'!G37,'30.10 Maya-Masaka'!G37,'01.11 Maya-Masaka'!G37,'31.10 Maya-Masaka-24h'!G37,'02.11 Maya-Masaka-24h'!G37,'03.11 Maya-Masaka'!G37)</f>
        <v>2.1428571428571428</v>
      </c>
      <c r="H37" s="49">
        <f>AVERAGE('28.10 Maya-Masaka'!H37,'29.10 Maya-Masaka'!H37,'30.10 Maya-Masaka'!H37,'01.11 Maya-Masaka'!H37,'31.10 Maya-Masaka-24h'!H37,'02.11 Maya-Masaka-24h'!H37,'03.11 Maya-Masaka'!H37)</f>
        <v>1.2857142857142858</v>
      </c>
      <c r="I37" s="49">
        <f>AVERAGE('28.10 Maya-Masaka'!I37,'29.10 Maya-Masaka'!I37,'30.10 Maya-Masaka'!I37,'01.11 Maya-Masaka'!I37,'31.10 Maya-Masaka-24h'!I37,'02.11 Maya-Masaka-24h'!I37,'03.11 Maya-Masaka'!I37)</f>
        <v>16.714285714285715</v>
      </c>
      <c r="J37" s="49">
        <f>AVERAGE('28.10 Maya-Masaka'!J37,'29.10 Maya-Masaka'!J37,'30.10 Maya-Masaka'!J37,'01.11 Maya-Masaka'!J37,'31.10 Maya-Masaka-24h'!J37,'02.11 Maya-Masaka-24h'!J37,'03.11 Maya-Masaka'!J37)</f>
        <v>5.4285714285714288</v>
      </c>
      <c r="K37" s="49">
        <f>AVERAGE('28.10 Maya-Masaka'!K37,'29.10 Maya-Masaka'!K37,'30.10 Maya-Masaka'!K37,'01.11 Maya-Masaka'!K37,'31.10 Maya-Masaka-24h'!K37,'02.11 Maya-Masaka-24h'!K37,'03.11 Maya-Masaka'!K37)</f>
        <v>2.7142857142857144</v>
      </c>
      <c r="L37" s="49">
        <f>AVERAGE('28.10 Maya-Masaka'!L37,'29.10 Maya-Masaka'!L37,'30.10 Maya-Masaka'!L37,'01.11 Maya-Masaka'!L37,'31.10 Maya-Masaka-24h'!L37,'02.11 Maya-Masaka-24h'!L37,'03.11 Maya-Masaka'!L37)</f>
        <v>3.2857142857142856</v>
      </c>
      <c r="M37" s="49">
        <f>AVERAGE('28.10 Maya-Masaka'!M37,'29.10 Maya-Masaka'!M37,'30.10 Maya-Masaka'!M37,'01.11 Maya-Masaka'!M37,'31.10 Maya-Masaka-24h'!M37,'02.11 Maya-Masaka-24h'!M37,'03.11 Maya-Masaka'!M37)</f>
        <v>26.714285714285715</v>
      </c>
      <c r="N37" s="49">
        <f>AVERAGE('28.10 Maya-Masaka'!N37,'29.10 Maya-Masaka'!N37,'30.10 Maya-Masaka'!N37,'01.11 Maya-Masaka'!N37,'31.10 Maya-Masaka-24h'!N37,'02.11 Maya-Masaka-24h'!N37,'03.11 Maya-Masaka'!N37)</f>
        <v>0</v>
      </c>
      <c r="O37" s="15">
        <f t="shared" si="0"/>
        <v>124.99999999999999</v>
      </c>
      <c r="P37" s="15">
        <f t="shared" si="1"/>
        <v>151.71428571428569</v>
      </c>
      <c r="R37" s="37" t="s">
        <v>85</v>
      </c>
      <c r="S37" s="53">
        <f t="shared" ref="S37:AF37" si="29">SUM(S10:S12)</f>
        <v>354.57142857142856</v>
      </c>
      <c r="T37" s="54">
        <f t="shared" si="29"/>
        <v>99.428571428571445</v>
      </c>
      <c r="U37" s="54">
        <f t="shared" si="29"/>
        <v>59.857142857142861</v>
      </c>
      <c r="V37" s="54">
        <f t="shared" si="29"/>
        <v>238.57142857142856</v>
      </c>
      <c r="W37" s="54">
        <f t="shared" si="29"/>
        <v>16.142857142857142</v>
      </c>
      <c r="X37" s="54">
        <f t="shared" si="29"/>
        <v>14.428571428571429</v>
      </c>
      <c r="Y37" s="54">
        <f t="shared" si="29"/>
        <v>137.42857142857144</v>
      </c>
      <c r="Z37" s="54">
        <f t="shared" si="29"/>
        <v>40.714285714285715</v>
      </c>
      <c r="AA37" s="54">
        <f t="shared" si="29"/>
        <v>18.857142857142858</v>
      </c>
      <c r="AB37" s="54">
        <f t="shared" si="29"/>
        <v>16.428571428571427</v>
      </c>
      <c r="AC37" s="54">
        <f t="shared" si="29"/>
        <v>239.71428571428572</v>
      </c>
      <c r="AD37" s="54">
        <f t="shared" si="29"/>
        <v>0</v>
      </c>
      <c r="AE37" s="55">
        <f t="shared" si="29"/>
        <v>996.42857142857133</v>
      </c>
      <c r="AF37" s="55">
        <f t="shared" si="29"/>
        <v>1236.1428571428571</v>
      </c>
    </row>
    <row r="38" spans="2:32" ht="23.1" customHeight="1" x14ac:dyDescent="0.25">
      <c r="B38" s="24" t="s">
        <v>65</v>
      </c>
      <c r="C38" s="49">
        <f>AVERAGE('28.10 Maya-Masaka'!C38,'29.10 Maya-Masaka'!C38,'30.10 Maya-Masaka'!C38,'01.11 Maya-Masaka'!C38,'31.10 Maya-Masaka-24h'!C38,'02.11 Maya-Masaka-24h'!C38,'03.11 Maya-Masaka'!C38)</f>
        <v>38.714285714285715</v>
      </c>
      <c r="D38" s="49">
        <f>AVERAGE('28.10 Maya-Masaka'!D38,'29.10 Maya-Masaka'!D38,'30.10 Maya-Masaka'!D38,'01.11 Maya-Masaka'!D38,'31.10 Maya-Masaka-24h'!D38,'02.11 Maya-Masaka-24h'!D38,'03.11 Maya-Masaka'!D38)</f>
        <v>7.8571428571428568</v>
      </c>
      <c r="E38" s="49">
        <f>AVERAGE('28.10 Maya-Masaka'!E38,'29.10 Maya-Masaka'!E38,'30.10 Maya-Masaka'!E38,'01.11 Maya-Masaka'!E38,'31.10 Maya-Masaka-24h'!E38,'02.11 Maya-Masaka-24h'!E38,'03.11 Maya-Masaka'!E38)</f>
        <v>7.7142857142857144</v>
      </c>
      <c r="F38" s="49">
        <f>AVERAGE('28.10 Maya-Masaka'!F38,'29.10 Maya-Masaka'!F38,'30.10 Maya-Masaka'!F38,'01.11 Maya-Masaka'!F38,'31.10 Maya-Masaka-24h'!F38,'02.11 Maya-Masaka-24h'!F38,'03.11 Maya-Masaka'!F38)</f>
        <v>31.285714285714285</v>
      </c>
      <c r="G38" s="49">
        <f>AVERAGE('28.10 Maya-Masaka'!G38,'29.10 Maya-Masaka'!G38,'30.10 Maya-Masaka'!G38,'01.11 Maya-Masaka'!G38,'31.10 Maya-Masaka-24h'!G38,'02.11 Maya-Masaka-24h'!G38,'03.11 Maya-Masaka'!G38)</f>
        <v>2</v>
      </c>
      <c r="H38" s="49">
        <f>AVERAGE('28.10 Maya-Masaka'!H38,'29.10 Maya-Masaka'!H38,'30.10 Maya-Masaka'!H38,'01.11 Maya-Masaka'!H38,'31.10 Maya-Masaka-24h'!H38,'02.11 Maya-Masaka-24h'!H38,'03.11 Maya-Masaka'!H38)</f>
        <v>2</v>
      </c>
      <c r="I38" s="49">
        <f>AVERAGE('28.10 Maya-Masaka'!I38,'29.10 Maya-Masaka'!I38,'30.10 Maya-Masaka'!I38,'01.11 Maya-Masaka'!I38,'31.10 Maya-Masaka-24h'!I38,'02.11 Maya-Masaka-24h'!I38,'03.11 Maya-Masaka'!I38)</f>
        <v>17.714285714285715</v>
      </c>
      <c r="J38" s="49">
        <f>AVERAGE('28.10 Maya-Masaka'!J38,'29.10 Maya-Masaka'!J38,'30.10 Maya-Masaka'!J38,'01.11 Maya-Masaka'!J38,'31.10 Maya-Masaka-24h'!J38,'02.11 Maya-Masaka-24h'!J38,'03.11 Maya-Masaka'!J38)</f>
        <v>5.1428571428571432</v>
      </c>
      <c r="K38" s="49">
        <f>AVERAGE('28.10 Maya-Masaka'!K38,'29.10 Maya-Masaka'!K38,'30.10 Maya-Masaka'!K38,'01.11 Maya-Masaka'!K38,'31.10 Maya-Masaka-24h'!K38,'02.11 Maya-Masaka-24h'!K38,'03.11 Maya-Masaka'!K38)</f>
        <v>3.4285714285714284</v>
      </c>
      <c r="L38" s="49">
        <f>AVERAGE('28.10 Maya-Masaka'!L38,'29.10 Maya-Masaka'!L38,'30.10 Maya-Masaka'!L38,'01.11 Maya-Masaka'!L38,'31.10 Maya-Masaka-24h'!L38,'02.11 Maya-Masaka-24h'!L38,'03.11 Maya-Masaka'!L38)</f>
        <v>2.8571428571428572</v>
      </c>
      <c r="M38" s="49">
        <f>AVERAGE('28.10 Maya-Masaka'!M38,'29.10 Maya-Masaka'!M38,'30.10 Maya-Masaka'!M38,'01.11 Maya-Masaka'!M38,'31.10 Maya-Masaka-24h'!M38,'02.11 Maya-Masaka-24h'!M38,'03.11 Maya-Masaka'!M38)</f>
        <v>28.428571428571427</v>
      </c>
      <c r="N38" s="49">
        <f>AVERAGE('28.10 Maya-Masaka'!N38,'29.10 Maya-Masaka'!N38,'30.10 Maya-Masaka'!N38,'01.11 Maya-Masaka'!N38,'31.10 Maya-Masaka-24h'!N38,'02.11 Maya-Masaka-24h'!N38,'03.11 Maya-Masaka'!N38)</f>
        <v>0</v>
      </c>
      <c r="O38" s="15">
        <f t="shared" si="0"/>
        <v>118.71428571428571</v>
      </c>
      <c r="P38" s="15">
        <f t="shared" si="1"/>
        <v>147.14285714285714</v>
      </c>
      <c r="R38" s="28" t="s">
        <v>86</v>
      </c>
      <c r="S38" s="54">
        <f t="shared" ref="S38:AF38" si="30">SUM(S13:S18)</f>
        <v>934.14285714285711</v>
      </c>
      <c r="T38" s="54">
        <f t="shared" si="30"/>
        <v>216.42857142857142</v>
      </c>
      <c r="U38" s="54">
        <f t="shared" si="30"/>
        <v>142.85714285714286</v>
      </c>
      <c r="V38" s="54">
        <f t="shared" si="30"/>
        <v>697.85714285714278</v>
      </c>
      <c r="W38" s="54">
        <f t="shared" si="30"/>
        <v>47.428571428571423</v>
      </c>
      <c r="X38" s="54">
        <f t="shared" si="30"/>
        <v>40.142857142857146</v>
      </c>
      <c r="Y38" s="54">
        <f t="shared" si="30"/>
        <v>385.85714285714289</v>
      </c>
      <c r="Z38" s="54">
        <f t="shared" si="30"/>
        <v>110.28571428571428</v>
      </c>
      <c r="AA38" s="54">
        <f t="shared" si="30"/>
        <v>57.285714285714292</v>
      </c>
      <c r="AB38" s="54">
        <f t="shared" si="30"/>
        <v>52.857142857142854</v>
      </c>
      <c r="AC38" s="54">
        <f t="shared" si="30"/>
        <v>596</v>
      </c>
      <c r="AD38" s="54">
        <f t="shared" si="30"/>
        <v>0.2857142857142857</v>
      </c>
      <c r="AE38" s="55">
        <f t="shared" si="30"/>
        <v>2685.4285714285716</v>
      </c>
      <c r="AF38" s="55">
        <f t="shared" si="30"/>
        <v>3281.4285714285716</v>
      </c>
    </row>
    <row r="39" spans="2:32" ht="23.1" customHeight="1" x14ac:dyDescent="0.25">
      <c r="B39" s="24" t="s">
        <v>66</v>
      </c>
      <c r="C39" s="49">
        <f>AVERAGE('28.10 Maya-Masaka'!C39,'29.10 Maya-Masaka'!C39,'30.10 Maya-Masaka'!C39,'01.11 Maya-Masaka'!C39,'31.10 Maya-Masaka-24h'!C39,'02.11 Maya-Masaka-24h'!C39,'03.11 Maya-Masaka'!C39)</f>
        <v>33.857142857142854</v>
      </c>
      <c r="D39" s="49">
        <f>AVERAGE('28.10 Maya-Masaka'!D39,'29.10 Maya-Masaka'!D39,'30.10 Maya-Masaka'!D39,'01.11 Maya-Masaka'!D39,'31.10 Maya-Masaka-24h'!D39,'02.11 Maya-Masaka-24h'!D39,'03.11 Maya-Masaka'!D39)</f>
        <v>8.8571428571428577</v>
      </c>
      <c r="E39" s="49">
        <f>AVERAGE('28.10 Maya-Masaka'!E39,'29.10 Maya-Masaka'!E39,'30.10 Maya-Masaka'!E39,'01.11 Maya-Masaka'!E39,'31.10 Maya-Masaka-24h'!E39,'02.11 Maya-Masaka-24h'!E39,'03.11 Maya-Masaka'!E39)</f>
        <v>7.1428571428571432</v>
      </c>
      <c r="F39" s="49">
        <f>AVERAGE('28.10 Maya-Masaka'!F39,'29.10 Maya-Masaka'!F39,'30.10 Maya-Masaka'!F39,'01.11 Maya-Masaka'!F39,'31.10 Maya-Masaka-24h'!F39,'02.11 Maya-Masaka-24h'!F39,'03.11 Maya-Masaka'!F39)</f>
        <v>31.285714285714285</v>
      </c>
      <c r="G39" s="49">
        <f>AVERAGE('28.10 Maya-Masaka'!G39,'29.10 Maya-Masaka'!G39,'30.10 Maya-Masaka'!G39,'01.11 Maya-Masaka'!G39,'31.10 Maya-Masaka-24h'!G39,'02.11 Maya-Masaka-24h'!G39,'03.11 Maya-Masaka'!G39)</f>
        <v>1.2857142857142858</v>
      </c>
      <c r="H39" s="49">
        <f>AVERAGE('28.10 Maya-Masaka'!H39,'29.10 Maya-Masaka'!H39,'30.10 Maya-Masaka'!H39,'01.11 Maya-Masaka'!H39,'31.10 Maya-Masaka-24h'!H39,'02.11 Maya-Masaka-24h'!H39,'03.11 Maya-Masaka'!H39)</f>
        <v>1.2857142857142858</v>
      </c>
      <c r="I39" s="49">
        <f>AVERAGE('28.10 Maya-Masaka'!I39,'29.10 Maya-Masaka'!I39,'30.10 Maya-Masaka'!I39,'01.11 Maya-Masaka'!I39,'31.10 Maya-Masaka-24h'!I39,'02.11 Maya-Masaka-24h'!I39,'03.11 Maya-Masaka'!I39)</f>
        <v>14.142857142857142</v>
      </c>
      <c r="J39" s="49">
        <f>AVERAGE('28.10 Maya-Masaka'!J39,'29.10 Maya-Masaka'!J39,'30.10 Maya-Masaka'!J39,'01.11 Maya-Masaka'!J39,'31.10 Maya-Masaka-24h'!J39,'02.11 Maya-Masaka-24h'!J39,'03.11 Maya-Masaka'!J39)</f>
        <v>4.7142857142857144</v>
      </c>
      <c r="K39" s="49">
        <f>AVERAGE('28.10 Maya-Masaka'!K39,'29.10 Maya-Masaka'!K39,'30.10 Maya-Masaka'!K39,'01.11 Maya-Masaka'!K39,'31.10 Maya-Masaka-24h'!K39,'02.11 Maya-Masaka-24h'!K39,'03.11 Maya-Masaka'!K39)</f>
        <v>0.5714285714285714</v>
      </c>
      <c r="L39" s="49">
        <f>AVERAGE('28.10 Maya-Masaka'!L39,'29.10 Maya-Masaka'!L39,'30.10 Maya-Masaka'!L39,'01.11 Maya-Masaka'!L39,'31.10 Maya-Masaka-24h'!L39,'02.11 Maya-Masaka-24h'!L39,'03.11 Maya-Masaka'!L39)</f>
        <v>1.8571428571428572</v>
      </c>
      <c r="M39" s="49">
        <f>AVERAGE('28.10 Maya-Masaka'!M39,'29.10 Maya-Masaka'!M39,'30.10 Maya-Masaka'!M39,'01.11 Maya-Masaka'!M39,'31.10 Maya-Masaka-24h'!M39,'02.11 Maya-Masaka-24h'!M39,'03.11 Maya-Masaka'!M39)</f>
        <v>20.428571428571427</v>
      </c>
      <c r="N39" s="49">
        <f>AVERAGE('28.10 Maya-Masaka'!N39,'29.10 Maya-Masaka'!N39,'30.10 Maya-Masaka'!N39,'01.11 Maya-Masaka'!N39,'31.10 Maya-Masaka-24h'!N39,'02.11 Maya-Masaka-24h'!N39,'03.11 Maya-Masaka'!N39)</f>
        <v>0.14285714285714285</v>
      </c>
      <c r="O39" s="15">
        <f t="shared" si="0"/>
        <v>105.14285714285714</v>
      </c>
      <c r="P39" s="15">
        <f t="shared" si="1"/>
        <v>125.57142857142857</v>
      </c>
      <c r="R39" s="29" t="s">
        <v>87</v>
      </c>
      <c r="S39" s="54">
        <f t="shared" ref="S39:AF39" si="31">SUM(S19:S21)</f>
        <v>365.14285714285717</v>
      </c>
      <c r="T39" s="54">
        <f t="shared" si="31"/>
        <v>74.142857142857139</v>
      </c>
      <c r="U39" s="54">
        <f t="shared" si="31"/>
        <v>56.571428571428577</v>
      </c>
      <c r="V39" s="54">
        <f t="shared" si="31"/>
        <v>340.85714285714289</v>
      </c>
      <c r="W39" s="54">
        <f t="shared" si="31"/>
        <v>21.142857142857142</v>
      </c>
      <c r="X39" s="54">
        <f t="shared" si="31"/>
        <v>22.571428571428573</v>
      </c>
      <c r="Y39" s="54">
        <f t="shared" si="31"/>
        <v>214.42857142857144</v>
      </c>
      <c r="Z39" s="54">
        <f t="shared" si="31"/>
        <v>59.142857142857139</v>
      </c>
      <c r="AA39" s="54">
        <f t="shared" si="31"/>
        <v>36.571428571428569</v>
      </c>
      <c r="AB39" s="54">
        <f t="shared" si="31"/>
        <v>27.857142857142854</v>
      </c>
      <c r="AC39" s="54">
        <f t="shared" si="31"/>
        <v>298.57142857142856</v>
      </c>
      <c r="AD39" s="54">
        <f t="shared" si="31"/>
        <v>0</v>
      </c>
      <c r="AE39" s="55">
        <f t="shared" si="31"/>
        <v>1218.4285714285716</v>
      </c>
      <c r="AF39" s="55">
        <f t="shared" si="31"/>
        <v>1517</v>
      </c>
    </row>
    <row r="40" spans="2:32" ht="23.1" customHeight="1" x14ac:dyDescent="0.25">
      <c r="B40" s="24" t="s">
        <v>67</v>
      </c>
      <c r="C40" s="49">
        <f>AVERAGE('28.10 Maya-Masaka'!C40,'29.10 Maya-Masaka'!C40,'30.10 Maya-Masaka'!C40,'01.11 Maya-Masaka'!C40,'31.10 Maya-Masaka-24h'!C40,'02.11 Maya-Masaka-24h'!C40,'03.11 Maya-Masaka'!C40)</f>
        <v>40.857142857142854</v>
      </c>
      <c r="D40" s="49">
        <f>AVERAGE('28.10 Maya-Masaka'!D40,'29.10 Maya-Masaka'!D40,'30.10 Maya-Masaka'!D40,'01.11 Maya-Masaka'!D40,'31.10 Maya-Masaka-24h'!D40,'02.11 Maya-Masaka-24h'!D40,'03.11 Maya-Masaka'!D40)</f>
        <v>8.5714285714285712</v>
      </c>
      <c r="E40" s="49">
        <f>AVERAGE('28.10 Maya-Masaka'!E40,'29.10 Maya-Masaka'!E40,'30.10 Maya-Masaka'!E40,'01.11 Maya-Masaka'!E40,'31.10 Maya-Masaka-24h'!E40,'02.11 Maya-Masaka-24h'!E40,'03.11 Maya-Masaka'!E40)</f>
        <v>7.1428571428571432</v>
      </c>
      <c r="F40" s="49">
        <f>AVERAGE('28.10 Maya-Masaka'!F40,'29.10 Maya-Masaka'!F40,'30.10 Maya-Masaka'!F40,'01.11 Maya-Masaka'!F40,'31.10 Maya-Masaka-24h'!F40,'02.11 Maya-Masaka-24h'!F40,'03.11 Maya-Masaka'!F40)</f>
        <v>25.571428571428573</v>
      </c>
      <c r="G40" s="49">
        <f>AVERAGE('28.10 Maya-Masaka'!G40,'29.10 Maya-Masaka'!G40,'30.10 Maya-Masaka'!G40,'01.11 Maya-Masaka'!G40,'31.10 Maya-Masaka-24h'!G40,'02.11 Maya-Masaka-24h'!G40,'03.11 Maya-Masaka'!G40)</f>
        <v>1.2857142857142858</v>
      </c>
      <c r="H40" s="49">
        <f>AVERAGE('28.10 Maya-Masaka'!H40,'29.10 Maya-Masaka'!H40,'30.10 Maya-Masaka'!H40,'01.11 Maya-Masaka'!H40,'31.10 Maya-Masaka-24h'!H40,'02.11 Maya-Masaka-24h'!H40,'03.11 Maya-Masaka'!H40)</f>
        <v>2.2857142857142856</v>
      </c>
      <c r="I40" s="49">
        <f>AVERAGE('28.10 Maya-Masaka'!I40,'29.10 Maya-Masaka'!I40,'30.10 Maya-Masaka'!I40,'01.11 Maya-Masaka'!I40,'31.10 Maya-Masaka-24h'!I40,'02.11 Maya-Masaka-24h'!I40,'03.11 Maya-Masaka'!I40)</f>
        <v>17.142857142857142</v>
      </c>
      <c r="J40" s="49">
        <f>AVERAGE('28.10 Maya-Masaka'!J40,'29.10 Maya-Masaka'!J40,'30.10 Maya-Masaka'!J40,'01.11 Maya-Masaka'!J40,'31.10 Maya-Masaka-24h'!J40,'02.11 Maya-Masaka-24h'!J40,'03.11 Maya-Masaka'!J40)</f>
        <v>4.7142857142857144</v>
      </c>
      <c r="K40" s="49">
        <f>AVERAGE('28.10 Maya-Masaka'!K40,'29.10 Maya-Masaka'!K40,'30.10 Maya-Masaka'!K40,'01.11 Maya-Masaka'!K40,'31.10 Maya-Masaka-24h'!K40,'02.11 Maya-Masaka-24h'!K40,'03.11 Maya-Masaka'!K40)</f>
        <v>2.7142857142857144</v>
      </c>
      <c r="L40" s="49">
        <f>AVERAGE('28.10 Maya-Masaka'!L40,'29.10 Maya-Masaka'!L40,'30.10 Maya-Masaka'!L40,'01.11 Maya-Masaka'!L40,'31.10 Maya-Masaka-24h'!L40,'02.11 Maya-Masaka-24h'!L40,'03.11 Maya-Masaka'!L40)</f>
        <v>0.8571428571428571</v>
      </c>
      <c r="M40" s="49">
        <f>AVERAGE('28.10 Maya-Masaka'!M40,'29.10 Maya-Masaka'!M40,'30.10 Maya-Masaka'!M40,'01.11 Maya-Masaka'!M40,'31.10 Maya-Masaka-24h'!M40,'02.11 Maya-Masaka-24h'!M40,'03.11 Maya-Masaka'!M40)</f>
        <v>25.857142857142858</v>
      </c>
      <c r="N40" s="49">
        <f>AVERAGE('28.10 Maya-Masaka'!N40,'29.10 Maya-Masaka'!N40,'30.10 Maya-Masaka'!N40,'01.11 Maya-Masaka'!N40,'31.10 Maya-Masaka-24h'!N40,'02.11 Maya-Masaka-24h'!N40,'03.11 Maya-Masaka'!N40)</f>
        <v>0</v>
      </c>
      <c r="O40" s="15">
        <f t="shared" si="0"/>
        <v>111.14285714285714</v>
      </c>
      <c r="P40" s="15">
        <f t="shared" si="1"/>
        <v>137</v>
      </c>
      <c r="R40" s="5" t="s">
        <v>17</v>
      </c>
      <c r="S40" s="54">
        <f t="shared" ref="S40:AF40" si="32">SUM(S10:S21)</f>
        <v>1653.8571428571427</v>
      </c>
      <c r="T40" s="54">
        <f t="shared" si="32"/>
        <v>390</v>
      </c>
      <c r="U40" s="54">
        <f t="shared" si="32"/>
        <v>259.28571428571433</v>
      </c>
      <c r="V40" s="54">
        <f t="shared" si="32"/>
        <v>1277.2857142857142</v>
      </c>
      <c r="W40" s="54">
        <f t="shared" si="32"/>
        <v>84.714285714285708</v>
      </c>
      <c r="X40" s="54">
        <f t="shared" si="32"/>
        <v>77.142857142857153</v>
      </c>
      <c r="Y40" s="54">
        <f t="shared" si="32"/>
        <v>737.71428571428567</v>
      </c>
      <c r="Z40" s="54">
        <f t="shared" si="32"/>
        <v>210.14285714285717</v>
      </c>
      <c r="AA40" s="54">
        <f t="shared" si="32"/>
        <v>112.71428571428571</v>
      </c>
      <c r="AB40" s="54">
        <f t="shared" si="32"/>
        <v>97.142857142857125</v>
      </c>
      <c r="AC40" s="54">
        <f t="shared" si="32"/>
        <v>1134.2857142857144</v>
      </c>
      <c r="AD40" s="54">
        <f t="shared" si="32"/>
        <v>0.2857142857142857</v>
      </c>
      <c r="AE40" s="55">
        <f t="shared" si="32"/>
        <v>4900.2857142857138</v>
      </c>
      <c r="AF40" s="55">
        <f t="shared" si="32"/>
        <v>6034.5714285714284</v>
      </c>
    </row>
    <row r="41" spans="2:32" ht="23.1" customHeight="1" x14ac:dyDescent="0.25">
      <c r="B41" s="23" t="s">
        <v>68</v>
      </c>
      <c r="C41" s="49">
        <f>AVERAGE('28.10 Maya-Masaka'!C41,'29.10 Maya-Masaka'!C41,'30.10 Maya-Masaka'!C41,'01.11 Maya-Masaka'!C41,'31.10 Maya-Masaka-24h'!C41,'02.11 Maya-Masaka-24h'!C41,'03.11 Maya-Masaka'!C41)</f>
        <v>44.142857142857146</v>
      </c>
      <c r="D41" s="49">
        <f>AVERAGE('28.10 Maya-Masaka'!D41,'29.10 Maya-Masaka'!D41,'30.10 Maya-Masaka'!D41,'01.11 Maya-Masaka'!D41,'31.10 Maya-Masaka-24h'!D41,'02.11 Maya-Masaka-24h'!D41,'03.11 Maya-Masaka'!D41)</f>
        <v>9.1428571428571423</v>
      </c>
      <c r="E41" s="49">
        <f>AVERAGE('28.10 Maya-Masaka'!E41,'29.10 Maya-Masaka'!E41,'30.10 Maya-Masaka'!E41,'01.11 Maya-Masaka'!E41,'31.10 Maya-Masaka-24h'!E41,'02.11 Maya-Masaka-24h'!E41,'03.11 Maya-Masaka'!E41)</f>
        <v>7.8571428571428568</v>
      </c>
      <c r="F41" s="49">
        <f>AVERAGE('28.10 Maya-Masaka'!F41,'29.10 Maya-Masaka'!F41,'30.10 Maya-Masaka'!F41,'01.11 Maya-Masaka'!F41,'31.10 Maya-Masaka-24h'!F41,'02.11 Maya-Masaka-24h'!F41,'03.11 Maya-Masaka'!F41)</f>
        <v>21.571428571428573</v>
      </c>
      <c r="G41" s="49">
        <f>AVERAGE('28.10 Maya-Masaka'!G41,'29.10 Maya-Masaka'!G41,'30.10 Maya-Masaka'!G41,'01.11 Maya-Masaka'!G41,'31.10 Maya-Masaka-24h'!G41,'02.11 Maya-Masaka-24h'!G41,'03.11 Maya-Masaka'!G41)</f>
        <v>2.7142857142857144</v>
      </c>
      <c r="H41" s="49">
        <f>AVERAGE('28.10 Maya-Masaka'!H41,'29.10 Maya-Masaka'!H41,'30.10 Maya-Masaka'!H41,'01.11 Maya-Masaka'!H41,'31.10 Maya-Masaka-24h'!H41,'02.11 Maya-Masaka-24h'!H41,'03.11 Maya-Masaka'!H41)</f>
        <v>1.1428571428571428</v>
      </c>
      <c r="I41" s="49">
        <f>AVERAGE('28.10 Maya-Masaka'!I41,'29.10 Maya-Masaka'!I41,'30.10 Maya-Masaka'!I41,'01.11 Maya-Masaka'!I41,'31.10 Maya-Masaka-24h'!I41,'02.11 Maya-Masaka-24h'!I41,'03.11 Maya-Masaka'!I41)</f>
        <v>17.285714285714285</v>
      </c>
      <c r="J41" s="49">
        <f>AVERAGE('28.10 Maya-Masaka'!J41,'29.10 Maya-Masaka'!J41,'30.10 Maya-Masaka'!J41,'01.11 Maya-Masaka'!J41,'31.10 Maya-Masaka-24h'!J41,'02.11 Maya-Masaka-24h'!J41,'03.11 Maya-Masaka'!J41)</f>
        <v>6.4285714285714288</v>
      </c>
      <c r="K41" s="49">
        <f>AVERAGE('28.10 Maya-Masaka'!K41,'29.10 Maya-Masaka'!K41,'30.10 Maya-Masaka'!K41,'01.11 Maya-Masaka'!K41,'31.10 Maya-Masaka-24h'!K41,'02.11 Maya-Masaka-24h'!K41,'03.11 Maya-Masaka'!K41)</f>
        <v>1.7142857142857142</v>
      </c>
      <c r="L41" s="49">
        <f>AVERAGE('28.10 Maya-Masaka'!L41,'29.10 Maya-Masaka'!L41,'30.10 Maya-Masaka'!L41,'01.11 Maya-Masaka'!L41,'31.10 Maya-Masaka-24h'!L41,'02.11 Maya-Masaka-24h'!L41,'03.11 Maya-Masaka'!L41)</f>
        <v>1.5714285714285714</v>
      </c>
      <c r="M41" s="49">
        <f>AVERAGE('28.10 Maya-Masaka'!M41,'29.10 Maya-Masaka'!M41,'30.10 Maya-Masaka'!M41,'01.11 Maya-Masaka'!M41,'31.10 Maya-Masaka-24h'!M41,'02.11 Maya-Masaka-24h'!M41,'03.11 Maya-Masaka'!M41)</f>
        <v>15.714285714285714</v>
      </c>
      <c r="N41" s="49">
        <f>AVERAGE('28.10 Maya-Masaka'!N41,'29.10 Maya-Masaka'!N41,'30.10 Maya-Masaka'!N41,'01.11 Maya-Masaka'!N41,'31.10 Maya-Masaka-24h'!N41,'02.11 Maya-Masaka-24h'!N41,'03.11 Maya-Masaka'!N41)</f>
        <v>0</v>
      </c>
      <c r="O41" s="15">
        <f t="shared" si="0"/>
        <v>113.57142857142857</v>
      </c>
      <c r="P41" s="15">
        <f t="shared" si="1"/>
        <v>129.28571428571428</v>
      </c>
      <c r="R41" s="5" t="s">
        <v>178</v>
      </c>
      <c r="S41" s="54">
        <f>SUM(S10:S33)</f>
        <v>2072.3571428571427</v>
      </c>
      <c r="T41" s="54">
        <f t="shared" ref="T41:AD41" si="33">SUM(T10:T33)</f>
        <v>541</v>
      </c>
      <c r="U41" s="54">
        <f t="shared" si="33"/>
        <v>324.28571428571433</v>
      </c>
      <c r="V41" s="54">
        <f t="shared" si="33"/>
        <v>1663.2857142857142</v>
      </c>
      <c r="W41" s="54">
        <f t="shared" si="33"/>
        <v>107.21428571428571</v>
      </c>
      <c r="X41" s="54">
        <f t="shared" si="33"/>
        <v>136.64285714285717</v>
      </c>
      <c r="Y41" s="54">
        <f t="shared" si="33"/>
        <v>1158.2142857142858</v>
      </c>
      <c r="Z41" s="54">
        <f t="shared" si="33"/>
        <v>389.14285714285717</v>
      </c>
      <c r="AA41" s="54">
        <f t="shared" si="33"/>
        <v>270.71428571428572</v>
      </c>
      <c r="AB41" s="54">
        <f t="shared" si="33"/>
        <v>162.64285714285711</v>
      </c>
      <c r="AC41" s="54">
        <f t="shared" si="33"/>
        <v>1454.7857142857144</v>
      </c>
      <c r="AD41" s="54">
        <f t="shared" si="33"/>
        <v>0.2857142857142857</v>
      </c>
      <c r="AE41" s="55">
        <f>SUM(AE10:AE33)</f>
        <v>6825.7857142857138</v>
      </c>
      <c r="AF41" s="55">
        <f>SUM(AF10:AF33)</f>
        <v>8280.5714285714275</v>
      </c>
    </row>
    <row r="42" spans="2:32" ht="23.1" customHeight="1" x14ac:dyDescent="0.25">
      <c r="B42" s="24" t="s">
        <v>69</v>
      </c>
      <c r="C42" s="49">
        <f>AVERAGE('28.10 Maya-Masaka'!C42,'29.10 Maya-Masaka'!C42,'30.10 Maya-Masaka'!C42,'01.11 Maya-Masaka'!C42,'31.10 Maya-Masaka-24h'!C42,'02.11 Maya-Masaka-24h'!C42,'03.11 Maya-Masaka'!C42)</f>
        <v>38.142857142857146</v>
      </c>
      <c r="D42" s="49">
        <f>AVERAGE('28.10 Maya-Masaka'!D42,'29.10 Maya-Masaka'!D42,'30.10 Maya-Masaka'!D42,'01.11 Maya-Masaka'!D42,'31.10 Maya-Masaka-24h'!D42,'02.11 Maya-Masaka-24h'!D42,'03.11 Maya-Masaka'!D42)</f>
        <v>8.4285714285714288</v>
      </c>
      <c r="E42" s="49">
        <f>AVERAGE('28.10 Maya-Masaka'!E42,'29.10 Maya-Masaka'!E42,'30.10 Maya-Masaka'!E42,'01.11 Maya-Masaka'!E42,'31.10 Maya-Masaka-24h'!E42,'02.11 Maya-Masaka-24h'!E42,'03.11 Maya-Masaka'!E42)</f>
        <v>5.7142857142857144</v>
      </c>
      <c r="F42" s="49">
        <f>AVERAGE('28.10 Maya-Masaka'!F42,'29.10 Maya-Masaka'!F42,'30.10 Maya-Masaka'!F42,'01.11 Maya-Masaka'!F42,'31.10 Maya-Masaka-24h'!F42,'02.11 Maya-Masaka-24h'!F42,'03.11 Maya-Masaka'!F42)</f>
        <v>24.857142857142858</v>
      </c>
      <c r="G42" s="49">
        <f>AVERAGE('28.10 Maya-Masaka'!G42,'29.10 Maya-Masaka'!G42,'30.10 Maya-Masaka'!G42,'01.11 Maya-Masaka'!G42,'31.10 Maya-Masaka-24h'!G42,'02.11 Maya-Masaka-24h'!G42,'03.11 Maya-Masaka'!G42)</f>
        <v>1.1428571428571428</v>
      </c>
      <c r="H42" s="49">
        <f>AVERAGE('28.10 Maya-Masaka'!H42,'29.10 Maya-Masaka'!H42,'30.10 Maya-Masaka'!H42,'01.11 Maya-Masaka'!H42,'31.10 Maya-Masaka-24h'!H42,'02.11 Maya-Masaka-24h'!H42,'03.11 Maya-Masaka'!H42)</f>
        <v>1.5714285714285714</v>
      </c>
      <c r="I42" s="49">
        <f>AVERAGE('28.10 Maya-Masaka'!I42,'29.10 Maya-Masaka'!I42,'30.10 Maya-Masaka'!I42,'01.11 Maya-Masaka'!I42,'31.10 Maya-Masaka-24h'!I42,'02.11 Maya-Masaka-24h'!I42,'03.11 Maya-Masaka'!I42)</f>
        <v>17</v>
      </c>
      <c r="J42" s="49">
        <f>AVERAGE('28.10 Maya-Masaka'!J42,'29.10 Maya-Masaka'!J42,'30.10 Maya-Masaka'!J42,'01.11 Maya-Masaka'!J42,'31.10 Maya-Masaka-24h'!J42,'02.11 Maya-Masaka-24h'!J42,'03.11 Maya-Masaka'!J42)</f>
        <v>5</v>
      </c>
      <c r="K42" s="49">
        <f>AVERAGE('28.10 Maya-Masaka'!K42,'29.10 Maya-Masaka'!K42,'30.10 Maya-Masaka'!K42,'01.11 Maya-Masaka'!K42,'31.10 Maya-Masaka-24h'!K42,'02.11 Maya-Masaka-24h'!K42,'03.11 Maya-Masaka'!K42)</f>
        <v>1.1428571428571428</v>
      </c>
      <c r="L42" s="49">
        <f>AVERAGE('28.10 Maya-Masaka'!L42,'29.10 Maya-Masaka'!L42,'30.10 Maya-Masaka'!L42,'01.11 Maya-Masaka'!L42,'31.10 Maya-Masaka-24h'!L42,'02.11 Maya-Masaka-24h'!L42,'03.11 Maya-Masaka'!L42)</f>
        <v>2.5714285714285716</v>
      </c>
      <c r="M42" s="49">
        <f>AVERAGE('28.10 Maya-Masaka'!M42,'29.10 Maya-Masaka'!M42,'30.10 Maya-Masaka'!M42,'01.11 Maya-Masaka'!M42,'31.10 Maya-Masaka-24h'!M42,'02.11 Maya-Masaka-24h'!M42,'03.11 Maya-Masaka'!M42)</f>
        <v>27.857142857142858</v>
      </c>
      <c r="N42" s="49">
        <f>AVERAGE('28.10 Maya-Masaka'!N42,'29.10 Maya-Masaka'!N42,'30.10 Maya-Masaka'!N42,'01.11 Maya-Masaka'!N42,'31.10 Maya-Masaka-24h'!N42,'02.11 Maya-Masaka-24h'!N42,'03.11 Maya-Masaka'!N42)</f>
        <v>0</v>
      </c>
      <c r="O42" s="15">
        <f t="shared" si="0"/>
        <v>105.57142857142857</v>
      </c>
      <c r="P42" s="15">
        <f t="shared" si="1"/>
        <v>133.42857142857142</v>
      </c>
      <c r="R42" s="5" t="s">
        <v>160</v>
      </c>
      <c r="S42" s="48">
        <f>S41/S40</f>
        <v>1.2530448302669086</v>
      </c>
      <c r="T42" s="48">
        <f t="shared" ref="T42:AF42" si="34">T41/T40</f>
        <v>1.3871794871794871</v>
      </c>
      <c r="U42" s="48">
        <f t="shared" si="34"/>
        <v>1.2506887052341598</v>
      </c>
      <c r="V42" s="48">
        <f t="shared" si="34"/>
        <v>1.3022033329605189</v>
      </c>
      <c r="W42" s="48">
        <f t="shared" si="34"/>
        <v>1.2655986509274875</v>
      </c>
      <c r="X42" s="48">
        <f t="shared" si="34"/>
        <v>1.7712962962962964</v>
      </c>
      <c r="Y42" s="48">
        <f t="shared" si="34"/>
        <v>1.5700038729666927</v>
      </c>
      <c r="Z42" s="48">
        <f t="shared" si="34"/>
        <v>1.8518014955812372</v>
      </c>
      <c r="AA42" s="48">
        <f t="shared" si="34"/>
        <v>2.4017743979721167</v>
      </c>
      <c r="AB42" s="48">
        <f t="shared" si="34"/>
        <v>1.674264705882353</v>
      </c>
      <c r="AC42" s="48">
        <f t="shared" si="34"/>
        <v>1.2825566750629722</v>
      </c>
      <c r="AD42" s="48">
        <f t="shared" si="34"/>
        <v>1</v>
      </c>
      <c r="AE42" s="56">
        <f t="shared" si="34"/>
        <v>1.3929362719374965</v>
      </c>
      <c r="AF42" s="56">
        <f t="shared" si="34"/>
        <v>1.3721888168173855</v>
      </c>
    </row>
    <row r="43" spans="2:32" ht="23.1" customHeight="1" x14ac:dyDescent="0.25">
      <c r="B43" s="23" t="s">
        <v>70</v>
      </c>
      <c r="C43" s="49">
        <f>AVERAGE('28.10 Maya-Masaka'!C43,'29.10 Maya-Masaka'!C43,'30.10 Maya-Masaka'!C43,'01.11 Maya-Masaka'!C43,'31.10 Maya-Masaka-24h'!C43,'02.11 Maya-Masaka-24h'!C43,'03.11 Maya-Masaka'!C43)</f>
        <v>45.857142857142854</v>
      </c>
      <c r="D43" s="49">
        <f>AVERAGE('28.10 Maya-Masaka'!D43,'29.10 Maya-Masaka'!D43,'30.10 Maya-Masaka'!D43,'01.11 Maya-Masaka'!D43,'31.10 Maya-Masaka-24h'!D43,'02.11 Maya-Masaka-24h'!D43,'03.11 Maya-Masaka'!D43)</f>
        <v>8.1428571428571423</v>
      </c>
      <c r="E43" s="49">
        <f>AVERAGE('28.10 Maya-Masaka'!E43,'29.10 Maya-Masaka'!E43,'30.10 Maya-Masaka'!E43,'01.11 Maya-Masaka'!E43,'31.10 Maya-Masaka-24h'!E43,'02.11 Maya-Masaka-24h'!E43,'03.11 Maya-Masaka'!E43)</f>
        <v>4.1428571428571432</v>
      </c>
      <c r="F43" s="49">
        <f>AVERAGE('28.10 Maya-Masaka'!F43,'29.10 Maya-Masaka'!F43,'30.10 Maya-Masaka'!F43,'01.11 Maya-Masaka'!F43,'31.10 Maya-Masaka-24h'!F43,'02.11 Maya-Masaka-24h'!F43,'03.11 Maya-Masaka'!F43)</f>
        <v>23.571428571428573</v>
      </c>
      <c r="G43" s="49">
        <f>AVERAGE('28.10 Maya-Masaka'!G43,'29.10 Maya-Masaka'!G43,'30.10 Maya-Masaka'!G43,'01.11 Maya-Masaka'!G43,'31.10 Maya-Masaka-24h'!G43,'02.11 Maya-Masaka-24h'!G43,'03.11 Maya-Masaka'!G43)</f>
        <v>0.8571428571428571</v>
      </c>
      <c r="H43" s="49">
        <f>AVERAGE('28.10 Maya-Masaka'!H43,'29.10 Maya-Masaka'!H43,'30.10 Maya-Masaka'!H43,'01.11 Maya-Masaka'!H43,'31.10 Maya-Masaka-24h'!H43,'02.11 Maya-Masaka-24h'!H43,'03.11 Maya-Masaka'!H43)</f>
        <v>2.2857142857142856</v>
      </c>
      <c r="I43" s="49">
        <f>AVERAGE('28.10 Maya-Masaka'!I43,'29.10 Maya-Masaka'!I43,'30.10 Maya-Masaka'!I43,'01.11 Maya-Masaka'!I43,'31.10 Maya-Masaka-24h'!I43,'02.11 Maya-Masaka-24h'!I43,'03.11 Maya-Masaka'!I43)</f>
        <v>22.428571428571427</v>
      </c>
      <c r="J43" s="49">
        <f>AVERAGE('28.10 Maya-Masaka'!J43,'29.10 Maya-Masaka'!J43,'30.10 Maya-Masaka'!J43,'01.11 Maya-Masaka'!J43,'31.10 Maya-Masaka-24h'!J43,'02.11 Maya-Masaka-24h'!J43,'03.11 Maya-Masaka'!J43)</f>
        <v>4.4285714285714288</v>
      </c>
      <c r="K43" s="49">
        <f>AVERAGE('28.10 Maya-Masaka'!K43,'29.10 Maya-Masaka'!K43,'30.10 Maya-Masaka'!K43,'01.11 Maya-Masaka'!K43,'31.10 Maya-Masaka-24h'!K43,'02.11 Maya-Masaka-24h'!K43,'03.11 Maya-Masaka'!K43)</f>
        <v>1.4285714285714286</v>
      </c>
      <c r="L43" s="49">
        <f>AVERAGE('28.10 Maya-Masaka'!L43,'29.10 Maya-Masaka'!L43,'30.10 Maya-Masaka'!L43,'01.11 Maya-Masaka'!L43,'31.10 Maya-Masaka-24h'!L43,'02.11 Maya-Masaka-24h'!L43,'03.11 Maya-Masaka'!L43)</f>
        <v>2.8571428571428572</v>
      </c>
      <c r="M43" s="49">
        <f>AVERAGE('28.10 Maya-Masaka'!M43,'29.10 Maya-Masaka'!M43,'30.10 Maya-Masaka'!M43,'01.11 Maya-Masaka'!M43,'31.10 Maya-Masaka-24h'!M43,'02.11 Maya-Masaka-24h'!M43,'03.11 Maya-Masaka'!M43)</f>
        <v>21.857142857142858</v>
      </c>
      <c r="N43" s="49">
        <f>AVERAGE('28.10 Maya-Masaka'!N43,'29.10 Maya-Masaka'!N43,'30.10 Maya-Masaka'!N43,'01.11 Maya-Masaka'!N43,'31.10 Maya-Masaka-24h'!N43,'02.11 Maya-Masaka-24h'!N43,'03.11 Maya-Masaka'!N43)</f>
        <v>0</v>
      </c>
      <c r="O43" s="15">
        <f t="shared" si="0"/>
        <v>116.00000000000003</v>
      </c>
      <c r="P43" s="15">
        <f t="shared" si="1"/>
        <v>137.85714285714289</v>
      </c>
    </row>
    <row r="44" spans="2:32" ht="23.1" customHeight="1" x14ac:dyDescent="0.25">
      <c r="B44" s="25" t="s">
        <v>71</v>
      </c>
      <c r="C44" s="49">
        <f>AVERAGE('28.10 Maya-Masaka'!C44,'29.10 Maya-Masaka'!C44,'30.10 Maya-Masaka'!C44,'01.11 Maya-Masaka'!C44,'31.10 Maya-Masaka-24h'!C44,'02.11 Maya-Masaka-24h'!C44,'03.11 Maya-Masaka'!C44)</f>
        <v>31.857142857142858</v>
      </c>
      <c r="D44" s="49">
        <f>AVERAGE('28.10 Maya-Masaka'!D44,'29.10 Maya-Masaka'!D44,'30.10 Maya-Masaka'!D44,'01.11 Maya-Masaka'!D44,'31.10 Maya-Masaka-24h'!D44,'02.11 Maya-Masaka-24h'!D44,'03.11 Maya-Masaka'!D44)</f>
        <v>7.5714285714285712</v>
      </c>
      <c r="E44" s="49">
        <f>AVERAGE('28.10 Maya-Masaka'!E44,'29.10 Maya-Masaka'!E44,'30.10 Maya-Masaka'!E44,'01.11 Maya-Masaka'!E44,'31.10 Maya-Masaka-24h'!E44,'02.11 Maya-Masaka-24h'!E44,'03.11 Maya-Masaka'!E44)</f>
        <v>4.4285714285714288</v>
      </c>
      <c r="F44" s="49">
        <f>AVERAGE('28.10 Maya-Masaka'!F44,'29.10 Maya-Masaka'!F44,'30.10 Maya-Masaka'!F44,'01.11 Maya-Masaka'!F44,'31.10 Maya-Masaka-24h'!F44,'02.11 Maya-Masaka-24h'!F44,'03.11 Maya-Masaka'!F44)</f>
        <v>29</v>
      </c>
      <c r="G44" s="49">
        <f>AVERAGE('28.10 Maya-Masaka'!G44,'29.10 Maya-Masaka'!G44,'30.10 Maya-Masaka'!G44,'01.11 Maya-Masaka'!G44,'31.10 Maya-Masaka-24h'!G44,'02.11 Maya-Masaka-24h'!G44,'03.11 Maya-Masaka'!G44)</f>
        <v>1.5714285714285714</v>
      </c>
      <c r="H44" s="49">
        <f>AVERAGE('28.10 Maya-Masaka'!H44,'29.10 Maya-Masaka'!H44,'30.10 Maya-Masaka'!H44,'01.11 Maya-Masaka'!H44,'31.10 Maya-Masaka-24h'!H44,'02.11 Maya-Masaka-24h'!H44,'03.11 Maya-Masaka'!H44)</f>
        <v>1.2857142857142858</v>
      </c>
      <c r="I44" s="49">
        <f>AVERAGE('28.10 Maya-Masaka'!I44,'29.10 Maya-Masaka'!I44,'30.10 Maya-Masaka'!I44,'01.11 Maya-Masaka'!I44,'31.10 Maya-Masaka-24h'!I44,'02.11 Maya-Masaka-24h'!I44,'03.11 Maya-Masaka'!I44)</f>
        <v>18.571428571428573</v>
      </c>
      <c r="J44" s="49">
        <f>AVERAGE('28.10 Maya-Masaka'!J44,'29.10 Maya-Masaka'!J44,'30.10 Maya-Masaka'!J44,'01.11 Maya-Masaka'!J44,'31.10 Maya-Masaka-24h'!J44,'02.11 Maya-Masaka-24h'!J44,'03.11 Maya-Masaka'!J44)</f>
        <v>5.8571428571428568</v>
      </c>
      <c r="K44" s="49">
        <f>AVERAGE('28.10 Maya-Masaka'!K44,'29.10 Maya-Masaka'!K44,'30.10 Maya-Masaka'!K44,'01.11 Maya-Masaka'!K44,'31.10 Maya-Masaka-24h'!K44,'02.11 Maya-Masaka-24h'!K44,'03.11 Maya-Masaka'!K44)</f>
        <v>1</v>
      </c>
      <c r="L44" s="49">
        <f>AVERAGE('28.10 Maya-Masaka'!L44,'29.10 Maya-Masaka'!L44,'30.10 Maya-Masaka'!L44,'01.11 Maya-Masaka'!L44,'31.10 Maya-Masaka-24h'!L44,'02.11 Maya-Masaka-24h'!L44,'03.11 Maya-Masaka'!L44)</f>
        <v>2.2857142857142856</v>
      </c>
      <c r="M44" s="49">
        <f>AVERAGE('28.10 Maya-Masaka'!M44,'29.10 Maya-Masaka'!M44,'30.10 Maya-Masaka'!M44,'01.11 Maya-Masaka'!M44,'31.10 Maya-Masaka-24h'!M44,'02.11 Maya-Masaka-24h'!M44,'03.11 Maya-Masaka'!M44)</f>
        <v>17.428571428571427</v>
      </c>
      <c r="N44" s="49">
        <f>AVERAGE('28.10 Maya-Masaka'!N44,'29.10 Maya-Masaka'!N44,'30.10 Maya-Masaka'!N44,'01.11 Maya-Masaka'!N44,'31.10 Maya-Masaka-24h'!N44,'02.11 Maya-Masaka-24h'!N44,'03.11 Maya-Masaka'!N44)</f>
        <v>0</v>
      </c>
      <c r="O44" s="15">
        <f t="shared" si="0"/>
        <v>103.42857142857144</v>
      </c>
      <c r="P44" s="15">
        <f t="shared" si="1"/>
        <v>120.85714285714288</v>
      </c>
    </row>
    <row r="45" spans="2:32" ht="23.1" customHeight="1" x14ac:dyDescent="0.25">
      <c r="B45" s="23" t="s">
        <v>72</v>
      </c>
      <c r="C45" s="49">
        <f>AVERAGE('28.10 Maya-Masaka'!C45,'29.10 Maya-Masaka'!C45,'30.10 Maya-Masaka'!C45,'01.11 Maya-Masaka'!C45,'31.10 Maya-Masaka-24h'!C45,'02.11 Maya-Masaka-24h'!C45,'03.11 Maya-Masaka'!C45)</f>
        <v>31.714285714285715</v>
      </c>
      <c r="D45" s="49">
        <f>AVERAGE('28.10 Maya-Masaka'!D45,'29.10 Maya-Masaka'!D45,'30.10 Maya-Masaka'!D45,'01.11 Maya-Masaka'!D45,'31.10 Maya-Masaka-24h'!D45,'02.11 Maya-Masaka-24h'!D45,'03.11 Maya-Masaka'!D45)</f>
        <v>8</v>
      </c>
      <c r="E45" s="49">
        <f>AVERAGE('28.10 Maya-Masaka'!E45,'29.10 Maya-Masaka'!E45,'30.10 Maya-Masaka'!E45,'01.11 Maya-Masaka'!E45,'31.10 Maya-Masaka-24h'!E45,'02.11 Maya-Masaka-24h'!E45,'03.11 Maya-Masaka'!E45)</f>
        <v>7.5714285714285712</v>
      </c>
      <c r="F45" s="49">
        <f>AVERAGE('28.10 Maya-Masaka'!F45,'29.10 Maya-Masaka'!F45,'30.10 Maya-Masaka'!F45,'01.11 Maya-Masaka'!F45,'31.10 Maya-Masaka-24h'!F45,'02.11 Maya-Masaka-24h'!F45,'03.11 Maya-Masaka'!F45)</f>
        <v>25.714285714285715</v>
      </c>
      <c r="G45" s="49">
        <f>AVERAGE('28.10 Maya-Masaka'!G45,'29.10 Maya-Masaka'!G45,'30.10 Maya-Masaka'!G45,'01.11 Maya-Masaka'!G45,'31.10 Maya-Masaka-24h'!G45,'02.11 Maya-Masaka-24h'!G45,'03.11 Maya-Masaka'!G45)</f>
        <v>1.4285714285714286</v>
      </c>
      <c r="H45" s="49">
        <f>AVERAGE('28.10 Maya-Masaka'!H45,'29.10 Maya-Masaka'!H45,'30.10 Maya-Masaka'!H45,'01.11 Maya-Masaka'!H45,'31.10 Maya-Masaka-24h'!H45,'02.11 Maya-Masaka-24h'!H45,'03.11 Maya-Masaka'!H45)</f>
        <v>2.2857142857142856</v>
      </c>
      <c r="I45" s="49">
        <f>AVERAGE('28.10 Maya-Masaka'!I45,'29.10 Maya-Masaka'!I45,'30.10 Maya-Masaka'!I45,'01.11 Maya-Masaka'!I45,'31.10 Maya-Masaka-24h'!I45,'02.11 Maya-Masaka-24h'!I45,'03.11 Maya-Masaka'!I45)</f>
        <v>13.142857142857142</v>
      </c>
      <c r="J45" s="49">
        <f>AVERAGE('28.10 Maya-Masaka'!J45,'29.10 Maya-Masaka'!J45,'30.10 Maya-Masaka'!J45,'01.11 Maya-Masaka'!J45,'31.10 Maya-Masaka-24h'!J45,'02.11 Maya-Masaka-24h'!J45,'03.11 Maya-Masaka'!J45)</f>
        <v>6.5714285714285712</v>
      </c>
      <c r="K45" s="49">
        <f>AVERAGE('28.10 Maya-Masaka'!K45,'29.10 Maya-Masaka'!K45,'30.10 Maya-Masaka'!K45,'01.11 Maya-Masaka'!K45,'31.10 Maya-Masaka-24h'!K45,'02.11 Maya-Masaka-24h'!K45,'03.11 Maya-Masaka'!K45)</f>
        <v>1.5714285714285714</v>
      </c>
      <c r="L45" s="49">
        <f>AVERAGE('28.10 Maya-Masaka'!L45,'29.10 Maya-Masaka'!L45,'30.10 Maya-Masaka'!L45,'01.11 Maya-Masaka'!L45,'31.10 Maya-Masaka-24h'!L45,'02.11 Maya-Masaka-24h'!L45,'03.11 Maya-Masaka'!L45)</f>
        <v>2</v>
      </c>
      <c r="M45" s="49">
        <f>AVERAGE('28.10 Maya-Masaka'!M45,'29.10 Maya-Masaka'!M45,'30.10 Maya-Masaka'!M45,'01.11 Maya-Masaka'!M45,'31.10 Maya-Masaka-24h'!M45,'02.11 Maya-Masaka-24h'!M45,'03.11 Maya-Masaka'!M45)</f>
        <v>18.428571428571427</v>
      </c>
      <c r="N45" s="49">
        <f>AVERAGE('28.10 Maya-Masaka'!N45,'29.10 Maya-Masaka'!N45,'30.10 Maya-Masaka'!N45,'01.11 Maya-Masaka'!N45,'31.10 Maya-Masaka-24h'!N45,'02.11 Maya-Masaka-24h'!N45,'03.11 Maya-Masaka'!N45)</f>
        <v>0.14285714285714285</v>
      </c>
      <c r="O45" s="15">
        <f t="shared" si="0"/>
        <v>100.14285714285714</v>
      </c>
      <c r="P45" s="15">
        <f t="shared" si="1"/>
        <v>118.57142857142857</v>
      </c>
    </row>
    <row r="46" spans="2:32" ht="23.1" customHeight="1" x14ac:dyDescent="0.25">
      <c r="B46" s="24" t="s">
        <v>73</v>
      </c>
      <c r="C46" s="49">
        <f>AVERAGE('28.10 Maya-Masaka'!C46,'29.10 Maya-Masaka'!C46,'30.10 Maya-Masaka'!C46,'01.11 Maya-Masaka'!C46,'31.10 Maya-Masaka-24h'!C46,'02.11 Maya-Masaka-24h'!C46,'03.11 Maya-Masaka'!C46)</f>
        <v>35.428571428571431</v>
      </c>
      <c r="D46" s="49">
        <f>AVERAGE('28.10 Maya-Masaka'!D46,'29.10 Maya-Masaka'!D46,'30.10 Maya-Masaka'!D46,'01.11 Maya-Masaka'!D46,'31.10 Maya-Masaka-24h'!D46,'02.11 Maya-Masaka-24h'!D46,'03.11 Maya-Masaka'!D46)</f>
        <v>8.1428571428571423</v>
      </c>
      <c r="E46" s="49">
        <f>AVERAGE('28.10 Maya-Masaka'!E46,'29.10 Maya-Masaka'!E46,'30.10 Maya-Masaka'!E46,'01.11 Maya-Masaka'!E46,'31.10 Maya-Masaka-24h'!E46,'02.11 Maya-Masaka-24h'!E46,'03.11 Maya-Masaka'!E46)</f>
        <v>7.7142857142857144</v>
      </c>
      <c r="F46" s="49">
        <f>AVERAGE('28.10 Maya-Masaka'!F46,'29.10 Maya-Masaka'!F46,'30.10 Maya-Masaka'!F46,'01.11 Maya-Masaka'!F46,'31.10 Maya-Masaka-24h'!F46,'02.11 Maya-Masaka-24h'!F46,'03.11 Maya-Masaka'!F46)</f>
        <v>24.142857142857142</v>
      </c>
      <c r="G46" s="49">
        <f>AVERAGE('28.10 Maya-Masaka'!G46,'29.10 Maya-Masaka'!G46,'30.10 Maya-Masaka'!G46,'01.11 Maya-Masaka'!G46,'31.10 Maya-Masaka-24h'!G46,'02.11 Maya-Masaka-24h'!G46,'03.11 Maya-Masaka'!G46)</f>
        <v>2.7142857142857144</v>
      </c>
      <c r="H46" s="49">
        <f>AVERAGE('28.10 Maya-Masaka'!H46,'29.10 Maya-Masaka'!H46,'30.10 Maya-Masaka'!H46,'01.11 Maya-Masaka'!H46,'31.10 Maya-Masaka-24h'!H46,'02.11 Maya-Masaka-24h'!H46,'03.11 Maya-Masaka'!H46)</f>
        <v>2.4285714285714284</v>
      </c>
      <c r="I46" s="49">
        <f>AVERAGE('28.10 Maya-Masaka'!I46,'29.10 Maya-Masaka'!I46,'30.10 Maya-Masaka'!I46,'01.11 Maya-Masaka'!I46,'31.10 Maya-Masaka-24h'!I46,'02.11 Maya-Masaka-24h'!I46,'03.11 Maya-Masaka'!I46)</f>
        <v>17.857142857142858</v>
      </c>
      <c r="J46" s="49">
        <f>AVERAGE('28.10 Maya-Masaka'!J46,'29.10 Maya-Masaka'!J46,'30.10 Maya-Masaka'!J46,'01.11 Maya-Masaka'!J46,'31.10 Maya-Masaka-24h'!J46,'02.11 Maya-Masaka-24h'!J46,'03.11 Maya-Masaka'!J46)</f>
        <v>3.5714285714285716</v>
      </c>
      <c r="K46" s="49">
        <f>AVERAGE('28.10 Maya-Masaka'!K46,'29.10 Maya-Masaka'!K46,'30.10 Maya-Masaka'!K46,'01.11 Maya-Masaka'!K46,'31.10 Maya-Masaka-24h'!K46,'02.11 Maya-Masaka-24h'!K46,'03.11 Maya-Masaka'!K46)</f>
        <v>3.2857142857142856</v>
      </c>
      <c r="L46" s="49">
        <f>AVERAGE('28.10 Maya-Masaka'!L46,'29.10 Maya-Masaka'!L46,'30.10 Maya-Masaka'!L46,'01.11 Maya-Masaka'!L46,'31.10 Maya-Masaka-24h'!L46,'02.11 Maya-Masaka-24h'!L46,'03.11 Maya-Masaka'!L46)</f>
        <v>3.1428571428571428</v>
      </c>
      <c r="M46" s="49">
        <f>AVERAGE('28.10 Maya-Masaka'!M46,'29.10 Maya-Masaka'!M46,'30.10 Maya-Masaka'!M46,'01.11 Maya-Masaka'!M46,'31.10 Maya-Masaka-24h'!M46,'02.11 Maya-Masaka-24h'!M46,'03.11 Maya-Masaka'!M46)</f>
        <v>24</v>
      </c>
      <c r="N46" s="49">
        <f>AVERAGE('28.10 Maya-Masaka'!N46,'29.10 Maya-Masaka'!N46,'30.10 Maya-Masaka'!N46,'01.11 Maya-Masaka'!N46,'31.10 Maya-Masaka-24h'!N46,'02.11 Maya-Masaka-24h'!N46,'03.11 Maya-Masaka'!N46)</f>
        <v>0</v>
      </c>
      <c r="O46" s="15">
        <f t="shared" si="0"/>
        <v>108.42857142857143</v>
      </c>
      <c r="P46" s="15">
        <f t="shared" si="1"/>
        <v>132.42857142857144</v>
      </c>
      <c r="R46" s="8"/>
      <c r="T46"/>
    </row>
    <row r="47" spans="2:32" ht="23.1" customHeight="1" x14ac:dyDescent="0.25">
      <c r="B47" s="24" t="s">
        <v>74</v>
      </c>
      <c r="C47" s="49">
        <f>AVERAGE('28.10 Maya-Masaka'!C47,'29.10 Maya-Masaka'!C47,'30.10 Maya-Masaka'!C47,'01.11 Maya-Masaka'!C47,'31.10 Maya-Masaka-24h'!C47,'02.11 Maya-Masaka-24h'!C47,'03.11 Maya-Masaka'!C47)</f>
        <v>41.857142857142854</v>
      </c>
      <c r="D47" s="49">
        <f>AVERAGE('28.10 Maya-Masaka'!D47,'29.10 Maya-Masaka'!D47,'30.10 Maya-Masaka'!D47,'01.11 Maya-Masaka'!D47,'31.10 Maya-Masaka-24h'!D47,'02.11 Maya-Masaka-24h'!D47,'03.11 Maya-Masaka'!D47)</f>
        <v>7.5714285714285712</v>
      </c>
      <c r="E47" s="49">
        <f>AVERAGE('28.10 Maya-Masaka'!E47,'29.10 Maya-Masaka'!E47,'30.10 Maya-Masaka'!E47,'01.11 Maya-Masaka'!E47,'31.10 Maya-Masaka-24h'!E47,'02.11 Maya-Masaka-24h'!E47,'03.11 Maya-Masaka'!E47)</f>
        <v>6.4285714285714288</v>
      </c>
      <c r="F47" s="49">
        <f>AVERAGE('28.10 Maya-Masaka'!F47,'29.10 Maya-Masaka'!F47,'30.10 Maya-Masaka'!F47,'01.11 Maya-Masaka'!F47,'31.10 Maya-Masaka-24h'!F47,'02.11 Maya-Masaka-24h'!F47,'03.11 Maya-Masaka'!F47)</f>
        <v>27.571428571428573</v>
      </c>
      <c r="G47" s="49">
        <f>AVERAGE('28.10 Maya-Masaka'!G47,'29.10 Maya-Masaka'!G47,'30.10 Maya-Masaka'!G47,'01.11 Maya-Masaka'!G47,'31.10 Maya-Masaka-24h'!G47,'02.11 Maya-Masaka-24h'!G47,'03.11 Maya-Masaka'!G47)</f>
        <v>1</v>
      </c>
      <c r="H47" s="49">
        <f>AVERAGE('28.10 Maya-Masaka'!H47,'29.10 Maya-Masaka'!H47,'30.10 Maya-Masaka'!H47,'01.11 Maya-Masaka'!H47,'31.10 Maya-Masaka-24h'!H47,'02.11 Maya-Masaka-24h'!H47,'03.11 Maya-Masaka'!H47)</f>
        <v>1</v>
      </c>
      <c r="I47" s="49">
        <f>AVERAGE('28.10 Maya-Masaka'!I47,'29.10 Maya-Masaka'!I47,'30.10 Maya-Masaka'!I47,'01.11 Maya-Masaka'!I47,'31.10 Maya-Masaka-24h'!I47,'02.11 Maya-Masaka-24h'!I47,'03.11 Maya-Masaka'!I47)</f>
        <v>20.285714285714285</v>
      </c>
      <c r="J47" s="49">
        <f>AVERAGE('28.10 Maya-Masaka'!J47,'29.10 Maya-Masaka'!J47,'30.10 Maya-Masaka'!J47,'01.11 Maya-Masaka'!J47,'31.10 Maya-Masaka-24h'!J47,'02.11 Maya-Masaka-24h'!J47,'03.11 Maya-Masaka'!J47)</f>
        <v>5.8571428571428568</v>
      </c>
      <c r="K47" s="49">
        <f>AVERAGE('28.10 Maya-Masaka'!K47,'29.10 Maya-Masaka'!K47,'30.10 Maya-Masaka'!K47,'01.11 Maya-Masaka'!K47,'31.10 Maya-Masaka-24h'!K47,'02.11 Maya-Masaka-24h'!K47,'03.11 Maya-Masaka'!K47)</f>
        <v>2.1428571428571428</v>
      </c>
      <c r="L47" s="49">
        <f>AVERAGE('28.10 Maya-Masaka'!L47,'29.10 Maya-Masaka'!L47,'30.10 Maya-Masaka'!L47,'01.11 Maya-Masaka'!L47,'31.10 Maya-Masaka-24h'!L47,'02.11 Maya-Masaka-24h'!L47,'03.11 Maya-Masaka'!L47)</f>
        <v>3</v>
      </c>
      <c r="M47" s="49">
        <f>AVERAGE('28.10 Maya-Masaka'!M47,'29.10 Maya-Masaka'!M47,'30.10 Maya-Masaka'!M47,'01.11 Maya-Masaka'!M47,'31.10 Maya-Masaka-24h'!M47,'02.11 Maya-Masaka-24h'!M47,'03.11 Maya-Masaka'!M47)</f>
        <v>23.857142857142858</v>
      </c>
      <c r="N47" s="49">
        <f>AVERAGE('28.10 Maya-Masaka'!N47,'29.10 Maya-Masaka'!N47,'30.10 Maya-Masaka'!N47,'01.11 Maya-Masaka'!N47,'31.10 Maya-Masaka-24h'!N47,'02.11 Maya-Masaka-24h'!N47,'03.11 Maya-Masaka'!N47)</f>
        <v>0</v>
      </c>
      <c r="O47" s="15">
        <f t="shared" si="0"/>
        <v>116.71428571428572</v>
      </c>
      <c r="P47" s="15">
        <f t="shared" si="1"/>
        <v>140.57142857142858</v>
      </c>
      <c r="R47" s="8"/>
      <c r="T47"/>
    </row>
    <row r="48" spans="2:32" ht="23.1" customHeight="1" x14ac:dyDescent="0.25">
      <c r="B48" s="24" t="s">
        <v>75</v>
      </c>
      <c r="C48" s="49">
        <f>AVERAGE('28.10 Maya-Masaka'!C48,'29.10 Maya-Masaka'!C48,'30.10 Maya-Masaka'!C48,'01.11 Maya-Masaka'!C48,'31.10 Maya-Masaka-24h'!C48,'02.11 Maya-Masaka-24h'!C48,'03.11 Maya-Masaka'!C48)</f>
        <v>30.285714285714285</v>
      </c>
      <c r="D48" s="49">
        <f>AVERAGE('28.10 Maya-Masaka'!D48,'29.10 Maya-Masaka'!D48,'30.10 Maya-Masaka'!D48,'01.11 Maya-Masaka'!D48,'31.10 Maya-Masaka-24h'!D48,'02.11 Maya-Masaka-24h'!D48,'03.11 Maya-Masaka'!D48)</f>
        <v>7.1428571428571432</v>
      </c>
      <c r="E48" s="49">
        <f>AVERAGE('28.10 Maya-Masaka'!E48,'29.10 Maya-Masaka'!E48,'30.10 Maya-Masaka'!E48,'01.11 Maya-Masaka'!E48,'31.10 Maya-Masaka-24h'!E48,'02.11 Maya-Masaka-24h'!E48,'03.11 Maya-Masaka'!E48)</f>
        <v>5.5714285714285712</v>
      </c>
      <c r="F48" s="49">
        <f>AVERAGE('28.10 Maya-Masaka'!F48,'29.10 Maya-Masaka'!F48,'30.10 Maya-Masaka'!F48,'01.11 Maya-Masaka'!F48,'31.10 Maya-Masaka-24h'!F48,'02.11 Maya-Masaka-24h'!F48,'03.11 Maya-Masaka'!F48)</f>
        <v>29.285714285714285</v>
      </c>
      <c r="G48" s="49">
        <f>AVERAGE('28.10 Maya-Masaka'!G48,'29.10 Maya-Masaka'!G48,'30.10 Maya-Masaka'!G48,'01.11 Maya-Masaka'!G48,'31.10 Maya-Masaka-24h'!G48,'02.11 Maya-Masaka-24h'!G48,'03.11 Maya-Masaka'!G48)</f>
        <v>1.8571428571428572</v>
      </c>
      <c r="H48" s="49">
        <f>AVERAGE('28.10 Maya-Masaka'!H48,'29.10 Maya-Masaka'!H48,'30.10 Maya-Masaka'!H48,'01.11 Maya-Masaka'!H48,'31.10 Maya-Masaka-24h'!H48,'02.11 Maya-Masaka-24h'!H48,'03.11 Maya-Masaka'!H48)</f>
        <v>2.4285714285714284</v>
      </c>
      <c r="I48" s="49">
        <f>AVERAGE('28.10 Maya-Masaka'!I48,'29.10 Maya-Masaka'!I48,'30.10 Maya-Masaka'!I48,'01.11 Maya-Masaka'!I48,'31.10 Maya-Masaka-24h'!I48,'02.11 Maya-Masaka-24h'!I48,'03.11 Maya-Masaka'!I48)</f>
        <v>22.857142857142858</v>
      </c>
      <c r="J48" s="49">
        <f>AVERAGE('28.10 Maya-Masaka'!J48,'29.10 Maya-Masaka'!J48,'30.10 Maya-Masaka'!J48,'01.11 Maya-Masaka'!J48,'31.10 Maya-Masaka-24h'!J48,'02.11 Maya-Masaka-24h'!J48,'03.11 Maya-Masaka'!J48)</f>
        <v>4.5714285714285712</v>
      </c>
      <c r="K48" s="49">
        <f>AVERAGE('28.10 Maya-Masaka'!K48,'29.10 Maya-Masaka'!K48,'30.10 Maya-Masaka'!K48,'01.11 Maya-Masaka'!K48,'31.10 Maya-Masaka-24h'!K48,'02.11 Maya-Masaka-24h'!K48,'03.11 Maya-Masaka'!K48)</f>
        <v>1.8571428571428572</v>
      </c>
      <c r="L48" s="49">
        <f>AVERAGE('28.10 Maya-Masaka'!L48,'29.10 Maya-Masaka'!L48,'30.10 Maya-Masaka'!L48,'01.11 Maya-Masaka'!L48,'31.10 Maya-Masaka-24h'!L48,'02.11 Maya-Masaka-24h'!L48,'03.11 Maya-Masaka'!L48)</f>
        <v>2.2857142857142856</v>
      </c>
      <c r="M48" s="49">
        <f>AVERAGE('28.10 Maya-Masaka'!M48,'29.10 Maya-Masaka'!M48,'30.10 Maya-Masaka'!M48,'01.11 Maya-Masaka'!M48,'31.10 Maya-Masaka-24h'!M48,'02.11 Maya-Masaka-24h'!M48,'03.11 Maya-Masaka'!M48)</f>
        <v>28</v>
      </c>
      <c r="N48" s="49">
        <f>AVERAGE('28.10 Maya-Masaka'!N48,'29.10 Maya-Masaka'!N48,'30.10 Maya-Masaka'!N48,'01.11 Maya-Masaka'!N48,'31.10 Maya-Masaka-24h'!N48,'02.11 Maya-Masaka-24h'!N48,'03.11 Maya-Masaka'!N48)</f>
        <v>0</v>
      </c>
      <c r="O48" s="15">
        <f t="shared" si="0"/>
        <v>108.14285714285715</v>
      </c>
      <c r="P48" s="15">
        <f t="shared" si="1"/>
        <v>136.14285714285717</v>
      </c>
      <c r="R48" s="8"/>
      <c r="T48"/>
    </row>
    <row r="49" spans="2:20" ht="23.1" customHeight="1" x14ac:dyDescent="0.25">
      <c r="B49" s="23" t="s">
        <v>76</v>
      </c>
      <c r="C49" s="49">
        <f>AVERAGE('28.10 Maya-Masaka'!C49,'29.10 Maya-Masaka'!C49,'30.10 Maya-Masaka'!C49,'01.11 Maya-Masaka'!C49,'31.10 Maya-Masaka-24h'!C49,'02.11 Maya-Masaka-24h'!C49,'03.11 Maya-Masaka'!C49)</f>
        <v>27.714285714285715</v>
      </c>
      <c r="D49" s="49">
        <f>AVERAGE('28.10 Maya-Masaka'!D49,'29.10 Maya-Masaka'!D49,'30.10 Maya-Masaka'!D49,'01.11 Maya-Masaka'!D49,'31.10 Maya-Masaka-24h'!D49,'02.11 Maya-Masaka-24h'!D49,'03.11 Maya-Masaka'!D49)</f>
        <v>5</v>
      </c>
      <c r="E49" s="49">
        <f>AVERAGE('28.10 Maya-Masaka'!E49,'29.10 Maya-Masaka'!E49,'30.10 Maya-Masaka'!E49,'01.11 Maya-Masaka'!E49,'31.10 Maya-Masaka-24h'!E49,'02.11 Maya-Masaka-24h'!E49,'03.11 Maya-Masaka'!E49)</f>
        <v>4.4285714285714288</v>
      </c>
      <c r="F49" s="49">
        <f>AVERAGE('28.10 Maya-Masaka'!F49,'29.10 Maya-Masaka'!F49,'30.10 Maya-Masaka'!F49,'01.11 Maya-Masaka'!F49,'31.10 Maya-Masaka-24h'!F49,'02.11 Maya-Masaka-24h'!F49,'03.11 Maya-Masaka'!F49)</f>
        <v>26.142857142857142</v>
      </c>
      <c r="G49" s="49">
        <f>AVERAGE('28.10 Maya-Masaka'!G49,'29.10 Maya-Masaka'!G49,'30.10 Maya-Masaka'!G49,'01.11 Maya-Masaka'!G49,'31.10 Maya-Masaka-24h'!G49,'02.11 Maya-Masaka-24h'!G49,'03.11 Maya-Masaka'!G49)</f>
        <v>1.8571428571428572</v>
      </c>
      <c r="H49" s="49">
        <f>AVERAGE('28.10 Maya-Masaka'!H49,'29.10 Maya-Masaka'!H49,'30.10 Maya-Masaka'!H49,'01.11 Maya-Masaka'!H49,'31.10 Maya-Masaka-24h'!H49,'02.11 Maya-Masaka-24h'!H49,'03.11 Maya-Masaka'!H49)</f>
        <v>2.1428571428571428</v>
      </c>
      <c r="I49" s="49">
        <f>AVERAGE('28.10 Maya-Masaka'!I49,'29.10 Maya-Masaka'!I49,'30.10 Maya-Masaka'!I49,'01.11 Maya-Masaka'!I49,'31.10 Maya-Masaka-24h'!I49,'02.11 Maya-Masaka-24h'!I49,'03.11 Maya-Masaka'!I49)</f>
        <v>13.142857142857142</v>
      </c>
      <c r="J49" s="49">
        <f>AVERAGE('28.10 Maya-Masaka'!J49,'29.10 Maya-Masaka'!J49,'30.10 Maya-Masaka'!J49,'01.11 Maya-Masaka'!J49,'31.10 Maya-Masaka-24h'!J49,'02.11 Maya-Masaka-24h'!J49,'03.11 Maya-Masaka'!J49)</f>
        <v>4.5714285714285712</v>
      </c>
      <c r="K49" s="49">
        <f>AVERAGE('28.10 Maya-Masaka'!K49,'29.10 Maya-Masaka'!K49,'30.10 Maya-Masaka'!K49,'01.11 Maya-Masaka'!K49,'31.10 Maya-Masaka-24h'!K49,'02.11 Maya-Masaka-24h'!K49,'03.11 Maya-Masaka'!K49)</f>
        <v>4.4285714285714288</v>
      </c>
      <c r="L49" s="49">
        <f>AVERAGE('28.10 Maya-Masaka'!L49,'29.10 Maya-Masaka'!L49,'30.10 Maya-Masaka'!L49,'01.11 Maya-Masaka'!L49,'31.10 Maya-Masaka-24h'!L49,'02.11 Maya-Masaka-24h'!L49,'03.11 Maya-Masaka'!L49)</f>
        <v>2.1428571428571428</v>
      </c>
      <c r="M49" s="49">
        <f>AVERAGE('28.10 Maya-Masaka'!M49,'29.10 Maya-Masaka'!M49,'30.10 Maya-Masaka'!M49,'01.11 Maya-Masaka'!M49,'31.10 Maya-Masaka-24h'!M49,'02.11 Maya-Masaka-24h'!M49,'03.11 Maya-Masaka'!M49)</f>
        <v>24</v>
      </c>
      <c r="N49" s="49">
        <f>AVERAGE('28.10 Maya-Masaka'!N49,'29.10 Maya-Masaka'!N49,'30.10 Maya-Masaka'!N49,'01.11 Maya-Masaka'!N49,'31.10 Maya-Masaka-24h'!N49,'02.11 Maya-Masaka-24h'!N49,'03.11 Maya-Masaka'!N49)</f>
        <v>0</v>
      </c>
      <c r="O49" s="15">
        <f t="shared" si="0"/>
        <v>91.571428571428569</v>
      </c>
      <c r="P49" s="15">
        <f t="shared" si="1"/>
        <v>115.57142857142857</v>
      </c>
      <c r="R49" s="8"/>
      <c r="T49"/>
    </row>
    <row r="50" spans="2:20" ht="23.1" customHeight="1" x14ac:dyDescent="0.25">
      <c r="B50" s="24" t="s">
        <v>77</v>
      </c>
      <c r="C50" s="49">
        <f>AVERAGE('28.10 Maya-Masaka'!C50,'29.10 Maya-Masaka'!C50,'30.10 Maya-Masaka'!C50,'01.11 Maya-Masaka'!C50,'31.10 Maya-Masaka-24h'!C50,'02.11 Maya-Masaka-24h'!C50,'03.11 Maya-Masaka'!C50)</f>
        <v>31.142857142857142</v>
      </c>
      <c r="D50" s="49">
        <f>AVERAGE('28.10 Maya-Masaka'!D50,'29.10 Maya-Masaka'!D50,'30.10 Maya-Masaka'!D50,'01.11 Maya-Masaka'!D50,'31.10 Maya-Masaka-24h'!D50,'02.11 Maya-Masaka-24h'!D50,'03.11 Maya-Masaka'!D50)</f>
        <v>5.1428571428571432</v>
      </c>
      <c r="E50" s="49">
        <f>AVERAGE('28.10 Maya-Masaka'!E50,'29.10 Maya-Masaka'!E50,'30.10 Maya-Masaka'!E50,'01.11 Maya-Masaka'!E50,'31.10 Maya-Masaka-24h'!E50,'02.11 Maya-Masaka-24h'!E50,'03.11 Maya-Masaka'!E50)</f>
        <v>4.5714285714285712</v>
      </c>
      <c r="F50" s="49">
        <f>AVERAGE('28.10 Maya-Masaka'!F50,'29.10 Maya-Masaka'!F50,'30.10 Maya-Masaka'!F50,'01.11 Maya-Masaka'!F50,'31.10 Maya-Masaka-24h'!F50,'02.11 Maya-Masaka-24h'!F50,'03.11 Maya-Masaka'!F50)</f>
        <v>24.142857142857142</v>
      </c>
      <c r="G50" s="49">
        <f>AVERAGE('28.10 Maya-Masaka'!G50,'29.10 Maya-Masaka'!G50,'30.10 Maya-Masaka'!G50,'01.11 Maya-Masaka'!G50,'31.10 Maya-Masaka-24h'!G50,'02.11 Maya-Masaka-24h'!G50,'03.11 Maya-Masaka'!G50)</f>
        <v>1.5714285714285714</v>
      </c>
      <c r="H50" s="49">
        <f>AVERAGE('28.10 Maya-Masaka'!H50,'29.10 Maya-Masaka'!H50,'30.10 Maya-Masaka'!H50,'01.11 Maya-Masaka'!H50,'31.10 Maya-Masaka-24h'!H50,'02.11 Maya-Masaka-24h'!H50,'03.11 Maya-Masaka'!H50)</f>
        <v>1.5714285714285714</v>
      </c>
      <c r="I50" s="49">
        <f>AVERAGE('28.10 Maya-Masaka'!I50,'29.10 Maya-Masaka'!I50,'30.10 Maya-Masaka'!I50,'01.11 Maya-Masaka'!I50,'31.10 Maya-Masaka-24h'!I50,'02.11 Maya-Masaka-24h'!I50,'03.11 Maya-Masaka'!I50)</f>
        <v>15.285714285714286</v>
      </c>
      <c r="J50" s="49">
        <f>AVERAGE('28.10 Maya-Masaka'!J50,'29.10 Maya-Masaka'!J50,'30.10 Maya-Masaka'!J50,'01.11 Maya-Masaka'!J50,'31.10 Maya-Masaka-24h'!J50,'02.11 Maya-Masaka-24h'!J50,'03.11 Maya-Masaka'!J50)</f>
        <v>3.8571428571428572</v>
      </c>
      <c r="K50" s="49">
        <f>AVERAGE('28.10 Maya-Masaka'!K50,'29.10 Maya-Masaka'!K50,'30.10 Maya-Masaka'!K50,'01.11 Maya-Masaka'!K50,'31.10 Maya-Masaka-24h'!K50,'02.11 Maya-Masaka-24h'!K50,'03.11 Maya-Masaka'!K50)</f>
        <v>3.1428571428571428</v>
      </c>
      <c r="L50" s="49">
        <f>AVERAGE('28.10 Maya-Masaka'!L50,'29.10 Maya-Masaka'!L50,'30.10 Maya-Masaka'!L50,'01.11 Maya-Masaka'!L50,'31.10 Maya-Masaka-24h'!L50,'02.11 Maya-Masaka-24h'!L50,'03.11 Maya-Masaka'!L50)</f>
        <v>3.1428571428571428</v>
      </c>
      <c r="M50" s="49">
        <f>AVERAGE('28.10 Maya-Masaka'!M50,'29.10 Maya-Masaka'!M50,'30.10 Maya-Masaka'!M50,'01.11 Maya-Masaka'!M50,'31.10 Maya-Masaka-24h'!M50,'02.11 Maya-Masaka-24h'!M50,'03.11 Maya-Masaka'!M50)</f>
        <v>20.714285714285715</v>
      </c>
      <c r="N50" s="49">
        <f>AVERAGE('28.10 Maya-Masaka'!N50,'29.10 Maya-Masaka'!N50,'30.10 Maya-Masaka'!N50,'01.11 Maya-Masaka'!N50,'31.10 Maya-Masaka-24h'!N50,'02.11 Maya-Masaka-24h'!N50,'03.11 Maya-Masaka'!N50)</f>
        <v>0</v>
      </c>
      <c r="O50" s="15">
        <f t="shared" si="0"/>
        <v>93.571428571428569</v>
      </c>
      <c r="P50" s="15">
        <f t="shared" si="1"/>
        <v>114.28571428571428</v>
      </c>
      <c r="R50" s="8"/>
      <c r="T50"/>
    </row>
    <row r="51" spans="2:20" ht="23.1" customHeight="1" x14ac:dyDescent="0.25">
      <c r="B51" s="24" t="s">
        <v>78</v>
      </c>
      <c r="C51" s="49">
        <f>AVERAGE('28.10 Maya-Masaka'!C51,'29.10 Maya-Masaka'!C51,'30.10 Maya-Masaka'!C51,'01.11 Maya-Masaka'!C51,'31.10 Maya-Masaka-24h'!C51,'02.11 Maya-Masaka-24h'!C51,'03.11 Maya-Masaka'!C51)</f>
        <v>30.571428571428573</v>
      </c>
      <c r="D51" s="49">
        <f>AVERAGE('28.10 Maya-Masaka'!D51,'29.10 Maya-Masaka'!D51,'30.10 Maya-Masaka'!D51,'01.11 Maya-Masaka'!D51,'31.10 Maya-Masaka-24h'!D51,'02.11 Maya-Masaka-24h'!D51,'03.11 Maya-Masaka'!D51)</f>
        <v>4.8571428571428568</v>
      </c>
      <c r="E51" s="49">
        <f>AVERAGE('28.10 Maya-Masaka'!E51,'29.10 Maya-Masaka'!E51,'30.10 Maya-Masaka'!E51,'01.11 Maya-Masaka'!E51,'31.10 Maya-Masaka-24h'!E51,'02.11 Maya-Masaka-24h'!E51,'03.11 Maya-Masaka'!E51)</f>
        <v>2.4285714285714284</v>
      </c>
      <c r="F51" s="49">
        <f>AVERAGE('28.10 Maya-Masaka'!F51,'29.10 Maya-Masaka'!F51,'30.10 Maya-Masaka'!F51,'01.11 Maya-Masaka'!F51,'31.10 Maya-Masaka-24h'!F51,'02.11 Maya-Masaka-24h'!F51,'03.11 Maya-Masaka'!F51)</f>
        <v>32.142857142857146</v>
      </c>
      <c r="G51" s="49">
        <f>AVERAGE('28.10 Maya-Masaka'!G51,'29.10 Maya-Masaka'!G51,'30.10 Maya-Masaka'!G51,'01.11 Maya-Masaka'!G51,'31.10 Maya-Masaka-24h'!G51,'02.11 Maya-Masaka-24h'!G51,'03.11 Maya-Masaka'!G51)</f>
        <v>0.8571428571428571</v>
      </c>
      <c r="H51" s="49">
        <f>AVERAGE('28.10 Maya-Masaka'!H51,'29.10 Maya-Masaka'!H51,'30.10 Maya-Masaka'!H51,'01.11 Maya-Masaka'!H51,'31.10 Maya-Masaka-24h'!H51,'02.11 Maya-Masaka-24h'!H51,'03.11 Maya-Masaka'!H51)</f>
        <v>2.2857142857142856</v>
      </c>
      <c r="I51" s="49">
        <f>AVERAGE('28.10 Maya-Masaka'!I51,'29.10 Maya-Masaka'!I51,'30.10 Maya-Masaka'!I51,'01.11 Maya-Masaka'!I51,'31.10 Maya-Masaka-24h'!I51,'02.11 Maya-Masaka-24h'!I51,'03.11 Maya-Masaka'!I51)</f>
        <v>18</v>
      </c>
      <c r="J51" s="49">
        <f>AVERAGE('28.10 Maya-Masaka'!J51,'29.10 Maya-Masaka'!J51,'30.10 Maya-Masaka'!J51,'01.11 Maya-Masaka'!J51,'31.10 Maya-Masaka-24h'!J51,'02.11 Maya-Masaka-24h'!J51,'03.11 Maya-Masaka'!J51)</f>
        <v>3.4285714285714284</v>
      </c>
      <c r="K51" s="49">
        <f>AVERAGE('28.10 Maya-Masaka'!K51,'29.10 Maya-Masaka'!K51,'30.10 Maya-Masaka'!K51,'01.11 Maya-Masaka'!K51,'31.10 Maya-Masaka-24h'!K51,'02.11 Maya-Masaka-24h'!K51,'03.11 Maya-Masaka'!K51)</f>
        <v>3.1428571428571428</v>
      </c>
      <c r="L51" s="49">
        <f>AVERAGE('28.10 Maya-Masaka'!L51,'29.10 Maya-Masaka'!L51,'30.10 Maya-Masaka'!L51,'01.11 Maya-Masaka'!L51,'31.10 Maya-Masaka-24h'!L51,'02.11 Maya-Masaka-24h'!L51,'03.11 Maya-Masaka'!L51)</f>
        <v>2</v>
      </c>
      <c r="M51" s="49">
        <f>AVERAGE('28.10 Maya-Masaka'!M51,'29.10 Maya-Masaka'!M51,'30.10 Maya-Masaka'!M51,'01.11 Maya-Masaka'!M51,'31.10 Maya-Masaka-24h'!M51,'02.11 Maya-Masaka-24h'!M51,'03.11 Maya-Masaka'!M51)</f>
        <v>24.571428571428573</v>
      </c>
      <c r="N51" s="49">
        <f>AVERAGE('28.10 Maya-Masaka'!N51,'29.10 Maya-Masaka'!N51,'30.10 Maya-Masaka'!N51,'01.11 Maya-Masaka'!N51,'31.10 Maya-Masaka-24h'!N51,'02.11 Maya-Masaka-24h'!N51,'03.11 Maya-Masaka'!N51)</f>
        <v>0</v>
      </c>
      <c r="O51" s="15">
        <f t="shared" si="0"/>
        <v>99.714285714285722</v>
      </c>
      <c r="P51" s="15">
        <f t="shared" si="1"/>
        <v>124.28571428571429</v>
      </c>
      <c r="R51" s="8"/>
      <c r="T51"/>
    </row>
    <row r="52" spans="2:20" ht="23.1" customHeight="1" x14ac:dyDescent="0.25">
      <c r="B52" s="24" t="s">
        <v>79</v>
      </c>
      <c r="C52" s="49">
        <f>AVERAGE('28.10 Maya-Masaka'!C52,'29.10 Maya-Masaka'!C52,'30.10 Maya-Masaka'!C52,'01.11 Maya-Masaka'!C52,'31.10 Maya-Masaka-24h'!C52,'02.11 Maya-Masaka-24h'!C52,'03.11 Maya-Masaka'!C52)</f>
        <v>26</v>
      </c>
      <c r="D52" s="49">
        <f>AVERAGE('28.10 Maya-Masaka'!D52,'29.10 Maya-Masaka'!D52,'30.10 Maya-Masaka'!D52,'01.11 Maya-Masaka'!D52,'31.10 Maya-Masaka-24h'!D52,'02.11 Maya-Masaka-24h'!D52,'03.11 Maya-Masaka'!D52)</f>
        <v>4.5714285714285712</v>
      </c>
      <c r="E52" s="49">
        <f>AVERAGE('28.10 Maya-Masaka'!E52,'29.10 Maya-Masaka'!E52,'30.10 Maya-Masaka'!E52,'01.11 Maya-Masaka'!E52,'31.10 Maya-Masaka-24h'!E52,'02.11 Maya-Masaka-24h'!E52,'03.11 Maya-Masaka'!E52)</f>
        <v>4.4285714285714288</v>
      </c>
      <c r="F52" s="49">
        <f>AVERAGE('28.10 Maya-Masaka'!F52,'29.10 Maya-Masaka'!F52,'30.10 Maya-Masaka'!F52,'01.11 Maya-Masaka'!F52,'31.10 Maya-Masaka-24h'!F52,'02.11 Maya-Masaka-24h'!F52,'03.11 Maya-Masaka'!F52)</f>
        <v>35.571428571428569</v>
      </c>
      <c r="G52" s="49">
        <f>AVERAGE('28.10 Maya-Masaka'!G52,'29.10 Maya-Masaka'!G52,'30.10 Maya-Masaka'!G52,'01.11 Maya-Masaka'!G52,'31.10 Maya-Masaka-24h'!G52,'02.11 Maya-Masaka-24h'!G52,'03.11 Maya-Masaka'!G52)</f>
        <v>3</v>
      </c>
      <c r="H52" s="49">
        <f>AVERAGE('28.10 Maya-Masaka'!H52,'29.10 Maya-Masaka'!H52,'30.10 Maya-Masaka'!H52,'01.11 Maya-Masaka'!H52,'31.10 Maya-Masaka-24h'!H52,'02.11 Maya-Masaka-24h'!H52,'03.11 Maya-Masaka'!H52)</f>
        <v>2.5714285714285716</v>
      </c>
      <c r="I52" s="49">
        <f>AVERAGE('28.10 Maya-Masaka'!I52,'29.10 Maya-Masaka'!I52,'30.10 Maya-Masaka'!I52,'01.11 Maya-Masaka'!I52,'31.10 Maya-Masaka-24h'!I52,'02.11 Maya-Masaka-24h'!I52,'03.11 Maya-Masaka'!I52)</f>
        <v>15.428571428571429</v>
      </c>
      <c r="J52" s="49">
        <f>AVERAGE('28.10 Maya-Masaka'!J52,'29.10 Maya-Masaka'!J52,'30.10 Maya-Masaka'!J52,'01.11 Maya-Masaka'!J52,'31.10 Maya-Masaka-24h'!J52,'02.11 Maya-Masaka-24h'!J52,'03.11 Maya-Masaka'!J52)</f>
        <v>3.8571428571428572</v>
      </c>
      <c r="K52" s="49">
        <f>AVERAGE('28.10 Maya-Masaka'!K52,'29.10 Maya-Masaka'!K52,'30.10 Maya-Masaka'!K52,'01.11 Maya-Masaka'!K52,'31.10 Maya-Masaka-24h'!K52,'02.11 Maya-Masaka-24h'!K52,'03.11 Maya-Masaka'!K52)</f>
        <v>3.2857142857142856</v>
      </c>
      <c r="L52" s="49">
        <f>AVERAGE('28.10 Maya-Masaka'!L52,'29.10 Maya-Masaka'!L52,'30.10 Maya-Masaka'!L52,'01.11 Maya-Masaka'!L52,'31.10 Maya-Masaka-24h'!L52,'02.11 Maya-Masaka-24h'!L52,'03.11 Maya-Masaka'!L52)</f>
        <v>2.1428571428571428</v>
      </c>
      <c r="M52" s="49">
        <f>AVERAGE('28.10 Maya-Masaka'!M52,'29.10 Maya-Masaka'!M52,'30.10 Maya-Masaka'!M52,'01.11 Maya-Masaka'!M52,'31.10 Maya-Masaka-24h'!M52,'02.11 Maya-Masaka-24h'!M52,'03.11 Maya-Masaka'!M52)</f>
        <v>24.571428571428573</v>
      </c>
      <c r="N52" s="49">
        <f>AVERAGE('28.10 Maya-Masaka'!N52,'29.10 Maya-Masaka'!N52,'30.10 Maya-Masaka'!N52,'01.11 Maya-Masaka'!N52,'31.10 Maya-Masaka-24h'!N52,'02.11 Maya-Masaka-24h'!N52,'03.11 Maya-Masaka'!N52)</f>
        <v>0</v>
      </c>
      <c r="O52" s="15">
        <f t="shared" si="0"/>
        <v>100.85714285714286</v>
      </c>
      <c r="P52" s="15">
        <f t="shared" si="1"/>
        <v>125.42857142857143</v>
      </c>
      <c r="R52" s="8"/>
      <c r="T52"/>
    </row>
    <row r="53" spans="2:20" ht="23.1" customHeight="1" x14ac:dyDescent="0.25">
      <c r="B53" s="23" t="s">
        <v>80</v>
      </c>
      <c r="C53" s="49">
        <f>AVERAGE('28.10 Maya-Masaka'!C53,'29.10 Maya-Masaka'!C53,'30.10 Maya-Masaka'!C53,'01.11 Maya-Masaka'!C53,'31.10 Maya-Masaka-24h'!C53,'02.11 Maya-Masaka-24h'!C53,'03.11 Maya-Masaka'!C53)</f>
        <v>26.428571428571427</v>
      </c>
      <c r="D53" s="49">
        <f>AVERAGE('28.10 Maya-Masaka'!D53,'29.10 Maya-Masaka'!D53,'30.10 Maya-Masaka'!D53,'01.11 Maya-Masaka'!D53,'31.10 Maya-Masaka-24h'!D53,'02.11 Maya-Masaka-24h'!D53,'03.11 Maya-Masaka'!D53)</f>
        <v>5.1428571428571432</v>
      </c>
      <c r="E53" s="49">
        <f>AVERAGE('28.10 Maya-Masaka'!E53,'29.10 Maya-Masaka'!E53,'30.10 Maya-Masaka'!E53,'01.11 Maya-Masaka'!E53,'31.10 Maya-Masaka-24h'!E53,'02.11 Maya-Masaka-24h'!E53,'03.11 Maya-Masaka'!E53)</f>
        <v>3.7142857142857144</v>
      </c>
      <c r="F53" s="49">
        <f>AVERAGE('28.10 Maya-Masaka'!F53,'29.10 Maya-Masaka'!F53,'30.10 Maya-Masaka'!F53,'01.11 Maya-Masaka'!F53,'31.10 Maya-Masaka-24h'!F53,'02.11 Maya-Masaka-24h'!F53,'03.11 Maya-Masaka'!F53)</f>
        <v>26.285714285714285</v>
      </c>
      <c r="G53" s="49">
        <f>AVERAGE('28.10 Maya-Masaka'!G53,'29.10 Maya-Masaka'!G53,'30.10 Maya-Masaka'!G53,'01.11 Maya-Masaka'!G53,'31.10 Maya-Masaka-24h'!G53,'02.11 Maya-Masaka-24h'!G53,'03.11 Maya-Masaka'!G53)</f>
        <v>2</v>
      </c>
      <c r="H53" s="49">
        <f>AVERAGE('28.10 Maya-Masaka'!H53,'29.10 Maya-Masaka'!H53,'30.10 Maya-Masaka'!H53,'01.11 Maya-Masaka'!H53,'31.10 Maya-Masaka-24h'!H53,'02.11 Maya-Masaka-24h'!H53,'03.11 Maya-Masaka'!H53)</f>
        <v>2.2857142857142856</v>
      </c>
      <c r="I53" s="49">
        <f>AVERAGE('28.10 Maya-Masaka'!I53,'29.10 Maya-Masaka'!I53,'30.10 Maya-Masaka'!I53,'01.11 Maya-Masaka'!I53,'31.10 Maya-Masaka-24h'!I53,'02.11 Maya-Masaka-24h'!I53,'03.11 Maya-Masaka'!I53)</f>
        <v>16</v>
      </c>
      <c r="J53" s="49">
        <f>AVERAGE('28.10 Maya-Masaka'!J53,'29.10 Maya-Masaka'!J53,'30.10 Maya-Masaka'!J53,'01.11 Maya-Masaka'!J53,'31.10 Maya-Masaka-24h'!J53,'02.11 Maya-Masaka-24h'!J53,'03.11 Maya-Masaka'!J53)</f>
        <v>5</v>
      </c>
      <c r="K53" s="49">
        <f>AVERAGE('28.10 Maya-Masaka'!K53,'29.10 Maya-Masaka'!K53,'30.10 Maya-Masaka'!K53,'01.11 Maya-Masaka'!K53,'31.10 Maya-Masaka-24h'!K53,'02.11 Maya-Masaka-24h'!K53,'03.11 Maya-Masaka'!K53)</f>
        <v>1.7142857142857142</v>
      </c>
      <c r="L53" s="49">
        <f>AVERAGE('28.10 Maya-Masaka'!L53,'29.10 Maya-Masaka'!L53,'30.10 Maya-Masaka'!L53,'01.11 Maya-Masaka'!L53,'31.10 Maya-Masaka-24h'!L53,'02.11 Maya-Masaka-24h'!L53,'03.11 Maya-Masaka'!L53)</f>
        <v>1.2857142857142858</v>
      </c>
      <c r="M53" s="49">
        <f>AVERAGE('28.10 Maya-Masaka'!M53,'29.10 Maya-Masaka'!M53,'30.10 Maya-Masaka'!M53,'01.11 Maya-Masaka'!M53,'31.10 Maya-Masaka-24h'!M53,'02.11 Maya-Masaka-24h'!M53,'03.11 Maya-Masaka'!M53)</f>
        <v>22</v>
      </c>
      <c r="N53" s="49">
        <f>AVERAGE('28.10 Maya-Masaka'!N53,'29.10 Maya-Masaka'!N53,'30.10 Maya-Masaka'!N53,'01.11 Maya-Masaka'!N53,'31.10 Maya-Masaka-24h'!N53,'02.11 Maya-Masaka-24h'!N53,'03.11 Maya-Masaka'!N53)</f>
        <v>0</v>
      </c>
      <c r="O53" s="15">
        <f t="shared" si="0"/>
        <v>89.857142857142861</v>
      </c>
      <c r="P53" s="15">
        <f t="shared" si="1"/>
        <v>111.85714285714286</v>
      </c>
      <c r="R53" s="8"/>
      <c r="T53"/>
    </row>
    <row r="54" spans="2:20" ht="23.1" customHeight="1" x14ac:dyDescent="0.25">
      <c r="B54" s="23" t="s">
        <v>81</v>
      </c>
      <c r="C54" s="49">
        <f>AVERAGE('28.10 Maya-Masaka'!C54,'29.10 Maya-Masaka'!C54,'30.10 Maya-Masaka'!C54,'01.11 Maya-Masaka'!C54,'31.10 Maya-Masaka-24h'!C54,'02.11 Maya-Masaka-24h'!C54,'03.11 Maya-Masaka'!C54)</f>
        <v>38.142857142857146</v>
      </c>
      <c r="D54" s="49">
        <f>AVERAGE('28.10 Maya-Masaka'!D54,'29.10 Maya-Masaka'!D54,'30.10 Maya-Masaka'!D54,'01.11 Maya-Masaka'!D54,'31.10 Maya-Masaka-24h'!D54,'02.11 Maya-Masaka-24h'!D54,'03.11 Maya-Masaka'!D54)</f>
        <v>10.714285714285714</v>
      </c>
      <c r="E54" s="49">
        <f>AVERAGE('28.10 Maya-Masaka'!E54,'29.10 Maya-Masaka'!E54,'30.10 Maya-Masaka'!E54,'01.11 Maya-Masaka'!E54,'31.10 Maya-Masaka-24h'!E54,'02.11 Maya-Masaka-24h'!E54,'03.11 Maya-Masaka'!E54)</f>
        <v>4.5714285714285712</v>
      </c>
      <c r="F54" s="49">
        <f>AVERAGE('28.10 Maya-Masaka'!F54,'29.10 Maya-Masaka'!F54,'30.10 Maya-Masaka'!F54,'01.11 Maya-Masaka'!F54,'31.10 Maya-Masaka-24h'!F54,'02.11 Maya-Masaka-24h'!F54,'03.11 Maya-Masaka'!F54)</f>
        <v>31.285714285714285</v>
      </c>
      <c r="G54" s="49">
        <f>AVERAGE('28.10 Maya-Masaka'!G54,'29.10 Maya-Masaka'!G54,'30.10 Maya-Masaka'!G54,'01.11 Maya-Masaka'!G54,'31.10 Maya-Masaka-24h'!G54,'02.11 Maya-Masaka-24h'!G54,'03.11 Maya-Masaka'!G54)</f>
        <v>2.2857142857142856</v>
      </c>
      <c r="H54" s="49">
        <f>AVERAGE('28.10 Maya-Masaka'!H54,'29.10 Maya-Masaka'!H54,'30.10 Maya-Masaka'!H54,'01.11 Maya-Masaka'!H54,'31.10 Maya-Masaka-24h'!H54,'02.11 Maya-Masaka-24h'!H54,'03.11 Maya-Masaka'!H54)</f>
        <v>2.2857142857142856</v>
      </c>
      <c r="I54" s="49">
        <f>AVERAGE('28.10 Maya-Masaka'!I54,'29.10 Maya-Masaka'!I54,'30.10 Maya-Masaka'!I54,'01.11 Maya-Masaka'!I54,'31.10 Maya-Masaka-24h'!I54,'02.11 Maya-Masaka-24h'!I54,'03.11 Maya-Masaka'!I54)</f>
        <v>22</v>
      </c>
      <c r="J54" s="49">
        <f>AVERAGE('28.10 Maya-Masaka'!J54,'29.10 Maya-Masaka'!J54,'30.10 Maya-Masaka'!J54,'01.11 Maya-Masaka'!J54,'31.10 Maya-Masaka-24h'!J54,'02.11 Maya-Masaka-24h'!J54,'03.11 Maya-Masaka'!J54)</f>
        <v>8.4285714285714288</v>
      </c>
      <c r="K54" s="49">
        <f>AVERAGE('28.10 Maya-Masaka'!K54,'29.10 Maya-Masaka'!K54,'30.10 Maya-Masaka'!K54,'01.11 Maya-Masaka'!K54,'31.10 Maya-Masaka-24h'!K54,'02.11 Maya-Masaka-24h'!K54,'03.11 Maya-Masaka'!K54)</f>
        <v>3.7142857142857144</v>
      </c>
      <c r="L54" s="49">
        <f>AVERAGE('28.10 Maya-Masaka'!L54,'29.10 Maya-Masaka'!L54,'30.10 Maya-Masaka'!L54,'01.11 Maya-Masaka'!L54,'31.10 Maya-Masaka-24h'!L54,'02.11 Maya-Masaka-24h'!L54,'03.11 Maya-Masaka'!L54)</f>
        <v>2.7142857142857144</v>
      </c>
      <c r="M54" s="49">
        <f>AVERAGE('28.10 Maya-Masaka'!M54,'29.10 Maya-Masaka'!M54,'30.10 Maya-Masaka'!M54,'01.11 Maya-Masaka'!M54,'31.10 Maya-Masaka-24h'!M54,'02.11 Maya-Masaka-24h'!M54,'03.11 Maya-Masaka'!M54)</f>
        <v>27.428571428571427</v>
      </c>
      <c r="N54" s="49">
        <f>AVERAGE('28.10 Maya-Masaka'!N54,'29.10 Maya-Masaka'!N54,'30.10 Maya-Masaka'!N54,'01.11 Maya-Masaka'!N54,'31.10 Maya-Masaka-24h'!N54,'02.11 Maya-Masaka-24h'!N54,'03.11 Maya-Masaka'!N54)</f>
        <v>0</v>
      </c>
      <c r="O54" s="15">
        <f t="shared" si="0"/>
        <v>126.14285714285715</v>
      </c>
      <c r="P54" s="15">
        <f t="shared" si="1"/>
        <v>153.57142857142858</v>
      </c>
      <c r="R54" s="8"/>
      <c r="T54"/>
    </row>
    <row r="55" spans="2:20" ht="23.1" customHeight="1" x14ac:dyDescent="0.25">
      <c r="B55" s="23" t="s">
        <v>82</v>
      </c>
      <c r="C55" s="49">
        <f>AVERAGE('28.10 Maya-Masaka'!C55,'29.10 Maya-Masaka'!C55,'30.10 Maya-Masaka'!C55,'01.11 Maya-Masaka'!C55,'31.10 Maya-Masaka-24h'!C55,'02.11 Maya-Masaka-24h'!C55,'03.11 Maya-Masaka'!C55)</f>
        <v>27.428571428571427</v>
      </c>
      <c r="D55" s="49">
        <f>AVERAGE('28.10 Maya-Masaka'!D55,'29.10 Maya-Masaka'!D55,'30.10 Maya-Masaka'!D55,'01.11 Maya-Masaka'!D55,'31.10 Maya-Masaka-24h'!D55,'02.11 Maya-Masaka-24h'!D55,'03.11 Maya-Masaka'!D55)</f>
        <v>8.1428571428571423</v>
      </c>
      <c r="E55" s="49">
        <f>AVERAGE('28.10 Maya-Masaka'!E55,'29.10 Maya-Masaka'!E55,'30.10 Maya-Masaka'!E55,'01.11 Maya-Masaka'!E55,'31.10 Maya-Masaka-24h'!E55,'02.11 Maya-Masaka-24h'!E55,'03.11 Maya-Masaka'!E55)</f>
        <v>4.7142857142857144</v>
      </c>
      <c r="F55" s="49">
        <f>AVERAGE('28.10 Maya-Masaka'!F55,'29.10 Maya-Masaka'!F55,'30.10 Maya-Masaka'!F55,'01.11 Maya-Masaka'!F55,'31.10 Maya-Masaka-24h'!F55,'02.11 Maya-Masaka-24h'!F55,'03.11 Maya-Masaka'!F55)</f>
        <v>32</v>
      </c>
      <c r="G55" s="49">
        <f>AVERAGE('28.10 Maya-Masaka'!G55,'29.10 Maya-Masaka'!G55,'30.10 Maya-Masaka'!G55,'01.11 Maya-Masaka'!G55,'31.10 Maya-Masaka-24h'!G55,'02.11 Maya-Masaka-24h'!G55,'03.11 Maya-Masaka'!G55)</f>
        <v>2.7142857142857144</v>
      </c>
      <c r="H55" s="49">
        <f>AVERAGE('28.10 Maya-Masaka'!H55,'29.10 Maya-Masaka'!H55,'30.10 Maya-Masaka'!H55,'01.11 Maya-Masaka'!H55,'31.10 Maya-Masaka-24h'!H55,'02.11 Maya-Masaka-24h'!H55,'03.11 Maya-Masaka'!H55)</f>
        <v>0.7142857142857143</v>
      </c>
      <c r="I55" s="49">
        <f>AVERAGE('28.10 Maya-Masaka'!I55,'29.10 Maya-Masaka'!I55,'30.10 Maya-Masaka'!I55,'01.11 Maya-Masaka'!I55,'31.10 Maya-Masaka-24h'!I55,'02.11 Maya-Masaka-24h'!I55,'03.11 Maya-Masaka'!I55)</f>
        <v>20.571428571428573</v>
      </c>
      <c r="J55" s="49">
        <f>AVERAGE('28.10 Maya-Masaka'!J55,'29.10 Maya-Masaka'!J55,'30.10 Maya-Masaka'!J55,'01.11 Maya-Masaka'!J55,'31.10 Maya-Masaka-24h'!J55,'02.11 Maya-Masaka-24h'!J55,'03.11 Maya-Masaka'!J55)</f>
        <v>5.4285714285714288</v>
      </c>
      <c r="K55" s="49">
        <f>AVERAGE('28.10 Maya-Masaka'!K55,'29.10 Maya-Masaka'!K55,'30.10 Maya-Masaka'!K55,'01.11 Maya-Masaka'!K55,'31.10 Maya-Masaka-24h'!K55,'02.11 Maya-Masaka-24h'!K55,'03.11 Maya-Masaka'!K55)</f>
        <v>2.2857142857142856</v>
      </c>
      <c r="L55" s="49">
        <f>AVERAGE('28.10 Maya-Masaka'!L55,'29.10 Maya-Masaka'!L55,'30.10 Maya-Masaka'!L55,'01.11 Maya-Masaka'!L55,'31.10 Maya-Masaka-24h'!L55,'02.11 Maya-Masaka-24h'!L55,'03.11 Maya-Masaka'!L55)</f>
        <v>2.2857142857142856</v>
      </c>
      <c r="M55" s="49">
        <f>AVERAGE('28.10 Maya-Masaka'!M55,'29.10 Maya-Masaka'!M55,'30.10 Maya-Masaka'!M55,'01.11 Maya-Masaka'!M55,'31.10 Maya-Masaka-24h'!M55,'02.11 Maya-Masaka-24h'!M55,'03.11 Maya-Masaka'!M55)</f>
        <v>27.714285714285715</v>
      </c>
      <c r="N55" s="49">
        <f>AVERAGE('28.10 Maya-Masaka'!N55,'29.10 Maya-Masaka'!N55,'30.10 Maya-Masaka'!N55,'01.11 Maya-Masaka'!N55,'31.10 Maya-Masaka-24h'!N55,'02.11 Maya-Masaka-24h'!N55,'03.11 Maya-Masaka'!N55)</f>
        <v>0</v>
      </c>
      <c r="O55" s="15">
        <f t="shared" si="0"/>
        <v>106.28571428571428</v>
      </c>
      <c r="P55" s="15">
        <f t="shared" si="1"/>
        <v>134</v>
      </c>
      <c r="R55" s="8"/>
      <c r="T55"/>
    </row>
    <row r="56" spans="2:20" ht="23.1" customHeight="1" x14ac:dyDescent="0.25">
      <c r="B56" s="23" t="s">
        <v>83</v>
      </c>
      <c r="C56" s="49">
        <f>AVERAGE('28.10 Maya-Masaka'!C56,'29.10 Maya-Masaka'!C56,'30.10 Maya-Masaka'!C56,'01.11 Maya-Masaka'!C56,'31.10 Maya-Masaka-24h'!C56,'02.11 Maya-Masaka-24h'!C56,'03.11 Maya-Masaka'!C56)</f>
        <v>25.285714285714285</v>
      </c>
      <c r="D56" s="49">
        <f>AVERAGE('28.10 Maya-Masaka'!D56,'29.10 Maya-Masaka'!D56,'30.10 Maya-Masaka'!D56,'01.11 Maya-Masaka'!D56,'31.10 Maya-Masaka-24h'!D56,'02.11 Maya-Masaka-24h'!D56,'03.11 Maya-Masaka'!D56)</f>
        <v>3.5714285714285716</v>
      </c>
      <c r="E56" s="49">
        <f>AVERAGE('28.10 Maya-Masaka'!E56,'29.10 Maya-Masaka'!E56,'30.10 Maya-Masaka'!E56,'01.11 Maya-Masaka'!E56,'31.10 Maya-Masaka-24h'!E56,'02.11 Maya-Masaka-24h'!E56,'03.11 Maya-Masaka'!E56)</f>
        <v>4.8571428571428568</v>
      </c>
      <c r="F56" s="49">
        <f>AVERAGE('28.10 Maya-Masaka'!F56,'29.10 Maya-Masaka'!F56,'30.10 Maya-Masaka'!F56,'01.11 Maya-Masaka'!F56,'31.10 Maya-Masaka-24h'!F56,'02.11 Maya-Masaka-24h'!F56,'03.11 Maya-Masaka'!F56)</f>
        <v>27.571428571428573</v>
      </c>
      <c r="G56" s="49">
        <f>AVERAGE('28.10 Maya-Masaka'!G56,'29.10 Maya-Masaka'!G56,'30.10 Maya-Masaka'!G56,'01.11 Maya-Masaka'!G56,'31.10 Maya-Masaka-24h'!G56,'02.11 Maya-Masaka-24h'!G56,'03.11 Maya-Masaka'!G56)</f>
        <v>0.8571428571428571</v>
      </c>
      <c r="H56" s="49">
        <f>AVERAGE('28.10 Maya-Masaka'!H56,'29.10 Maya-Masaka'!H56,'30.10 Maya-Masaka'!H56,'01.11 Maya-Masaka'!H56,'31.10 Maya-Masaka-24h'!H56,'02.11 Maya-Masaka-24h'!H56,'03.11 Maya-Masaka'!H56)</f>
        <v>1.2857142857142858</v>
      </c>
      <c r="I56" s="49">
        <f>AVERAGE('28.10 Maya-Masaka'!I56,'29.10 Maya-Masaka'!I56,'30.10 Maya-Masaka'!I56,'01.11 Maya-Masaka'!I56,'31.10 Maya-Masaka-24h'!I56,'02.11 Maya-Masaka-24h'!I56,'03.11 Maya-Masaka'!I56)</f>
        <v>16.142857142857142</v>
      </c>
      <c r="J56" s="49">
        <f>AVERAGE('28.10 Maya-Masaka'!J56,'29.10 Maya-Masaka'!J56,'30.10 Maya-Masaka'!J56,'01.11 Maya-Masaka'!J56,'31.10 Maya-Masaka-24h'!J56,'02.11 Maya-Masaka-24h'!J56,'03.11 Maya-Masaka'!J56)</f>
        <v>6.1428571428571432</v>
      </c>
      <c r="K56" s="49">
        <f>AVERAGE('28.10 Maya-Masaka'!K56,'29.10 Maya-Masaka'!K56,'30.10 Maya-Masaka'!K56,'01.11 Maya-Masaka'!K56,'31.10 Maya-Masaka-24h'!K56,'02.11 Maya-Masaka-24h'!K56,'03.11 Maya-Masaka'!K56)</f>
        <v>3.5714285714285716</v>
      </c>
      <c r="L56" s="49">
        <f>AVERAGE('28.10 Maya-Masaka'!L56,'29.10 Maya-Masaka'!L56,'30.10 Maya-Masaka'!L56,'01.11 Maya-Masaka'!L56,'31.10 Maya-Masaka-24h'!L56,'02.11 Maya-Masaka-24h'!L56,'03.11 Maya-Masaka'!L56)</f>
        <v>1.5714285714285714</v>
      </c>
      <c r="M56" s="49">
        <f>AVERAGE('28.10 Maya-Masaka'!M56,'29.10 Maya-Masaka'!M56,'30.10 Maya-Masaka'!M56,'01.11 Maya-Masaka'!M56,'31.10 Maya-Masaka-24h'!M56,'02.11 Maya-Masaka-24h'!M56,'03.11 Maya-Masaka'!M56)</f>
        <v>27.714285714285715</v>
      </c>
      <c r="N56" s="49">
        <f>AVERAGE('28.10 Maya-Masaka'!N56,'29.10 Maya-Masaka'!N56,'30.10 Maya-Masaka'!N56,'01.11 Maya-Masaka'!N56,'31.10 Maya-Masaka-24h'!N56,'02.11 Maya-Masaka-24h'!N56,'03.11 Maya-Masaka'!N56)</f>
        <v>0</v>
      </c>
      <c r="O56" s="15">
        <f t="shared" si="0"/>
        <v>90.857142857142847</v>
      </c>
      <c r="P56" s="15">
        <f t="shared" si="1"/>
        <v>118.57142857142856</v>
      </c>
      <c r="R56" s="8"/>
      <c r="T56"/>
    </row>
    <row r="57" spans="2:20" ht="23.1" customHeight="1" x14ac:dyDescent="0.25">
      <c r="B57" s="23" t="s">
        <v>84</v>
      </c>
      <c r="C57" s="49">
        <f>AVERAGE('28.10 Maya-Masaka'!C57,'29.10 Maya-Masaka'!C57,'30.10 Maya-Masaka'!C57,'01.11 Maya-Masaka'!C57,'31.10 Maya-Masaka-24h'!C57,'02.11 Maya-Masaka-24h'!C57,'03.11 Maya-Masaka'!C57)</f>
        <v>24.857142857142858</v>
      </c>
      <c r="D57" s="49">
        <f>AVERAGE('28.10 Maya-Masaka'!D57,'29.10 Maya-Masaka'!D57,'30.10 Maya-Masaka'!D57,'01.11 Maya-Masaka'!D57,'31.10 Maya-Masaka-24h'!D57,'02.11 Maya-Masaka-24h'!D57,'03.11 Maya-Masaka'!D57)</f>
        <v>4.1428571428571432</v>
      </c>
      <c r="E57" s="49">
        <f>AVERAGE('28.10 Maya-Masaka'!E57,'29.10 Maya-Masaka'!E57,'30.10 Maya-Masaka'!E57,'01.11 Maya-Masaka'!E57,'31.10 Maya-Masaka-24h'!E57,'02.11 Maya-Masaka-24h'!E57,'03.11 Maya-Masaka'!E57)</f>
        <v>3.1428571428571428</v>
      </c>
      <c r="F57" s="49">
        <f>AVERAGE('28.10 Maya-Masaka'!F57,'29.10 Maya-Masaka'!F57,'30.10 Maya-Masaka'!F57,'01.11 Maya-Masaka'!F57,'31.10 Maya-Masaka-24h'!F57,'02.11 Maya-Masaka-24h'!F57,'03.11 Maya-Masaka'!F57)</f>
        <v>24.714285714285715</v>
      </c>
      <c r="G57" s="49">
        <f>AVERAGE('28.10 Maya-Masaka'!G57,'29.10 Maya-Masaka'!G57,'30.10 Maya-Masaka'!G57,'01.11 Maya-Masaka'!G57,'31.10 Maya-Masaka-24h'!G57,'02.11 Maya-Masaka-24h'!G57,'03.11 Maya-Masaka'!G57)</f>
        <v>0.42857142857142855</v>
      </c>
      <c r="H57" s="49">
        <f>AVERAGE('28.10 Maya-Masaka'!H57,'29.10 Maya-Masaka'!H57,'30.10 Maya-Masaka'!H57,'01.11 Maya-Masaka'!H57,'31.10 Maya-Masaka-24h'!H57,'02.11 Maya-Masaka-24h'!H57,'03.11 Maya-Masaka'!H57)</f>
        <v>1.5714285714285714</v>
      </c>
      <c r="I57" s="49">
        <f>AVERAGE('28.10 Maya-Masaka'!I57,'29.10 Maya-Masaka'!I57,'30.10 Maya-Masaka'!I57,'01.11 Maya-Masaka'!I57,'31.10 Maya-Masaka-24h'!I57,'02.11 Maya-Masaka-24h'!I57,'03.11 Maya-Masaka'!I57)</f>
        <v>16.857142857142858</v>
      </c>
      <c r="J57" s="49">
        <f>AVERAGE('28.10 Maya-Masaka'!J57,'29.10 Maya-Masaka'!J57,'30.10 Maya-Masaka'!J57,'01.11 Maya-Masaka'!J57,'31.10 Maya-Masaka-24h'!J57,'02.11 Maya-Masaka-24h'!J57,'03.11 Maya-Masaka'!J57)</f>
        <v>4.4285714285714288</v>
      </c>
      <c r="K57" s="49">
        <f>AVERAGE('28.10 Maya-Masaka'!K57,'29.10 Maya-Masaka'!K57,'30.10 Maya-Masaka'!K57,'01.11 Maya-Masaka'!K57,'31.10 Maya-Masaka-24h'!K57,'02.11 Maya-Masaka-24h'!K57,'03.11 Maya-Masaka'!K57)</f>
        <v>4</v>
      </c>
      <c r="L57" s="49">
        <f>AVERAGE('28.10 Maya-Masaka'!L57,'29.10 Maya-Masaka'!L57,'30.10 Maya-Masaka'!L57,'01.11 Maya-Masaka'!L57,'31.10 Maya-Masaka-24h'!L57,'02.11 Maya-Masaka-24h'!L57,'03.11 Maya-Masaka'!L57)</f>
        <v>2.1428571428571428</v>
      </c>
      <c r="M57" s="49">
        <f>AVERAGE('28.10 Maya-Masaka'!M57,'29.10 Maya-Masaka'!M57,'30.10 Maya-Masaka'!M57,'01.11 Maya-Masaka'!M57,'31.10 Maya-Masaka-24h'!M57,'02.11 Maya-Masaka-24h'!M57,'03.11 Maya-Masaka'!M57)</f>
        <v>24</v>
      </c>
      <c r="N57" s="49">
        <f>AVERAGE('28.10 Maya-Masaka'!N57,'29.10 Maya-Masaka'!N57,'30.10 Maya-Masaka'!N57,'01.11 Maya-Masaka'!N57,'31.10 Maya-Masaka-24h'!N57,'02.11 Maya-Masaka-24h'!N57,'03.11 Maya-Masaka'!N57)</f>
        <v>0</v>
      </c>
      <c r="O57" s="15">
        <f t="shared" si="0"/>
        <v>86.285714285714292</v>
      </c>
      <c r="P57" s="15">
        <f t="shared" si="1"/>
        <v>110.28571428571429</v>
      </c>
      <c r="R57" s="8"/>
      <c r="T57"/>
    </row>
    <row r="58" spans="2:20" ht="23.1" customHeight="1" x14ac:dyDescent="0.25">
      <c r="B58" s="23" t="s">
        <v>99</v>
      </c>
      <c r="C58" s="49">
        <f>AVERAGE('31.10 Maya-Masaka-24h'!C58,'02.11 Maya-Masaka-24h'!C58)</f>
        <v>8</v>
      </c>
      <c r="D58" s="49">
        <f>AVERAGE('31.10 Maya-Masaka-24h'!D58,'02.11 Maya-Masaka-24h'!D58)</f>
        <v>2.5</v>
      </c>
      <c r="E58" s="49">
        <f>AVERAGE('31.10 Maya-Masaka-24h'!E58,'02.11 Maya-Masaka-24h'!E58)</f>
        <v>4</v>
      </c>
      <c r="F58" s="49">
        <f>AVERAGE('31.10 Maya-Masaka-24h'!F58,'02.11 Maya-Masaka-24h'!F58)</f>
        <v>15.5</v>
      </c>
      <c r="G58" s="49">
        <f>AVERAGE('31.10 Maya-Masaka-24h'!G58,'02.11 Maya-Masaka-24h'!G58)</f>
        <v>0</v>
      </c>
      <c r="H58" s="49">
        <f>AVERAGE('31.10 Maya-Masaka-24h'!H58,'02.11 Maya-Masaka-24h'!H58)</f>
        <v>0.5</v>
      </c>
      <c r="I58" s="49">
        <f>AVERAGE('31.10 Maya-Masaka-24h'!I58,'02.11 Maya-Masaka-24h'!I58)</f>
        <v>5.5</v>
      </c>
      <c r="J58" s="49">
        <f>AVERAGE('31.10 Maya-Masaka-24h'!J58,'02.11 Maya-Masaka-24h'!J58)</f>
        <v>3</v>
      </c>
      <c r="K58" s="49">
        <f>AVERAGE('31.10 Maya-Masaka-24h'!K58,'02.11 Maya-Masaka-24h'!K58)</f>
        <v>3.5</v>
      </c>
      <c r="L58" s="49">
        <f>AVERAGE('31.10 Maya-Masaka-24h'!L58,'02.11 Maya-Masaka-24h'!L58)</f>
        <v>0.5</v>
      </c>
      <c r="M58" s="49">
        <f>AVERAGE('31.10 Maya-Masaka-24h'!M58,'02.11 Maya-Masaka-24h'!M58)</f>
        <v>9.5</v>
      </c>
      <c r="N58" s="49">
        <f>AVERAGE('31.10 Maya-Masaka-24h'!N58,'02.11 Maya-Masaka-24h'!N58)</f>
        <v>0</v>
      </c>
      <c r="O58" s="15">
        <f t="shared" si="0"/>
        <v>43</v>
      </c>
      <c r="P58" s="15">
        <f t="shared" si="1"/>
        <v>52.5</v>
      </c>
      <c r="R58" s="8"/>
      <c r="T58"/>
    </row>
    <row r="59" spans="2:20" ht="23.1" customHeight="1" x14ac:dyDescent="0.25">
      <c r="B59" s="23" t="s">
        <v>100</v>
      </c>
      <c r="C59" s="49">
        <f>AVERAGE('31.10 Maya-Masaka-24h'!C59,'02.11 Maya-Masaka-24h'!C59)</f>
        <v>12.5</v>
      </c>
      <c r="D59" s="49">
        <f>AVERAGE('31.10 Maya-Masaka-24h'!D59,'02.11 Maya-Masaka-24h'!D59)</f>
        <v>5</v>
      </c>
      <c r="E59" s="49">
        <f>AVERAGE('31.10 Maya-Masaka-24h'!E59,'02.11 Maya-Masaka-24h'!E59)</f>
        <v>1.5</v>
      </c>
      <c r="F59" s="49">
        <f>AVERAGE('31.10 Maya-Masaka-24h'!F59,'02.11 Maya-Masaka-24h'!F59)</f>
        <v>14</v>
      </c>
      <c r="G59" s="49">
        <f>AVERAGE('31.10 Maya-Masaka-24h'!G59,'02.11 Maya-Masaka-24h'!G59)</f>
        <v>1</v>
      </c>
      <c r="H59" s="49">
        <f>AVERAGE('31.10 Maya-Masaka-24h'!H59,'02.11 Maya-Masaka-24h'!H59)</f>
        <v>1</v>
      </c>
      <c r="I59" s="49">
        <f>AVERAGE('31.10 Maya-Masaka-24h'!I59,'02.11 Maya-Masaka-24h'!I59)</f>
        <v>14.5</v>
      </c>
      <c r="J59" s="49">
        <f>AVERAGE('31.10 Maya-Masaka-24h'!J59,'02.11 Maya-Masaka-24h'!J59)</f>
        <v>4.5</v>
      </c>
      <c r="K59" s="49">
        <f>AVERAGE('31.10 Maya-Masaka-24h'!K59,'02.11 Maya-Masaka-24h'!K59)</f>
        <v>5</v>
      </c>
      <c r="L59" s="49">
        <f>AVERAGE('31.10 Maya-Masaka-24h'!L59,'02.11 Maya-Masaka-24h'!L59)</f>
        <v>2.5</v>
      </c>
      <c r="M59" s="49">
        <f>AVERAGE('31.10 Maya-Masaka-24h'!M59,'02.11 Maya-Masaka-24h'!M59)</f>
        <v>17</v>
      </c>
      <c r="N59" s="49">
        <f>AVERAGE('31.10 Maya-Masaka-24h'!N59,'02.11 Maya-Masaka-24h'!N59)</f>
        <v>0</v>
      </c>
      <c r="O59" s="15">
        <f t="shared" si="0"/>
        <v>61.5</v>
      </c>
      <c r="P59" s="15">
        <f t="shared" si="1"/>
        <v>78.5</v>
      </c>
      <c r="R59" s="8"/>
      <c r="T59"/>
    </row>
    <row r="60" spans="2:20" ht="23.1" customHeight="1" x14ac:dyDescent="0.25">
      <c r="B60" s="23" t="s">
        <v>101</v>
      </c>
      <c r="C60" s="49">
        <f>AVERAGE('31.10 Maya-Masaka-24h'!C60,'02.11 Maya-Masaka-24h'!C60)</f>
        <v>9</v>
      </c>
      <c r="D60" s="49">
        <f>AVERAGE('31.10 Maya-Masaka-24h'!D60,'02.11 Maya-Masaka-24h'!D60)</f>
        <v>2</v>
      </c>
      <c r="E60" s="49">
        <f>AVERAGE('31.10 Maya-Masaka-24h'!E60,'02.11 Maya-Masaka-24h'!E60)</f>
        <v>0.5</v>
      </c>
      <c r="F60" s="49">
        <f>AVERAGE('31.10 Maya-Masaka-24h'!F60,'02.11 Maya-Masaka-24h'!F60)</f>
        <v>20.5</v>
      </c>
      <c r="G60" s="49">
        <f>AVERAGE('31.10 Maya-Masaka-24h'!G60,'02.11 Maya-Masaka-24h'!G60)</f>
        <v>0.5</v>
      </c>
      <c r="H60" s="49">
        <f>AVERAGE('31.10 Maya-Masaka-24h'!H60,'02.11 Maya-Masaka-24h'!H60)</f>
        <v>2</v>
      </c>
      <c r="I60" s="49">
        <f>AVERAGE('31.10 Maya-Masaka-24h'!I60,'02.11 Maya-Masaka-24h'!I60)</f>
        <v>11</v>
      </c>
      <c r="J60" s="49">
        <f>AVERAGE('31.10 Maya-Masaka-24h'!J60,'02.11 Maya-Masaka-24h'!J60)</f>
        <v>3</v>
      </c>
      <c r="K60" s="49">
        <f>AVERAGE('31.10 Maya-Masaka-24h'!K60,'02.11 Maya-Masaka-24h'!K60)</f>
        <v>4.5</v>
      </c>
      <c r="L60" s="49">
        <f>AVERAGE('31.10 Maya-Masaka-24h'!L60,'02.11 Maya-Masaka-24h'!L60)</f>
        <v>0.5</v>
      </c>
      <c r="M60" s="49">
        <f>AVERAGE('31.10 Maya-Masaka-24h'!M60,'02.11 Maya-Masaka-24h'!M60)</f>
        <v>12</v>
      </c>
      <c r="N60" s="49">
        <f>AVERAGE('31.10 Maya-Masaka-24h'!N60,'02.11 Maya-Masaka-24h'!N60)</f>
        <v>0</v>
      </c>
      <c r="O60" s="15">
        <f t="shared" si="0"/>
        <v>53.5</v>
      </c>
      <c r="P60" s="15">
        <f t="shared" si="1"/>
        <v>65.5</v>
      </c>
      <c r="R60" s="8"/>
      <c r="T60"/>
    </row>
    <row r="61" spans="2:20" ht="23.1" customHeight="1" x14ac:dyDescent="0.25">
      <c r="B61" s="23" t="s">
        <v>102</v>
      </c>
      <c r="C61" s="49">
        <f>AVERAGE('31.10 Maya-Masaka-24h'!C61,'02.11 Maya-Masaka-24h'!C61)</f>
        <v>14</v>
      </c>
      <c r="D61" s="49">
        <f>AVERAGE('31.10 Maya-Masaka-24h'!D61,'02.11 Maya-Masaka-24h'!D61)</f>
        <v>3.5</v>
      </c>
      <c r="E61" s="49">
        <f>AVERAGE('31.10 Maya-Masaka-24h'!E61,'02.11 Maya-Masaka-24h'!E61)</f>
        <v>2.5</v>
      </c>
      <c r="F61" s="49">
        <f>AVERAGE('31.10 Maya-Masaka-24h'!F61,'02.11 Maya-Masaka-24h'!F61)</f>
        <v>19</v>
      </c>
      <c r="G61" s="49">
        <f>AVERAGE('31.10 Maya-Masaka-24h'!G61,'02.11 Maya-Masaka-24h'!G61)</f>
        <v>1</v>
      </c>
      <c r="H61" s="49">
        <f>AVERAGE('31.10 Maya-Masaka-24h'!H61,'02.11 Maya-Masaka-24h'!H61)</f>
        <v>0</v>
      </c>
      <c r="I61" s="49">
        <f>AVERAGE('31.10 Maya-Masaka-24h'!I61,'02.11 Maya-Masaka-24h'!I61)</f>
        <v>12.5</v>
      </c>
      <c r="J61" s="49">
        <f>AVERAGE('31.10 Maya-Masaka-24h'!J61,'02.11 Maya-Masaka-24h'!J61)</f>
        <v>6.5</v>
      </c>
      <c r="K61" s="49">
        <f>AVERAGE('31.10 Maya-Masaka-24h'!K61,'02.11 Maya-Masaka-24h'!K61)</f>
        <v>7.5</v>
      </c>
      <c r="L61" s="49">
        <f>AVERAGE('31.10 Maya-Masaka-24h'!L61,'02.11 Maya-Masaka-24h'!L61)</f>
        <v>6.5</v>
      </c>
      <c r="M61" s="49">
        <f>AVERAGE('31.10 Maya-Masaka-24h'!M61,'02.11 Maya-Masaka-24h'!M61)</f>
        <v>14</v>
      </c>
      <c r="N61" s="49">
        <f>AVERAGE('31.10 Maya-Masaka-24h'!N61,'02.11 Maya-Masaka-24h'!N61)</f>
        <v>0</v>
      </c>
      <c r="O61" s="15">
        <f t="shared" si="0"/>
        <v>73</v>
      </c>
      <c r="P61" s="15">
        <f t="shared" si="1"/>
        <v>87</v>
      </c>
      <c r="R61" s="8"/>
      <c r="T61"/>
    </row>
    <row r="62" spans="2:20" ht="23.1" customHeight="1" x14ac:dyDescent="0.25">
      <c r="B62" s="23" t="s">
        <v>107</v>
      </c>
      <c r="C62" s="49">
        <f>AVERAGE('31.10 Maya-Masaka-24h'!C62,'02.11 Maya-Masaka-24h'!C62)</f>
        <v>10</v>
      </c>
      <c r="D62" s="49">
        <f>AVERAGE('31.10 Maya-Masaka-24h'!D62,'02.11 Maya-Masaka-24h'!D62)</f>
        <v>6.5</v>
      </c>
      <c r="E62" s="49">
        <f>AVERAGE('31.10 Maya-Masaka-24h'!E62,'02.11 Maya-Masaka-24h'!E62)</f>
        <v>2.5</v>
      </c>
      <c r="F62" s="49">
        <f>AVERAGE('31.10 Maya-Masaka-24h'!F62,'02.11 Maya-Masaka-24h'!F62)</f>
        <v>19</v>
      </c>
      <c r="G62" s="49">
        <f>AVERAGE('31.10 Maya-Masaka-24h'!G62,'02.11 Maya-Masaka-24h'!G62)</f>
        <v>0.5</v>
      </c>
      <c r="H62" s="49">
        <f>AVERAGE('31.10 Maya-Masaka-24h'!H62,'02.11 Maya-Masaka-24h'!H62)</f>
        <v>0</v>
      </c>
      <c r="I62" s="49">
        <f>AVERAGE('31.10 Maya-Masaka-24h'!I62,'02.11 Maya-Masaka-24h'!I62)</f>
        <v>10</v>
      </c>
      <c r="J62" s="49">
        <f>AVERAGE('31.10 Maya-Masaka-24h'!J62,'02.11 Maya-Masaka-24h'!J62)</f>
        <v>6.5</v>
      </c>
      <c r="K62" s="49">
        <f>AVERAGE('31.10 Maya-Masaka-24h'!K62,'02.11 Maya-Masaka-24h'!K62)</f>
        <v>4</v>
      </c>
      <c r="L62" s="49">
        <f>AVERAGE('31.10 Maya-Masaka-24h'!L62,'02.11 Maya-Masaka-24h'!L62)</f>
        <v>1</v>
      </c>
      <c r="M62" s="49">
        <f>AVERAGE('31.10 Maya-Masaka-24h'!M62,'02.11 Maya-Masaka-24h'!M62)</f>
        <v>13</v>
      </c>
      <c r="N62" s="49">
        <f>AVERAGE('31.10 Maya-Masaka-24h'!N62,'02.11 Maya-Masaka-24h'!N62)</f>
        <v>0</v>
      </c>
      <c r="O62" s="15">
        <f t="shared" si="0"/>
        <v>60</v>
      </c>
      <c r="P62" s="15">
        <f t="shared" si="1"/>
        <v>73</v>
      </c>
      <c r="R62" s="8"/>
      <c r="T62"/>
    </row>
    <row r="63" spans="2:20" ht="23.1" customHeight="1" x14ac:dyDescent="0.25">
      <c r="B63" s="23" t="s">
        <v>108</v>
      </c>
      <c r="C63" s="49">
        <f>AVERAGE('31.10 Maya-Masaka-24h'!C63,'02.11 Maya-Masaka-24h'!C63)</f>
        <v>11.5</v>
      </c>
      <c r="D63" s="49">
        <f>AVERAGE('31.10 Maya-Masaka-24h'!D63,'02.11 Maya-Masaka-24h'!D63)</f>
        <v>4.5</v>
      </c>
      <c r="E63" s="49">
        <f>AVERAGE('31.10 Maya-Masaka-24h'!E63,'02.11 Maya-Masaka-24h'!E63)</f>
        <v>3</v>
      </c>
      <c r="F63" s="49">
        <f>AVERAGE('31.10 Maya-Masaka-24h'!F63,'02.11 Maya-Masaka-24h'!F63)</f>
        <v>21</v>
      </c>
      <c r="G63" s="49">
        <f>AVERAGE('31.10 Maya-Masaka-24h'!G63,'02.11 Maya-Masaka-24h'!G63)</f>
        <v>1</v>
      </c>
      <c r="H63" s="49">
        <f>AVERAGE('31.10 Maya-Masaka-24h'!H63,'02.11 Maya-Masaka-24h'!H63)</f>
        <v>2</v>
      </c>
      <c r="I63" s="49">
        <f>AVERAGE('31.10 Maya-Masaka-24h'!I63,'02.11 Maya-Masaka-24h'!I63)</f>
        <v>7.5</v>
      </c>
      <c r="J63" s="49">
        <f>AVERAGE('31.10 Maya-Masaka-24h'!J63,'02.11 Maya-Masaka-24h'!J63)</f>
        <v>4.5</v>
      </c>
      <c r="K63" s="49">
        <f>AVERAGE('31.10 Maya-Masaka-24h'!K63,'02.11 Maya-Masaka-24h'!K63)</f>
        <v>5.5</v>
      </c>
      <c r="L63" s="49">
        <f>AVERAGE('31.10 Maya-Masaka-24h'!L63,'02.11 Maya-Masaka-24h'!L63)</f>
        <v>1</v>
      </c>
      <c r="M63" s="49">
        <f>AVERAGE('31.10 Maya-Masaka-24h'!M63,'02.11 Maya-Masaka-24h'!M63)</f>
        <v>19.5</v>
      </c>
      <c r="N63" s="49">
        <f>AVERAGE('31.10 Maya-Masaka-24h'!N63,'02.11 Maya-Masaka-24h'!N63)</f>
        <v>0</v>
      </c>
      <c r="O63" s="15">
        <f t="shared" si="0"/>
        <v>61.5</v>
      </c>
      <c r="P63" s="15">
        <f t="shared" si="1"/>
        <v>81</v>
      </c>
      <c r="R63" s="8"/>
      <c r="T63"/>
    </row>
    <row r="64" spans="2:20" ht="23.1" customHeight="1" x14ac:dyDescent="0.25">
      <c r="B64" s="23" t="s">
        <v>109</v>
      </c>
      <c r="C64" s="49">
        <f>AVERAGE('31.10 Maya-Masaka-24h'!C64,'02.11 Maya-Masaka-24h'!C64)</f>
        <v>14</v>
      </c>
      <c r="D64" s="49">
        <f>AVERAGE('31.10 Maya-Masaka-24h'!D64,'02.11 Maya-Masaka-24h'!D64)</f>
        <v>4.5</v>
      </c>
      <c r="E64" s="49">
        <f>AVERAGE('31.10 Maya-Masaka-24h'!E64,'02.11 Maya-Masaka-24h'!E64)</f>
        <v>1</v>
      </c>
      <c r="F64" s="49">
        <f>AVERAGE('31.10 Maya-Masaka-24h'!F64,'02.11 Maya-Masaka-24h'!F64)</f>
        <v>16.5</v>
      </c>
      <c r="G64" s="49">
        <f>AVERAGE('31.10 Maya-Masaka-24h'!G64,'02.11 Maya-Masaka-24h'!G64)</f>
        <v>0.5</v>
      </c>
      <c r="H64" s="49">
        <f>AVERAGE('31.10 Maya-Masaka-24h'!H64,'02.11 Maya-Masaka-24h'!H64)</f>
        <v>1</v>
      </c>
      <c r="I64" s="49">
        <f>AVERAGE('31.10 Maya-Masaka-24h'!I64,'02.11 Maya-Masaka-24h'!I64)</f>
        <v>10</v>
      </c>
      <c r="J64" s="49">
        <f>AVERAGE('31.10 Maya-Masaka-24h'!J64,'02.11 Maya-Masaka-24h'!J64)</f>
        <v>3.5</v>
      </c>
      <c r="K64" s="49">
        <f>AVERAGE('31.10 Maya-Masaka-24h'!K64,'02.11 Maya-Masaka-24h'!K64)</f>
        <v>6.5</v>
      </c>
      <c r="L64" s="49">
        <f>AVERAGE('31.10 Maya-Masaka-24h'!L64,'02.11 Maya-Masaka-24h'!L64)</f>
        <v>1.5</v>
      </c>
      <c r="M64" s="49">
        <f>AVERAGE('31.10 Maya-Masaka-24h'!M64,'02.11 Maya-Masaka-24h'!M64)</f>
        <v>22</v>
      </c>
      <c r="N64" s="49">
        <f>AVERAGE('31.10 Maya-Masaka-24h'!N64,'02.11 Maya-Masaka-24h'!N64)</f>
        <v>0</v>
      </c>
      <c r="O64" s="15">
        <f t="shared" si="0"/>
        <v>59</v>
      </c>
      <c r="P64" s="15">
        <f t="shared" si="1"/>
        <v>81</v>
      </c>
      <c r="R64" s="8"/>
      <c r="T64"/>
    </row>
    <row r="65" spans="2:20" ht="23.1" customHeight="1" x14ac:dyDescent="0.25">
      <c r="B65" s="23" t="s">
        <v>158</v>
      </c>
      <c r="C65" s="49">
        <f>AVERAGE('31.10 Maya-Masaka-24h'!C65,'02.11 Maya-Masaka-24h'!C65)</f>
        <v>12.5</v>
      </c>
      <c r="D65" s="49">
        <f>AVERAGE('31.10 Maya-Masaka-24h'!D65,'02.11 Maya-Masaka-24h'!D65)</f>
        <v>5.5</v>
      </c>
      <c r="E65" s="49">
        <f>AVERAGE('31.10 Maya-Masaka-24h'!E65,'02.11 Maya-Masaka-24h'!E65)</f>
        <v>3</v>
      </c>
      <c r="F65" s="49">
        <f>AVERAGE('31.10 Maya-Masaka-24h'!F65,'02.11 Maya-Masaka-24h'!F65)</f>
        <v>18.5</v>
      </c>
      <c r="G65" s="49">
        <f>AVERAGE('31.10 Maya-Masaka-24h'!G65,'02.11 Maya-Masaka-24h'!G65)</f>
        <v>1.5</v>
      </c>
      <c r="H65" s="49">
        <f>AVERAGE('31.10 Maya-Masaka-24h'!H65,'02.11 Maya-Masaka-24h'!H65)</f>
        <v>1</v>
      </c>
      <c r="I65" s="49">
        <f>AVERAGE('31.10 Maya-Masaka-24h'!I65,'02.11 Maya-Masaka-24h'!I65)</f>
        <v>17</v>
      </c>
      <c r="J65" s="49">
        <f>AVERAGE('31.10 Maya-Masaka-24h'!J65,'02.11 Maya-Masaka-24h'!J65)</f>
        <v>6</v>
      </c>
      <c r="K65" s="49">
        <f>AVERAGE('31.10 Maya-Masaka-24h'!K65,'02.11 Maya-Masaka-24h'!K65)</f>
        <v>3.5</v>
      </c>
      <c r="L65" s="49">
        <f>AVERAGE('31.10 Maya-Masaka-24h'!L65,'02.11 Maya-Masaka-24h'!L65)</f>
        <v>1</v>
      </c>
      <c r="M65" s="49">
        <f>AVERAGE('31.10 Maya-Masaka-24h'!M65,'02.11 Maya-Masaka-24h'!M65)</f>
        <v>17.5</v>
      </c>
      <c r="N65" s="49">
        <f>AVERAGE('31.10 Maya-Masaka-24h'!N65,'02.11 Maya-Masaka-24h'!N65)</f>
        <v>0</v>
      </c>
      <c r="O65" s="15">
        <f t="shared" si="0"/>
        <v>69.5</v>
      </c>
      <c r="P65" s="15">
        <f t="shared" si="1"/>
        <v>87</v>
      </c>
      <c r="R65" s="8"/>
      <c r="T65"/>
    </row>
    <row r="66" spans="2:20" ht="23.1" customHeight="1" x14ac:dyDescent="0.25">
      <c r="B66" s="23" t="s">
        <v>103</v>
      </c>
      <c r="C66" s="49">
        <f>AVERAGE('31.10 Maya-Masaka-24h'!C66,'02.11 Maya-Masaka-24h'!C66)</f>
        <v>16</v>
      </c>
      <c r="D66" s="49">
        <f>AVERAGE('31.10 Maya-Masaka-24h'!D66,'02.11 Maya-Masaka-24h'!D66)</f>
        <v>4.5</v>
      </c>
      <c r="E66" s="49">
        <f>AVERAGE('31.10 Maya-Masaka-24h'!E66,'02.11 Maya-Masaka-24h'!E66)</f>
        <v>1.5</v>
      </c>
      <c r="F66" s="49">
        <f>AVERAGE('31.10 Maya-Masaka-24h'!F66,'02.11 Maya-Masaka-24h'!F66)</f>
        <v>21</v>
      </c>
      <c r="G66" s="49">
        <f>AVERAGE('31.10 Maya-Masaka-24h'!G66,'02.11 Maya-Masaka-24h'!G66)</f>
        <v>0.5</v>
      </c>
      <c r="H66" s="49">
        <f>AVERAGE('31.10 Maya-Masaka-24h'!H66,'02.11 Maya-Masaka-24h'!H66)</f>
        <v>1.5</v>
      </c>
      <c r="I66" s="49">
        <f>AVERAGE('31.10 Maya-Masaka-24h'!I66,'02.11 Maya-Masaka-24h'!I66)</f>
        <v>9</v>
      </c>
      <c r="J66" s="49">
        <f>AVERAGE('31.10 Maya-Masaka-24h'!J66,'02.11 Maya-Masaka-24h'!J66)</f>
        <v>4.5</v>
      </c>
      <c r="K66" s="49">
        <f>AVERAGE('31.10 Maya-Masaka-24h'!K66,'02.11 Maya-Masaka-24h'!K66)</f>
        <v>3</v>
      </c>
      <c r="L66" s="49">
        <f>AVERAGE('31.10 Maya-Masaka-24h'!L66,'02.11 Maya-Masaka-24h'!L66)</f>
        <v>1</v>
      </c>
      <c r="M66" s="49">
        <f>AVERAGE('31.10 Maya-Masaka-24h'!M66,'02.11 Maya-Masaka-24h'!M66)</f>
        <v>10</v>
      </c>
      <c r="N66" s="49">
        <f>AVERAGE('31.10 Maya-Masaka-24h'!N66,'02.11 Maya-Masaka-24h'!N66)</f>
        <v>0</v>
      </c>
      <c r="O66" s="15">
        <f t="shared" si="0"/>
        <v>62.5</v>
      </c>
      <c r="P66" s="15">
        <f t="shared" si="1"/>
        <v>72.5</v>
      </c>
      <c r="R66" s="8"/>
      <c r="T66"/>
    </row>
    <row r="67" spans="2:20" ht="23.1" customHeight="1" x14ac:dyDescent="0.25">
      <c r="B67" s="23" t="s">
        <v>104</v>
      </c>
      <c r="C67" s="49">
        <f>AVERAGE('31.10 Maya-Masaka-24h'!C67,'02.11 Maya-Masaka-24h'!C67)</f>
        <v>15.5</v>
      </c>
      <c r="D67" s="49">
        <f>AVERAGE('31.10 Maya-Masaka-24h'!D67,'02.11 Maya-Masaka-24h'!D67)</f>
        <v>8.5</v>
      </c>
      <c r="E67" s="49">
        <f>AVERAGE('31.10 Maya-Masaka-24h'!E67,'02.11 Maya-Masaka-24h'!E67)</f>
        <v>3</v>
      </c>
      <c r="F67" s="49">
        <f>AVERAGE('31.10 Maya-Masaka-24h'!F67,'02.11 Maya-Masaka-24h'!F67)</f>
        <v>18</v>
      </c>
      <c r="G67" s="49">
        <f>AVERAGE('31.10 Maya-Masaka-24h'!G67,'02.11 Maya-Masaka-24h'!G67)</f>
        <v>1</v>
      </c>
      <c r="H67" s="49">
        <f>AVERAGE('31.10 Maya-Masaka-24h'!H67,'02.11 Maya-Masaka-24h'!H67)</f>
        <v>1.5</v>
      </c>
      <c r="I67" s="49">
        <f>AVERAGE('31.10 Maya-Masaka-24h'!I67,'02.11 Maya-Masaka-24h'!I67)</f>
        <v>13.5</v>
      </c>
      <c r="J67" s="49">
        <f>AVERAGE('31.10 Maya-Masaka-24h'!J67,'02.11 Maya-Masaka-24h'!J67)</f>
        <v>4.5</v>
      </c>
      <c r="K67" s="49">
        <f>AVERAGE('31.10 Maya-Masaka-24h'!K67,'02.11 Maya-Masaka-24h'!K67)</f>
        <v>6.5</v>
      </c>
      <c r="L67" s="49">
        <f>AVERAGE('31.10 Maya-Masaka-24h'!L67,'02.11 Maya-Masaka-24h'!L67)</f>
        <v>3</v>
      </c>
      <c r="M67" s="49">
        <f>AVERAGE('31.10 Maya-Masaka-24h'!M67,'02.11 Maya-Masaka-24h'!M67)</f>
        <v>14</v>
      </c>
      <c r="N67" s="49">
        <f>AVERAGE('31.10 Maya-Masaka-24h'!N67,'02.11 Maya-Masaka-24h'!N67)</f>
        <v>0</v>
      </c>
      <c r="O67" s="15">
        <f t="shared" si="0"/>
        <v>75</v>
      </c>
      <c r="P67" s="15">
        <f t="shared" si="1"/>
        <v>89</v>
      </c>
      <c r="R67" s="8"/>
      <c r="T67"/>
    </row>
    <row r="68" spans="2:20" ht="23.1" customHeight="1" x14ac:dyDescent="0.25">
      <c r="B68" s="23" t="s">
        <v>105</v>
      </c>
      <c r="C68" s="49">
        <f>AVERAGE('31.10 Maya-Masaka-24h'!C68,'02.11 Maya-Masaka-24h'!C68)</f>
        <v>13</v>
      </c>
      <c r="D68" s="49">
        <f>AVERAGE('31.10 Maya-Masaka-24h'!D68,'02.11 Maya-Masaka-24h'!D68)</f>
        <v>3.5</v>
      </c>
      <c r="E68" s="49">
        <f>AVERAGE('31.10 Maya-Masaka-24h'!E68,'02.11 Maya-Masaka-24h'!E68)</f>
        <v>3.5</v>
      </c>
      <c r="F68" s="49">
        <f>AVERAGE('31.10 Maya-Masaka-24h'!F68,'02.11 Maya-Masaka-24h'!F68)</f>
        <v>16.5</v>
      </c>
      <c r="G68" s="49">
        <f>AVERAGE('31.10 Maya-Masaka-24h'!G68,'02.11 Maya-Masaka-24h'!G68)</f>
        <v>1.5</v>
      </c>
      <c r="H68" s="49">
        <f>AVERAGE('31.10 Maya-Masaka-24h'!H68,'02.11 Maya-Masaka-24h'!H68)</f>
        <v>2.5</v>
      </c>
      <c r="I68" s="49">
        <f>AVERAGE('31.10 Maya-Masaka-24h'!I68,'02.11 Maya-Masaka-24h'!I68)</f>
        <v>12</v>
      </c>
      <c r="J68" s="49">
        <f>AVERAGE('31.10 Maya-Masaka-24h'!J68,'02.11 Maya-Masaka-24h'!J68)</f>
        <v>6</v>
      </c>
      <c r="K68" s="49">
        <f>AVERAGE('31.10 Maya-Masaka-24h'!K68,'02.11 Maya-Masaka-24h'!K68)</f>
        <v>8</v>
      </c>
      <c r="L68" s="49">
        <f>AVERAGE('31.10 Maya-Masaka-24h'!L68,'02.11 Maya-Masaka-24h'!L68)</f>
        <v>0.5</v>
      </c>
      <c r="M68" s="49">
        <f>AVERAGE('31.10 Maya-Masaka-24h'!M68,'02.11 Maya-Masaka-24h'!M68)</f>
        <v>17</v>
      </c>
      <c r="N68" s="49">
        <f>AVERAGE('31.10 Maya-Masaka-24h'!N68,'02.11 Maya-Masaka-24h'!N68)</f>
        <v>0</v>
      </c>
      <c r="O68" s="15">
        <f t="shared" si="0"/>
        <v>67</v>
      </c>
      <c r="P68" s="15">
        <f t="shared" si="1"/>
        <v>84</v>
      </c>
      <c r="R68" s="8"/>
      <c r="T68"/>
    </row>
    <row r="69" spans="2:20" ht="23.1" customHeight="1" x14ac:dyDescent="0.25">
      <c r="B69" s="23" t="s">
        <v>106</v>
      </c>
      <c r="C69" s="49">
        <f>AVERAGE('31.10 Maya-Masaka-24h'!C69,'02.11 Maya-Masaka-24h'!C69)</f>
        <v>17</v>
      </c>
      <c r="D69" s="49">
        <f>AVERAGE('31.10 Maya-Masaka-24h'!D69,'02.11 Maya-Masaka-24h'!D69)</f>
        <v>4.5</v>
      </c>
      <c r="E69" s="49">
        <f>AVERAGE('31.10 Maya-Masaka-24h'!E69,'02.11 Maya-Masaka-24h'!E69)</f>
        <v>1</v>
      </c>
      <c r="F69" s="49">
        <f>AVERAGE('31.10 Maya-Masaka-24h'!F69,'02.11 Maya-Masaka-24h'!F69)</f>
        <v>12.5</v>
      </c>
      <c r="G69" s="49">
        <f>AVERAGE('31.10 Maya-Masaka-24h'!G69,'02.11 Maya-Masaka-24h'!G69)</f>
        <v>0.5</v>
      </c>
      <c r="H69" s="49">
        <f>AVERAGE('31.10 Maya-Masaka-24h'!H69,'02.11 Maya-Masaka-24h'!H69)</f>
        <v>2</v>
      </c>
      <c r="I69" s="49">
        <f>AVERAGE('31.10 Maya-Masaka-24h'!I69,'02.11 Maya-Masaka-24h'!I69)</f>
        <v>6</v>
      </c>
      <c r="J69" s="49">
        <f>AVERAGE('31.10 Maya-Masaka-24h'!J69,'02.11 Maya-Masaka-24h'!J69)</f>
        <v>2.5</v>
      </c>
      <c r="K69" s="49">
        <f>AVERAGE('31.10 Maya-Masaka-24h'!K69,'02.11 Maya-Masaka-24h'!K69)</f>
        <v>8</v>
      </c>
      <c r="L69" s="49">
        <f>AVERAGE('31.10 Maya-Masaka-24h'!L69,'02.11 Maya-Masaka-24h'!L69)</f>
        <v>0</v>
      </c>
      <c r="M69" s="49">
        <f>AVERAGE('31.10 Maya-Masaka-24h'!M69,'02.11 Maya-Masaka-24h'!M69)</f>
        <v>14.5</v>
      </c>
      <c r="N69" s="49">
        <f>AVERAGE('31.10 Maya-Masaka-24h'!N69,'02.11 Maya-Masaka-24h'!N69)</f>
        <v>0</v>
      </c>
      <c r="O69" s="15">
        <f t="shared" si="0"/>
        <v>54</v>
      </c>
      <c r="P69" s="15">
        <f t="shared" si="1"/>
        <v>68.5</v>
      </c>
      <c r="R69" s="8"/>
      <c r="T69"/>
    </row>
    <row r="70" spans="2:20" ht="23.1" customHeight="1" x14ac:dyDescent="0.25">
      <c r="B70" s="23" t="s">
        <v>110</v>
      </c>
      <c r="C70" s="49">
        <f>AVERAGE('31.10 Maya-Masaka-24h'!C70,'02.11 Maya-Masaka-24h'!C70)</f>
        <v>13</v>
      </c>
      <c r="D70" s="49">
        <f>AVERAGE('31.10 Maya-Masaka-24h'!D70,'02.11 Maya-Masaka-24h'!D70)</f>
        <v>2.5</v>
      </c>
      <c r="E70" s="49">
        <f>AVERAGE('31.10 Maya-Masaka-24h'!E70,'02.11 Maya-Masaka-24h'!E70)</f>
        <v>4</v>
      </c>
      <c r="F70" s="49">
        <f>AVERAGE('31.10 Maya-Masaka-24h'!F70,'02.11 Maya-Masaka-24h'!F70)</f>
        <v>13.5</v>
      </c>
      <c r="G70" s="49">
        <f>AVERAGE('31.10 Maya-Masaka-24h'!G70,'02.11 Maya-Masaka-24h'!G70)</f>
        <v>0</v>
      </c>
      <c r="H70" s="49">
        <f>AVERAGE('31.10 Maya-Masaka-24h'!H70,'02.11 Maya-Masaka-24h'!H70)</f>
        <v>2</v>
      </c>
      <c r="I70" s="49">
        <f>AVERAGE('31.10 Maya-Masaka-24h'!I70,'02.11 Maya-Masaka-24h'!I70)</f>
        <v>5</v>
      </c>
      <c r="J70" s="49">
        <f>AVERAGE('31.10 Maya-Masaka-24h'!J70,'02.11 Maya-Masaka-24h'!J70)</f>
        <v>5.5</v>
      </c>
      <c r="K70" s="49">
        <f>AVERAGE('31.10 Maya-Masaka-24h'!K70,'02.11 Maya-Masaka-24h'!K70)</f>
        <v>5</v>
      </c>
      <c r="L70" s="49">
        <f>AVERAGE('31.10 Maya-Masaka-24h'!L70,'02.11 Maya-Masaka-24h'!L70)</f>
        <v>2</v>
      </c>
      <c r="M70" s="49">
        <f>AVERAGE('31.10 Maya-Masaka-24h'!M70,'02.11 Maya-Masaka-24h'!M70)</f>
        <v>7.5</v>
      </c>
      <c r="N70" s="49">
        <f>AVERAGE('31.10 Maya-Masaka-24h'!N70,'02.11 Maya-Masaka-24h'!N70)</f>
        <v>0</v>
      </c>
      <c r="O70" s="15">
        <f t="shared" si="0"/>
        <v>52.5</v>
      </c>
      <c r="P70" s="15">
        <f t="shared" si="1"/>
        <v>60</v>
      </c>
      <c r="R70" s="8"/>
      <c r="T70"/>
    </row>
    <row r="71" spans="2:20" ht="23.1" customHeight="1" x14ac:dyDescent="0.25">
      <c r="B71" s="23" t="s">
        <v>111</v>
      </c>
      <c r="C71" s="49">
        <f>AVERAGE('31.10 Maya-Masaka-24h'!C71,'02.11 Maya-Masaka-24h'!C71)</f>
        <v>9</v>
      </c>
      <c r="D71" s="49">
        <f>AVERAGE('31.10 Maya-Masaka-24h'!D71,'02.11 Maya-Masaka-24h'!D71)</f>
        <v>5</v>
      </c>
      <c r="E71" s="49">
        <f>AVERAGE('31.10 Maya-Masaka-24h'!E71,'02.11 Maya-Masaka-24h'!E71)</f>
        <v>2</v>
      </c>
      <c r="F71" s="49">
        <f>AVERAGE('31.10 Maya-Masaka-24h'!F71,'02.11 Maya-Masaka-24h'!F71)</f>
        <v>18</v>
      </c>
      <c r="G71" s="49">
        <f>AVERAGE('31.10 Maya-Masaka-24h'!G71,'02.11 Maya-Masaka-24h'!G71)</f>
        <v>1</v>
      </c>
      <c r="H71" s="49">
        <f>AVERAGE('31.10 Maya-Masaka-24h'!H71,'02.11 Maya-Masaka-24h'!H71)</f>
        <v>3</v>
      </c>
      <c r="I71" s="49">
        <f>AVERAGE('31.10 Maya-Masaka-24h'!I71,'02.11 Maya-Masaka-24h'!I71)</f>
        <v>7.5</v>
      </c>
      <c r="J71" s="49">
        <f>AVERAGE('31.10 Maya-Masaka-24h'!J71,'02.11 Maya-Masaka-24h'!J71)</f>
        <v>7.5</v>
      </c>
      <c r="K71" s="49">
        <f>AVERAGE('31.10 Maya-Masaka-24h'!K71,'02.11 Maya-Masaka-24h'!K71)</f>
        <v>7</v>
      </c>
      <c r="L71" s="49">
        <f>AVERAGE('31.10 Maya-Masaka-24h'!L71,'02.11 Maya-Masaka-24h'!L71)</f>
        <v>2</v>
      </c>
      <c r="M71" s="49">
        <f>AVERAGE('31.10 Maya-Masaka-24h'!M71,'02.11 Maya-Masaka-24h'!M71)</f>
        <v>11.5</v>
      </c>
      <c r="N71" s="49">
        <f>AVERAGE('31.10 Maya-Masaka-24h'!N71,'02.11 Maya-Masaka-24h'!N71)</f>
        <v>0</v>
      </c>
      <c r="O71" s="15">
        <f t="shared" si="0"/>
        <v>62</v>
      </c>
      <c r="P71" s="15">
        <f t="shared" si="1"/>
        <v>73.5</v>
      </c>
      <c r="R71" s="8"/>
      <c r="T71"/>
    </row>
    <row r="72" spans="2:20" ht="23.1" customHeight="1" x14ac:dyDescent="0.25">
      <c r="B72" s="23" t="s">
        <v>112</v>
      </c>
      <c r="C72" s="49">
        <f>AVERAGE('31.10 Maya-Masaka-24h'!C72,'02.11 Maya-Masaka-24h'!C72)</f>
        <v>17.5</v>
      </c>
      <c r="D72" s="49">
        <f>AVERAGE('31.10 Maya-Masaka-24h'!D72,'02.11 Maya-Masaka-24h'!D72)</f>
        <v>3.5</v>
      </c>
      <c r="E72" s="49">
        <f>AVERAGE('31.10 Maya-Masaka-24h'!E72,'02.11 Maya-Masaka-24h'!E72)</f>
        <v>1</v>
      </c>
      <c r="F72" s="49">
        <f>AVERAGE('31.10 Maya-Masaka-24h'!F72,'02.11 Maya-Masaka-24h'!F72)</f>
        <v>12.5</v>
      </c>
      <c r="G72" s="49">
        <f>AVERAGE('31.10 Maya-Masaka-24h'!G72,'02.11 Maya-Masaka-24h'!G72)</f>
        <v>0.5</v>
      </c>
      <c r="H72" s="49">
        <f>AVERAGE('31.10 Maya-Masaka-24h'!H72,'02.11 Maya-Masaka-24h'!H72)</f>
        <v>4</v>
      </c>
      <c r="I72" s="49">
        <f>AVERAGE('31.10 Maya-Masaka-24h'!I72,'02.11 Maya-Masaka-24h'!I72)</f>
        <v>7</v>
      </c>
      <c r="J72" s="49">
        <f>AVERAGE('31.10 Maya-Masaka-24h'!J72,'02.11 Maya-Masaka-24h'!J72)</f>
        <v>6.5</v>
      </c>
      <c r="K72" s="49">
        <f>AVERAGE('31.10 Maya-Masaka-24h'!K72,'02.11 Maya-Masaka-24h'!K72)</f>
        <v>4</v>
      </c>
      <c r="L72" s="49">
        <f>AVERAGE('31.10 Maya-Masaka-24h'!L72,'02.11 Maya-Masaka-24h'!L72)</f>
        <v>1</v>
      </c>
      <c r="M72" s="49">
        <f>AVERAGE('31.10 Maya-Masaka-24h'!M72,'02.11 Maya-Masaka-24h'!M72)</f>
        <v>10.5</v>
      </c>
      <c r="N72" s="49">
        <f>AVERAGE('31.10 Maya-Masaka-24h'!N72,'02.11 Maya-Masaka-24h'!N72)</f>
        <v>0</v>
      </c>
      <c r="O72" s="15">
        <f t="shared" si="0"/>
        <v>57.5</v>
      </c>
      <c r="P72" s="15">
        <f t="shared" si="1"/>
        <v>68</v>
      </c>
      <c r="R72" s="8"/>
      <c r="T72"/>
    </row>
    <row r="73" spans="2:20" ht="23.1" customHeight="1" x14ac:dyDescent="0.25">
      <c r="B73" s="23" t="s">
        <v>113</v>
      </c>
      <c r="C73" s="49">
        <f>AVERAGE('31.10 Maya-Masaka-24h'!C73,'02.11 Maya-Masaka-24h'!C73)</f>
        <v>13</v>
      </c>
      <c r="D73" s="49">
        <f>AVERAGE('31.10 Maya-Masaka-24h'!D73,'02.11 Maya-Masaka-24h'!D73)</f>
        <v>5.5</v>
      </c>
      <c r="E73" s="49">
        <f>AVERAGE('31.10 Maya-Masaka-24h'!E73,'02.11 Maya-Masaka-24h'!E73)</f>
        <v>1.5</v>
      </c>
      <c r="F73" s="49">
        <f>AVERAGE('31.10 Maya-Masaka-24h'!F73,'02.11 Maya-Masaka-24h'!F73)</f>
        <v>10</v>
      </c>
      <c r="G73" s="49">
        <f>AVERAGE('31.10 Maya-Masaka-24h'!G73,'02.11 Maya-Masaka-24h'!G73)</f>
        <v>0.5</v>
      </c>
      <c r="H73" s="49">
        <f>AVERAGE('31.10 Maya-Masaka-24h'!H73,'02.11 Maya-Masaka-24h'!H73)</f>
        <v>0.5</v>
      </c>
      <c r="I73" s="49">
        <f>AVERAGE('31.10 Maya-Masaka-24h'!I73,'02.11 Maya-Masaka-24h'!I73)</f>
        <v>7.5</v>
      </c>
      <c r="J73" s="49">
        <f>AVERAGE('31.10 Maya-Masaka-24h'!J73,'02.11 Maya-Masaka-24h'!J73)</f>
        <v>5</v>
      </c>
      <c r="K73" s="49">
        <f>AVERAGE('31.10 Maya-Masaka-24h'!K73,'02.11 Maya-Masaka-24h'!K73)</f>
        <v>5</v>
      </c>
      <c r="L73" s="49">
        <f>AVERAGE('31.10 Maya-Masaka-24h'!L73,'02.11 Maya-Masaka-24h'!L73)</f>
        <v>1.5</v>
      </c>
      <c r="M73" s="49">
        <f>AVERAGE('31.10 Maya-Masaka-24h'!M73,'02.11 Maya-Masaka-24h'!M73)</f>
        <v>9</v>
      </c>
      <c r="N73" s="49">
        <f>AVERAGE('31.10 Maya-Masaka-24h'!N73,'02.11 Maya-Masaka-24h'!N73)</f>
        <v>0</v>
      </c>
      <c r="O73" s="15">
        <f t="shared" si="0"/>
        <v>50</v>
      </c>
      <c r="P73" s="15">
        <f t="shared" si="1"/>
        <v>59</v>
      </c>
      <c r="R73" s="8"/>
      <c r="T73"/>
    </row>
    <row r="74" spans="2:20" ht="23.1" customHeight="1" x14ac:dyDescent="0.25">
      <c r="B74" s="23" t="s">
        <v>114</v>
      </c>
      <c r="C74" s="49">
        <f>AVERAGE('31.10 Maya-Masaka-24h'!C74,'02.11 Maya-Masaka-24h'!C74)</f>
        <v>16</v>
      </c>
      <c r="D74" s="49">
        <f>AVERAGE('31.10 Maya-Masaka-24h'!D74,'02.11 Maya-Masaka-24h'!D74)</f>
        <v>6</v>
      </c>
      <c r="E74" s="49">
        <f>AVERAGE('31.10 Maya-Masaka-24h'!E74,'02.11 Maya-Masaka-24h'!E74)</f>
        <v>2</v>
      </c>
      <c r="F74" s="49">
        <f>AVERAGE('31.10 Maya-Masaka-24h'!F74,'02.11 Maya-Masaka-24h'!F74)</f>
        <v>12</v>
      </c>
      <c r="G74" s="49">
        <f>AVERAGE('31.10 Maya-Masaka-24h'!G74,'02.11 Maya-Masaka-24h'!G74)</f>
        <v>0.5</v>
      </c>
      <c r="H74" s="49">
        <f>AVERAGE('31.10 Maya-Masaka-24h'!H74,'02.11 Maya-Masaka-24h'!H74)</f>
        <v>4</v>
      </c>
      <c r="I74" s="49">
        <f>AVERAGE('31.10 Maya-Masaka-24h'!I74,'02.11 Maya-Masaka-24h'!I74)</f>
        <v>12.5</v>
      </c>
      <c r="J74" s="49">
        <f>AVERAGE('31.10 Maya-Masaka-24h'!J74,'02.11 Maya-Masaka-24h'!J74)</f>
        <v>9</v>
      </c>
      <c r="K74" s="49">
        <f>AVERAGE('31.10 Maya-Masaka-24h'!K74,'02.11 Maya-Masaka-24h'!K74)</f>
        <v>6</v>
      </c>
      <c r="L74" s="49">
        <f>AVERAGE('31.10 Maya-Masaka-24h'!L74,'02.11 Maya-Masaka-24h'!L74)</f>
        <v>2</v>
      </c>
      <c r="M74" s="49">
        <f>AVERAGE('31.10 Maya-Masaka-24h'!M74,'02.11 Maya-Masaka-24h'!M74)</f>
        <v>4.5</v>
      </c>
      <c r="N74" s="49">
        <f>AVERAGE('31.10 Maya-Masaka-24h'!N74,'02.11 Maya-Masaka-24h'!N74)</f>
        <v>0</v>
      </c>
      <c r="O74" s="15">
        <f t="shared" ref="O74:O105" si="35">SUM(C74:L74,N74)</f>
        <v>70</v>
      </c>
      <c r="P74" s="15">
        <f t="shared" ref="P74:P105" si="36">SUM(C74:N74)</f>
        <v>74.5</v>
      </c>
      <c r="R74" s="8"/>
      <c r="T74"/>
    </row>
    <row r="75" spans="2:20" ht="23.1" customHeight="1" x14ac:dyDescent="0.25">
      <c r="B75" s="23" t="s">
        <v>115</v>
      </c>
      <c r="C75" s="49">
        <f>AVERAGE('31.10 Maya-Masaka-24h'!C75,'02.11 Maya-Masaka-24h'!C75)</f>
        <v>17.5</v>
      </c>
      <c r="D75" s="49">
        <f>AVERAGE('31.10 Maya-Masaka-24h'!D75,'02.11 Maya-Masaka-24h'!D75)</f>
        <v>7</v>
      </c>
      <c r="E75" s="49">
        <f>AVERAGE('31.10 Maya-Masaka-24h'!E75,'02.11 Maya-Masaka-24h'!E75)</f>
        <v>1</v>
      </c>
      <c r="F75" s="49">
        <f>AVERAGE('31.10 Maya-Masaka-24h'!F75,'02.11 Maya-Masaka-24h'!F75)</f>
        <v>11.5</v>
      </c>
      <c r="G75" s="49">
        <f>AVERAGE('31.10 Maya-Masaka-24h'!G75,'02.11 Maya-Masaka-24h'!G75)</f>
        <v>0.5</v>
      </c>
      <c r="H75" s="49">
        <f>AVERAGE('31.10 Maya-Masaka-24h'!H75,'02.11 Maya-Masaka-24h'!H75)</f>
        <v>1</v>
      </c>
      <c r="I75" s="49">
        <f>AVERAGE('31.10 Maya-Masaka-24h'!I75,'02.11 Maya-Masaka-24h'!I75)</f>
        <v>10.5</v>
      </c>
      <c r="J75" s="49">
        <f>AVERAGE('31.10 Maya-Masaka-24h'!J75,'02.11 Maya-Masaka-24h'!J75)</f>
        <v>7.5</v>
      </c>
      <c r="K75" s="49">
        <f>AVERAGE('31.10 Maya-Masaka-24h'!K75,'02.11 Maya-Masaka-24h'!K75)</f>
        <v>3</v>
      </c>
      <c r="L75" s="49">
        <f>AVERAGE('31.10 Maya-Masaka-24h'!L75,'02.11 Maya-Masaka-24h'!L75)</f>
        <v>0.5</v>
      </c>
      <c r="M75" s="49">
        <f>AVERAGE('31.10 Maya-Masaka-24h'!M75,'02.11 Maya-Masaka-24h'!M75)</f>
        <v>6</v>
      </c>
      <c r="N75" s="49">
        <f>AVERAGE('31.10 Maya-Masaka-24h'!N75,'02.11 Maya-Masaka-24h'!N75)</f>
        <v>0</v>
      </c>
      <c r="O75" s="15">
        <f t="shared" si="35"/>
        <v>60</v>
      </c>
      <c r="P75" s="15">
        <f t="shared" si="36"/>
        <v>66</v>
      </c>
      <c r="R75" s="8"/>
      <c r="T75"/>
    </row>
    <row r="76" spans="2:20" ht="23.1" customHeight="1" x14ac:dyDescent="0.25">
      <c r="B76" s="23" t="s">
        <v>116</v>
      </c>
      <c r="C76" s="49">
        <f>AVERAGE('31.10 Maya-Masaka-24h'!C76,'02.11 Maya-Masaka-24h'!C76)</f>
        <v>10</v>
      </c>
      <c r="D76" s="49">
        <f>AVERAGE('31.10 Maya-Masaka-24h'!D76,'02.11 Maya-Masaka-24h'!D76)</f>
        <v>3.5</v>
      </c>
      <c r="E76" s="49">
        <f>AVERAGE('31.10 Maya-Masaka-24h'!E76,'02.11 Maya-Masaka-24h'!E76)</f>
        <v>1</v>
      </c>
      <c r="F76" s="49">
        <f>AVERAGE('31.10 Maya-Masaka-24h'!F76,'02.11 Maya-Masaka-24h'!F76)</f>
        <v>6</v>
      </c>
      <c r="G76" s="49">
        <f>AVERAGE('31.10 Maya-Masaka-24h'!G76,'02.11 Maya-Masaka-24h'!G76)</f>
        <v>1.5</v>
      </c>
      <c r="H76" s="49">
        <f>AVERAGE('31.10 Maya-Masaka-24h'!H76,'02.11 Maya-Masaka-24h'!H76)</f>
        <v>2.5</v>
      </c>
      <c r="I76" s="49">
        <f>AVERAGE('31.10 Maya-Masaka-24h'!I76,'02.11 Maya-Masaka-24h'!I76)</f>
        <v>10.5</v>
      </c>
      <c r="J76" s="49">
        <f>AVERAGE('31.10 Maya-Masaka-24h'!J76,'02.11 Maya-Masaka-24h'!J76)</f>
        <v>4.5</v>
      </c>
      <c r="K76" s="49">
        <f>AVERAGE('31.10 Maya-Masaka-24h'!K76,'02.11 Maya-Masaka-24h'!K76)</f>
        <v>3.5</v>
      </c>
      <c r="L76" s="49">
        <f>AVERAGE('31.10 Maya-Masaka-24h'!L76,'02.11 Maya-Masaka-24h'!L76)</f>
        <v>0.5</v>
      </c>
      <c r="M76" s="49">
        <f>AVERAGE('31.10 Maya-Masaka-24h'!M76,'02.11 Maya-Masaka-24h'!M76)</f>
        <v>7.5</v>
      </c>
      <c r="N76" s="49">
        <f>AVERAGE('31.10 Maya-Masaka-24h'!N76,'02.11 Maya-Masaka-24h'!N76)</f>
        <v>0</v>
      </c>
      <c r="O76" s="15">
        <f t="shared" si="35"/>
        <v>43.5</v>
      </c>
      <c r="P76" s="15">
        <f t="shared" si="36"/>
        <v>51</v>
      </c>
      <c r="R76" s="8"/>
      <c r="T76"/>
    </row>
    <row r="77" spans="2:20" ht="23.1" customHeight="1" x14ac:dyDescent="0.25">
      <c r="B77" s="23" t="s">
        <v>117</v>
      </c>
      <c r="C77" s="49">
        <f>AVERAGE('31.10 Maya-Masaka-24h'!C77,'02.11 Maya-Masaka-24h'!C77)</f>
        <v>13.5</v>
      </c>
      <c r="D77" s="49">
        <f>AVERAGE('31.10 Maya-Masaka-24h'!D77,'02.11 Maya-Masaka-24h'!D77)</f>
        <v>2.5</v>
      </c>
      <c r="E77" s="49">
        <f>AVERAGE('31.10 Maya-Masaka-24h'!E77,'02.11 Maya-Masaka-24h'!E77)</f>
        <v>1</v>
      </c>
      <c r="F77" s="49">
        <f>AVERAGE('31.10 Maya-Masaka-24h'!F77,'02.11 Maya-Masaka-24h'!F77)</f>
        <v>11.5</v>
      </c>
      <c r="G77" s="49">
        <f>AVERAGE('31.10 Maya-Masaka-24h'!G77,'02.11 Maya-Masaka-24h'!G77)</f>
        <v>0.5</v>
      </c>
      <c r="H77" s="49">
        <f>AVERAGE('31.10 Maya-Masaka-24h'!H77,'02.11 Maya-Masaka-24h'!H77)</f>
        <v>3</v>
      </c>
      <c r="I77" s="49">
        <f>AVERAGE('31.10 Maya-Masaka-24h'!I77,'02.11 Maya-Masaka-24h'!I77)</f>
        <v>9.5</v>
      </c>
      <c r="J77" s="49">
        <f>AVERAGE('31.10 Maya-Masaka-24h'!J77,'02.11 Maya-Masaka-24h'!J77)</f>
        <v>8</v>
      </c>
      <c r="K77" s="49">
        <f>AVERAGE('31.10 Maya-Masaka-24h'!K77,'02.11 Maya-Masaka-24h'!K77)</f>
        <v>3.5</v>
      </c>
      <c r="L77" s="49">
        <f>AVERAGE('31.10 Maya-Masaka-24h'!L77,'02.11 Maya-Masaka-24h'!L77)</f>
        <v>2.5</v>
      </c>
      <c r="M77" s="49">
        <f>AVERAGE('31.10 Maya-Masaka-24h'!M77,'02.11 Maya-Masaka-24h'!M77)</f>
        <v>8.5</v>
      </c>
      <c r="N77" s="49">
        <f>AVERAGE('31.10 Maya-Masaka-24h'!N77,'02.11 Maya-Masaka-24h'!N77)</f>
        <v>0</v>
      </c>
      <c r="O77" s="15">
        <f t="shared" si="35"/>
        <v>55.5</v>
      </c>
      <c r="P77" s="15">
        <f t="shared" si="36"/>
        <v>64</v>
      </c>
      <c r="R77" s="8"/>
      <c r="T77"/>
    </row>
    <row r="78" spans="2:20" ht="23.1" customHeight="1" x14ac:dyDescent="0.25">
      <c r="B78" s="24" t="s">
        <v>118</v>
      </c>
      <c r="C78" s="49">
        <f>AVERAGE('31.10 Maya-Masaka-24h'!C78,'02.11 Maya-Masaka-24h'!C78)</f>
        <v>6.5</v>
      </c>
      <c r="D78" s="49">
        <f>AVERAGE('31.10 Maya-Masaka-24h'!D78,'02.11 Maya-Masaka-24h'!D78)</f>
        <v>2.5</v>
      </c>
      <c r="E78" s="49">
        <f>AVERAGE('31.10 Maya-Masaka-24h'!E78,'02.11 Maya-Masaka-24h'!E78)</f>
        <v>0</v>
      </c>
      <c r="F78" s="49">
        <f>AVERAGE('31.10 Maya-Masaka-24h'!F78,'02.11 Maya-Masaka-24h'!F78)</f>
        <v>7</v>
      </c>
      <c r="G78" s="49">
        <f>AVERAGE('31.10 Maya-Masaka-24h'!G78,'02.11 Maya-Masaka-24h'!G78)</f>
        <v>0.5</v>
      </c>
      <c r="H78" s="49">
        <f>AVERAGE('31.10 Maya-Masaka-24h'!H78,'02.11 Maya-Masaka-24h'!H78)</f>
        <v>4</v>
      </c>
      <c r="I78" s="49">
        <f>AVERAGE('31.10 Maya-Masaka-24h'!I78,'02.11 Maya-Masaka-24h'!I78)</f>
        <v>5.5</v>
      </c>
      <c r="J78" s="49">
        <f>AVERAGE('31.10 Maya-Masaka-24h'!J78,'02.11 Maya-Masaka-24h'!J78)</f>
        <v>3</v>
      </c>
      <c r="K78" s="49">
        <f>AVERAGE('31.10 Maya-Masaka-24h'!K78,'02.11 Maya-Masaka-24h'!K78)</f>
        <v>2.5</v>
      </c>
      <c r="L78" s="49">
        <f>AVERAGE('31.10 Maya-Masaka-24h'!L78,'02.11 Maya-Masaka-24h'!L78)</f>
        <v>1</v>
      </c>
      <c r="M78" s="49">
        <f>AVERAGE('31.10 Maya-Masaka-24h'!M78,'02.11 Maya-Masaka-24h'!M78)</f>
        <v>5.5</v>
      </c>
      <c r="N78" s="49">
        <f>AVERAGE('31.10 Maya-Masaka-24h'!N78,'02.11 Maya-Masaka-24h'!N78)</f>
        <v>0</v>
      </c>
      <c r="O78" s="15">
        <f t="shared" si="35"/>
        <v>32.5</v>
      </c>
      <c r="P78" s="15">
        <f t="shared" si="36"/>
        <v>38</v>
      </c>
      <c r="R78" s="8"/>
      <c r="T78"/>
    </row>
    <row r="79" spans="2:20" ht="23.1" customHeight="1" x14ac:dyDescent="0.25">
      <c r="B79" s="23" t="s">
        <v>119</v>
      </c>
      <c r="C79" s="49">
        <f>AVERAGE('31.10 Maya-Masaka-24h'!C79,'02.11 Maya-Masaka-24h'!C79)</f>
        <v>6.5</v>
      </c>
      <c r="D79" s="49">
        <f>AVERAGE('31.10 Maya-Masaka-24h'!D79,'02.11 Maya-Masaka-24h'!D79)</f>
        <v>3</v>
      </c>
      <c r="E79" s="49">
        <f>AVERAGE('31.10 Maya-Masaka-24h'!E79,'02.11 Maya-Masaka-24h'!E79)</f>
        <v>3</v>
      </c>
      <c r="F79" s="49">
        <f>AVERAGE('31.10 Maya-Masaka-24h'!F79,'02.11 Maya-Masaka-24h'!F79)</f>
        <v>5</v>
      </c>
      <c r="G79" s="49">
        <f>AVERAGE('31.10 Maya-Masaka-24h'!G79,'02.11 Maya-Masaka-24h'!G79)</f>
        <v>0.5</v>
      </c>
      <c r="H79" s="49">
        <f>AVERAGE('31.10 Maya-Masaka-24h'!H79,'02.11 Maya-Masaka-24h'!H79)</f>
        <v>2.5</v>
      </c>
      <c r="I79" s="49">
        <f>AVERAGE('31.10 Maya-Masaka-24h'!I79,'02.11 Maya-Masaka-24h'!I79)</f>
        <v>9.5</v>
      </c>
      <c r="J79" s="49">
        <f>AVERAGE('31.10 Maya-Masaka-24h'!J79,'02.11 Maya-Masaka-24h'!J79)</f>
        <v>6</v>
      </c>
      <c r="K79" s="49">
        <f>AVERAGE('31.10 Maya-Masaka-24h'!K79,'02.11 Maya-Masaka-24h'!K79)</f>
        <v>3</v>
      </c>
      <c r="L79" s="49">
        <f>AVERAGE('31.10 Maya-Masaka-24h'!L79,'02.11 Maya-Masaka-24h'!L79)</f>
        <v>2.5</v>
      </c>
      <c r="M79" s="49">
        <f>AVERAGE('31.10 Maya-Masaka-24h'!M79,'02.11 Maya-Masaka-24h'!M79)</f>
        <v>4.5</v>
      </c>
      <c r="N79" s="49">
        <f>AVERAGE('31.10 Maya-Masaka-24h'!N79,'02.11 Maya-Masaka-24h'!N79)</f>
        <v>0</v>
      </c>
      <c r="O79" s="15">
        <f t="shared" si="35"/>
        <v>41.5</v>
      </c>
      <c r="P79" s="15">
        <f t="shared" si="36"/>
        <v>46</v>
      </c>
      <c r="R79" s="8"/>
      <c r="T79"/>
    </row>
    <row r="80" spans="2:20" ht="23.1" customHeight="1" x14ac:dyDescent="0.25">
      <c r="B80" s="25" t="s">
        <v>120</v>
      </c>
      <c r="C80" s="49">
        <f>AVERAGE('31.10 Maya-Masaka-24h'!C80,'02.11 Maya-Masaka-24h'!C80)</f>
        <v>9</v>
      </c>
      <c r="D80" s="49">
        <f>AVERAGE('31.10 Maya-Masaka-24h'!D80,'02.11 Maya-Masaka-24h'!D80)</f>
        <v>1</v>
      </c>
      <c r="E80" s="49">
        <f>AVERAGE('31.10 Maya-Masaka-24h'!E80,'02.11 Maya-Masaka-24h'!E80)</f>
        <v>0.5</v>
      </c>
      <c r="F80" s="49">
        <f>AVERAGE('31.10 Maya-Masaka-24h'!F80,'02.11 Maya-Masaka-24h'!F80)</f>
        <v>2.5</v>
      </c>
      <c r="G80" s="49">
        <f>AVERAGE('31.10 Maya-Masaka-24h'!G80,'02.11 Maya-Masaka-24h'!G80)</f>
        <v>0</v>
      </c>
      <c r="H80" s="49">
        <f>AVERAGE('31.10 Maya-Masaka-24h'!H80,'02.11 Maya-Masaka-24h'!H80)</f>
        <v>3.5</v>
      </c>
      <c r="I80" s="49">
        <f>AVERAGE('31.10 Maya-Masaka-24h'!I80,'02.11 Maya-Masaka-24h'!I80)</f>
        <v>9.5</v>
      </c>
      <c r="J80" s="49">
        <f>AVERAGE('31.10 Maya-Masaka-24h'!J80,'02.11 Maya-Masaka-24h'!J80)</f>
        <v>7</v>
      </c>
      <c r="K80" s="49">
        <f>AVERAGE('31.10 Maya-Masaka-24h'!K80,'02.11 Maya-Masaka-24h'!K80)</f>
        <v>2</v>
      </c>
      <c r="L80" s="49">
        <f>AVERAGE('31.10 Maya-Masaka-24h'!L80,'02.11 Maya-Masaka-24h'!L80)</f>
        <v>2.5</v>
      </c>
      <c r="M80" s="49">
        <f>AVERAGE('31.10 Maya-Masaka-24h'!M80,'02.11 Maya-Masaka-24h'!M80)</f>
        <v>3.5</v>
      </c>
      <c r="N80" s="49">
        <f>AVERAGE('31.10 Maya-Masaka-24h'!N80,'02.11 Maya-Masaka-24h'!N80)</f>
        <v>0</v>
      </c>
      <c r="O80" s="15">
        <f t="shared" si="35"/>
        <v>37.5</v>
      </c>
      <c r="P80" s="15">
        <f t="shared" si="36"/>
        <v>41</v>
      </c>
      <c r="R80" s="8"/>
      <c r="T80"/>
    </row>
    <row r="81" spans="2:20" ht="23.1" customHeight="1" x14ac:dyDescent="0.25">
      <c r="B81" s="23" t="s">
        <v>121</v>
      </c>
      <c r="C81" s="49">
        <f>AVERAGE('31.10 Maya-Masaka-24h'!C81,'02.11 Maya-Masaka-24h'!C81)</f>
        <v>7.5</v>
      </c>
      <c r="D81" s="49">
        <f>AVERAGE('31.10 Maya-Masaka-24h'!D81,'02.11 Maya-Masaka-24h'!D81)</f>
        <v>5</v>
      </c>
      <c r="E81" s="49">
        <f>AVERAGE('31.10 Maya-Masaka-24h'!E81,'02.11 Maya-Masaka-24h'!E81)</f>
        <v>1</v>
      </c>
      <c r="F81" s="49">
        <f>AVERAGE('31.10 Maya-Masaka-24h'!F81,'02.11 Maya-Masaka-24h'!F81)</f>
        <v>5.5</v>
      </c>
      <c r="G81" s="49">
        <f>AVERAGE('31.10 Maya-Masaka-24h'!G81,'02.11 Maya-Masaka-24h'!G81)</f>
        <v>0</v>
      </c>
      <c r="H81" s="49">
        <f>AVERAGE('31.10 Maya-Masaka-24h'!H81,'02.11 Maya-Masaka-24h'!H81)</f>
        <v>2.5</v>
      </c>
      <c r="I81" s="49">
        <f>AVERAGE('31.10 Maya-Masaka-24h'!I81,'02.11 Maya-Masaka-24h'!I81)</f>
        <v>11</v>
      </c>
      <c r="J81" s="49">
        <f>AVERAGE('31.10 Maya-Masaka-24h'!J81,'02.11 Maya-Masaka-24h'!J81)</f>
        <v>3</v>
      </c>
      <c r="K81" s="49">
        <f>AVERAGE('31.10 Maya-Masaka-24h'!K81,'02.11 Maya-Masaka-24h'!K81)</f>
        <v>3</v>
      </c>
      <c r="L81" s="49">
        <f>AVERAGE('31.10 Maya-Masaka-24h'!L81,'02.11 Maya-Masaka-24h'!L81)</f>
        <v>1</v>
      </c>
      <c r="M81" s="49">
        <f>AVERAGE('31.10 Maya-Masaka-24h'!M81,'02.11 Maya-Masaka-24h'!M81)</f>
        <v>2</v>
      </c>
      <c r="N81" s="49">
        <f>AVERAGE('31.10 Maya-Masaka-24h'!N81,'02.11 Maya-Masaka-24h'!N81)</f>
        <v>0</v>
      </c>
      <c r="O81" s="15">
        <f t="shared" si="35"/>
        <v>39.5</v>
      </c>
      <c r="P81" s="15">
        <f t="shared" si="36"/>
        <v>41.5</v>
      </c>
      <c r="R81" s="8"/>
      <c r="T81"/>
    </row>
    <row r="82" spans="2:20" ht="23.1" customHeight="1" x14ac:dyDescent="0.25">
      <c r="B82" s="24" t="s">
        <v>122</v>
      </c>
      <c r="C82" s="49">
        <f>AVERAGE('31.10 Maya-Masaka-24h'!C82,'02.11 Maya-Masaka-24h'!C82)</f>
        <v>4</v>
      </c>
      <c r="D82" s="49">
        <f>AVERAGE('31.10 Maya-Masaka-24h'!D82,'02.11 Maya-Masaka-24h'!D82)</f>
        <v>2</v>
      </c>
      <c r="E82" s="49">
        <f>AVERAGE('31.10 Maya-Masaka-24h'!E82,'02.11 Maya-Masaka-24h'!E82)</f>
        <v>1</v>
      </c>
      <c r="F82" s="49">
        <f>AVERAGE('31.10 Maya-Masaka-24h'!F82,'02.11 Maya-Masaka-24h'!F82)</f>
        <v>0.5</v>
      </c>
      <c r="G82" s="49">
        <f>AVERAGE('31.10 Maya-Masaka-24h'!G82,'02.11 Maya-Masaka-24h'!G82)</f>
        <v>0</v>
      </c>
      <c r="H82" s="49">
        <f>AVERAGE('31.10 Maya-Masaka-24h'!H82,'02.11 Maya-Masaka-24h'!H82)</f>
        <v>0</v>
      </c>
      <c r="I82" s="49">
        <f>AVERAGE('31.10 Maya-Masaka-24h'!I82,'02.11 Maya-Masaka-24h'!I82)</f>
        <v>3.5</v>
      </c>
      <c r="J82" s="49">
        <f>AVERAGE('31.10 Maya-Masaka-24h'!J82,'02.11 Maya-Masaka-24h'!J82)</f>
        <v>2.5</v>
      </c>
      <c r="K82" s="49">
        <f>AVERAGE('31.10 Maya-Masaka-24h'!K82,'02.11 Maya-Masaka-24h'!K82)</f>
        <v>0.5</v>
      </c>
      <c r="L82" s="49">
        <f>AVERAGE('31.10 Maya-Masaka-24h'!L82,'02.11 Maya-Masaka-24h'!L82)</f>
        <v>1.5</v>
      </c>
      <c r="M82" s="49">
        <f>AVERAGE('31.10 Maya-Masaka-24h'!M82,'02.11 Maya-Masaka-24h'!M82)</f>
        <v>1</v>
      </c>
      <c r="N82" s="49">
        <f>AVERAGE('31.10 Maya-Masaka-24h'!N82,'02.11 Maya-Masaka-24h'!N82)</f>
        <v>0</v>
      </c>
      <c r="O82" s="15">
        <f t="shared" si="35"/>
        <v>15.5</v>
      </c>
      <c r="P82" s="15">
        <f t="shared" si="36"/>
        <v>16.5</v>
      </c>
      <c r="R82" s="8"/>
      <c r="T82"/>
    </row>
    <row r="83" spans="2:20" ht="23.1" customHeight="1" x14ac:dyDescent="0.25">
      <c r="B83" s="23" t="s">
        <v>123</v>
      </c>
      <c r="C83" s="49">
        <f>AVERAGE('31.10 Maya-Masaka-24h'!C83,'02.11 Maya-Masaka-24h'!C83)</f>
        <v>2.5</v>
      </c>
      <c r="D83" s="49">
        <f>AVERAGE('31.10 Maya-Masaka-24h'!D83,'02.11 Maya-Masaka-24h'!D83)</f>
        <v>1</v>
      </c>
      <c r="E83" s="49">
        <f>AVERAGE('31.10 Maya-Masaka-24h'!E83,'02.11 Maya-Masaka-24h'!E83)</f>
        <v>0.5</v>
      </c>
      <c r="F83" s="49">
        <f>AVERAGE('31.10 Maya-Masaka-24h'!F83,'02.11 Maya-Masaka-24h'!F83)</f>
        <v>2</v>
      </c>
      <c r="G83" s="49">
        <f>AVERAGE('31.10 Maya-Masaka-24h'!G83,'02.11 Maya-Masaka-24h'!G83)</f>
        <v>0.5</v>
      </c>
      <c r="H83" s="49">
        <f>AVERAGE('31.10 Maya-Masaka-24h'!H83,'02.11 Maya-Masaka-24h'!H83)</f>
        <v>0</v>
      </c>
      <c r="I83" s="49">
        <f>AVERAGE('31.10 Maya-Masaka-24h'!I83,'02.11 Maya-Masaka-24h'!I83)</f>
        <v>9</v>
      </c>
      <c r="J83" s="49">
        <f>AVERAGE('31.10 Maya-Masaka-24h'!J83,'02.11 Maya-Masaka-24h'!J83)</f>
        <v>4.5</v>
      </c>
      <c r="K83" s="49">
        <f>AVERAGE('31.10 Maya-Masaka-24h'!K83,'02.11 Maya-Masaka-24h'!K83)</f>
        <v>1</v>
      </c>
      <c r="L83" s="49">
        <f>AVERAGE('31.10 Maya-Masaka-24h'!L83,'02.11 Maya-Masaka-24h'!L83)</f>
        <v>0.5</v>
      </c>
      <c r="M83" s="49">
        <f>AVERAGE('31.10 Maya-Masaka-24h'!M83,'02.11 Maya-Masaka-24h'!M83)</f>
        <v>1.5</v>
      </c>
      <c r="N83" s="49">
        <f>AVERAGE('31.10 Maya-Masaka-24h'!N83,'02.11 Maya-Masaka-24h'!N83)</f>
        <v>0</v>
      </c>
      <c r="O83" s="15">
        <f t="shared" si="35"/>
        <v>21.5</v>
      </c>
      <c r="P83" s="15">
        <f t="shared" si="36"/>
        <v>23</v>
      </c>
      <c r="R83" s="8"/>
      <c r="T83"/>
    </row>
    <row r="84" spans="2:20" ht="23.1" customHeight="1" x14ac:dyDescent="0.25">
      <c r="B84" s="25" t="s">
        <v>124</v>
      </c>
      <c r="C84" s="49">
        <f>AVERAGE('31.10 Maya-Masaka-24h'!C84,'02.11 Maya-Masaka-24h'!C84)</f>
        <v>4</v>
      </c>
      <c r="D84" s="49">
        <f>AVERAGE('31.10 Maya-Masaka-24h'!D84,'02.11 Maya-Masaka-24h'!D84)</f>
        <v>1</v>
      </c>
      <c r="E84" s="49">
        <f>AVERAGE('31.10 Maya-Masaka-24h'!E84,'02.11 Maya-Masaka-24h'!E84)</f>
        <v>1</v>
      </c>
      <c r="F84" s="49">
        <f>AVERAGE('31.10 Maya-Masaka-24h'!F84,'02.11 Maya-Masaka-24h'!F84)</f>
        <v>0</v>
      </c>
      <c r="G84" s="49">
        <f>AVERAGE('31.10 Maya-Masaka-24h'!G84,'02.11 Maya-Masaka-24h'!G84)</f>
        <v>0</v>
      </c>
      <c r="H84" s="49">
        <f>AVERAGE('31.10 Maya-Masaka-24h'!H84,'02.11 Maya-Masaka-24h'!H84)</f>
        <v>2.5</v>
      </c>
      <c r="I84" s="49">
        <f>AVERAGE('31.10 Maya-Masaka-24h'!I84,'02.11 Maya-Masaka-24h'!I84)</f>
        <v>9</v>
      </c>
      <c r="J84" s="49">
        <f>AVERAGE('31.10 Maya-Masaka-24h'!J84,'02.11 Maya-Masaka-24h'!J84)</f>
        <v>2</v>
      </c>
      <c r="K84" s="49">
        <f>AVERAGE('31.10 Maya-Masaka-24h'!K84,'02.11 Maya-Masaka-24h'!K84)</f>
        <v>2</v>
      </c>
      <c r="L84" s="49">
        <f>AVERAGE('31.10 Maya-Masaka-24h'!L84,'02.11 Maya-Masaka-24h'!L84)</f>
        <v>0</v>
      </c>
      <c r="M84" s="49">
        <f>AVERAGE('31.10 Maya-Masaka-24h'!M84,'02.11 Maya-Masaka-24h'!M84)</f>
        <v>0.5</v>
      </c>
      <c r="N84" s="49">
        <f>AVERAGE('31.10 Maya-Masaka-24h'!N84,'02.11 Maya-Masaka-24h'!N84)</f>
        <v>0</v>
      </c>
      <c r="O84" s="15">
        <f t="shared" si="35"/>
        <v>21.5</v>
      </c>
      <c r="P84" s="15">
        <f t="shared" si="36"/>
        <v>22</v>
      </c>
      <c r="R84" s="8"/>
      <c r="T84"/>
    </row>
    <row r="85" spans="2:20" ht="23.1" customHeight="1" x14ac:dyDescent="0.25">
      <c r="B85" s="23" t="s">
        <v>125</v>
      </c>
      <c r="C85" s="49">
        <f>AVERAGE('31.10 Maya-Masaka-24h'!C85,'02.11 Maya-Masaka-24h'!C85)</f>
        <v>3</v>
      </c>
      <c r="D85" s="49">
        <f>AVERAGE('31.10 Maya-Masaka-24h'!D85,'02.11 Maya-Masaka-24h'!D85)</f>
        <v>0</v>
      </c>
      <c r="E85" s="49">
        <f>AVERAGE('31.10 Maya-Masaka-24h'!E85,'02.11 Maya-Masaka-24h'!E85)</f>
        <v>0.5</v>
      </c>
      <c r="F85" s="49">
        <f>AVERAGE('31.10 Maya-Masaka-24h'!F85,'02.11 Maya-Masaka-24h'!F85)</f>
        <v>0.5</v>
      </c>
      <c r="G85" s="49">
        <f>AVERAGE('31.10 Maya-Masaka-24h'!G85,'02.11 Maya-Masaka-24h'!G85)</f>
        <v>0</v>
      </c>
      <c r="H85" s="49">
        <f>AVERAGE('31.10 Maya-Masaka-24h'!H85,'02.11 Maya-Masaka-24h'!H85)</f>
        <v>1</v>
      </c>
      <c r="I85" s="49">
        <f>AVERAGE('31.10 Maya-Masaka-24h'!I85,'02.11 Maya-Masaka-24h'!I85)</f>
        <v>4</v>
      </c>
      <c r="J85" s="49">
        <f>AVERAGE('31.10 Maya-Masaka-24h'!J85,'02.11 Maya-Masaka-24h'!J85)</f>
        <v>2.5</v>
      </c>
      <c r="K85" s="49">
        <f>AVERAGE('31.10 Maya-Masaka-24h'!K85,'02.11 Maya-Masaka-24h'!K85)</f>
        <v>4</v>
      </c>
      <c r="L85" s="49">
        <f>AVERAGE('31.10 Maya-Masaka-24h'!L85,'02.11 Maya-Masaka-24h'!L85)</f>
        <v>0.5</v>
      </c>
      <c r="M85" s="49">
        <f>AVERAGE('31.10 Maya-Masaka-24h'!M85,'02.11 Maya-Masaka-24h'!M85)</f>
        <v>2.5</v>
      </c>
      <c r="N85" s="49">
        <f>AVERAGE('31.10 Maya-Masaka-24h'!N85,'02.11 Maya-Masaka-24h'!N85)</f>
        <v>0</v>
      </c>
      <c r="O85" s="15">
        <f t="shared" si="35"/>
        <v>16</v>
      </c>
      <c r="P85" s="15">
        <f t="shared" si="36"/>
        <v>18.5</v>
      </c>
      <c r="R85" s="8"/>
      <c r="T85"/>
    </row>
    <row r="86" spans="2:20" ht="23.1" customHeight="1" x14ac:dyDescent="0.25">
      <c r="B86" s="24" t="s">
        <v>126</v>
      </c>
      <c r="C86" s="49">
        <f>AVERAGE('31.10 Maya-Masaka-24h'!C86,'02.11 Maya-Masaka-24h'!C86)</f>
        <v>3.5</v>
      </c>
      <c r="D86" s="49">
        <f>AVERAGE('31.10 Maya-Masaka-24h'!D86,'02.11 Maya-Masaka-24h'!D86)</f>
        <v>0</v>
      </c>
      <c r="E86" s="49">
        <f>AVERAGE('31.10 Maya-Masaka-24h'!E86,'02.11 Maya-Masaka-24h'!E86)</f>
        <v>1</v>
      </c>
      <c r="F86" s="49">
        <f>AVERAGE('31.10 Maya-Masaka-24h'!F86,'02.11 Maya-Masaka-24h'!F86)</f>
        <v>0.5</v>
      </c>
      <c r="G86" s="49">
        <f>AVERAGE('31.10 Maya-Masaka-24h'!G86,'02.11 Maya-Masaka-24h'!G86)</f>
        <v>0</v>
      </c>
      <c r="H86" s="49">
        <f>AVERAGE('31.10 Maya-Masaka-24h'!H86,'02.11 Maya-Masaka-24h'!H86)</f>
        <v>0.5</v>
      </c>
      <c r="I86" s="49">
        <f>AVERAGE('31.10 Maya-Masaka-24h'!I86,'02.11 Maya-Masaka-24h'!I86)</f>
        <v>6</v>
      </c>
      <c r="J86" s="49">
        <f>AVERAGE('31.10 Maya-Masaka-24h'!J86,'02.11 Maya-Masaka-24h'!J86)</f>
        <v>1.5</v>
      </c>
      <c r="K86" s="49">
        <f>AVERAGE('31.10 Maya-Masaka-24h'!K86,'02.11 Maya-Masaka-24h'!K86)</f>
        <v>2</v>
      </c>
      <c r="L86" s="49">
        <f>AVERAGE('31.10 Maya-Masaka-24h'!L86,'02.11 Maya-Masaka-24h'!L86)</f>
        <v>1</v>
      </c>
      <c r="M86" s="49">
        <f>AVERAGE('31.10 Maya-Masaka-24h'!M86,'02.11 Maya-Masaka-24h'!M86)</f>
        <v>1.5</v>
      </c>
      <c r="N86" s="49">
        <f>AVERAGE('31.10 Maya-Masaka-24h'!N86,'02.11 Maya-Masaka-24h'!N86)</f>
        <v>0</v>
      </c>
      <c r="O86" s="15">
        <f t="shared" si="35"/>
        <v>16</v>
      </c>
      <c r="P86" s="15">
        <f t="shared" si="36"/>
        <v>17.5</v>
      </c>
      <c r="R86" s="8"/>
      <c r="T86"/>
    </row>
    <row r="87" spans="2:20" ht="23.1" customHeight="1" x14ac:dyDescent="0.25">
      <c r="B87" s="23" t="s">
        <v>127</v>
      </c>
      <c r="C87" s="49">
        <f>AVERAGE('31.10 Maya-Masaka-24h'!C87,'02.11 Maya-Masaka-24h'!C87)</f>
        <v>0.5</v>
      </c>
      <c r="D87" s="49">
        <f>AVERAGE('31.10 Maya-Masaka-24h'!D87,'02.11 Maya-Masaka-24h'!D87)</f>
        <v>0</v>
      </c>
      <c r="E87" s="49">
        <f>AVERAGE('31.10 Maya-Masaka-24h'!E87,'02.11 Maya-Masaka-24h'!E87)</f>
        <v>1</v>
      </c>
      <c r="F87" s="49">
        <f>AVERAGE('31.10 Maya-Masaka-24h'!F87,'02.11 Maya-Masaka-24h'!F87)</f>
        <v>2</v>
      </c>
      <c r="G87" s="49">
        <f>AVERAGE('31.10 Maya-Masaka-24h'!G87,'02.11 Maya-Masaka-24h'!G87)</f>
        <v>0</v>
      </c>
      <c r="H87" s="49">
        <f>AVERAGE('31.10 Maya-Masaka-24h'!H87,'02.11 Maya-Masaka-24h'!H87)</f>
        <v>0.5</v>
      </c>
      <c r="I87" s="49">
        <f>AVERAGE('31.10 Maya-Masaka-24h'!I87,'02.11 Maya-Masaka-24h'!I87)</f>
        <v>4.5</v>
      </c>
      <c r="J87" s="49">
        <f>AVERAGE('31.10 Maya-Masaka-24h'!J87,'02.11 Maya-Masaka-24h'!J87)</f>
        <v>3</v>
      </c>
      <c r="K87" s="49">
        <f>AVERAGE('31.10 Maya-Masaka-24h'!K87,'02.11 Maya-Masaka-24h'!K87)</f>
        <v>2</v>
      </c>
      <c r="L87" s="49">
        <f>AVERAGE('31.10 Maya-Masaka-24h'!L87,'02.11 Maya-Masaka-24h'!L87)</f>
        <v>3</v>
      </c>
      <c r="M87" s="49">
        <f>AVERAGE('31.10 Maya-Masaka-24h'!M87,'02.11 Maya-Masaka-24h'!M87)</f>
        <v>1</v>
      </c>
      <c r="N87" s="49">
        <f>AVERAGE('31.10 Maya-Masaka-24h'!N87,'02.11 Maya-Masaka-24h'!N87)</f>
        <v>0</v>
      </c>
      <c r="O87" s="15">
        <f t="shared" si="35"/>
        <v>16.5</v>
      </c>
      <c r="P87" s="15">
        <f t="shared" si="36"/>
        <v>17.5</v>
      </c>
      <c r="R87" s="8"/>
      <c r="T87"/>
    </row>
    <row r="88" spans="2:20" ht="23.1" customHeight="1" x14ac:dyDescent="0.25">
      <c r="B88" s="25" t="s">
        <v>128</v>
      </c>
      <c r="C88" s="49">
        <f>AVERAGE('31.10 Maya-Masaka-24h'!C88,'02.11 Maya-Masaka-24h'!C88)</f>
        <v>1.5</v>
      </c>
      <c r="D88" s="49">
        <f>AVERAGE('31.10 Maya-Masaka-24h'!D88,'02.11 Maya-Masaka-24h'!D88)</f>
        <v>0.5</v>
      </c>
      <c r="E88" s="49">
        <f>AVERAGE('31.10 Maya-Masaka-24h'!E88,'02.11 Maya-Masaka-24h'!E88)</f>
        <v>0</v>
      </c>
      <c r="F88" s="49">
        <f>AVERAGE('31.10 Maya-Masaka-24h'!F88,'02.11 Maya-Masaka-24h'!F88)</f>
        <v>0</v>
      </c>
      <c r="G88" s="49">
        <f>AVERAGE('31.10 Maya-Masaka-24h'!G88,'02.11 Maya-Masaka-24h'!G88)</f>
        <v>0</v>
      </c>
      <c r="H88" s="49">
        <f>AVERAGE('31.10 Maya-Masaka-24h'!H88,'02.11 Maya-Masaka-24h'!H88)</f>
        <v>1</v>
      </c>
      <c r="I88" s="49">
        <f>AVERAGE('31.10 Maya-Masaka-24h'!I88,'02.11 Maya-Masaka-24h'!I88)</f>
        <v>4</v>
      </c>
      <c r="J88" s="49">
        <f>AVERAGE('31.10 Maya-Masaka-24h'!J88,'02.11 Maya-Masaka-24h'!J88)</f>
        <v>2</v>
      </c>
      <c r="K88" s="49">
        <f>AVERAGE('31.10 Maya-Masaka-24h'!K88,'02.11 Maya-Masaka-24h'!K88)</f>
        <v>1</v>
      </c>
      <c r="L88" s="49">
        <f>AVERAGE('31.10 Maya-Masaka-24h'!L88,'02.11 Maya-Masaka-24h'!L88)</f>
        <v>1.5</v>
      </c>
      <c r="M88" s="49">
        <f>AVERAGE('31.10 Maya-Masaka-24h'!M88,'02.11 Maya-Masaka-24h'!M88)</f>
        <v>0.5</v>
      </c>
      <c r="N88" s="49">
        <f>AVERAGE('31.10 Maya-Masaka-24h'!N88,'02.11 Maya-Masaka-24h'!N88)</f>
        <v>0</v>
      </c>
      <c r="O88" s="15">
        <f t="shared" si="35"/>
        <v>11.5</v>
      </c>
      <c r="P88" s="15">
        <f t="shared" si="36"/>
        <v>12</v>
      </c>
      <c r="R88" s="8"/>
      <c r="T88"/>
    </row>
    <row r="89" spans="2:20" ht="23.1" customHeight="1" x14ac:dyDescent="0.25">
      <c r="B89" s="23" t="s">
        <v>129</v>
      </c>
      <c r="C89" s="49">
        <f>AVERAGE('31.10 Maya-Masaka-24h'!C89,'02.11 Maya-Masaka-24h'!C89)</f>
        <v>3.5</v>
      </c>
      <c r="D89" s="49">
        <f>AVERAGE('31.10 Maya-Masaka-24h'!D89,'02.11 Maya-Masaka-24h'!D89)</f>
        <v>1</v>
      </c>
      <c r="E89" s="49">
        <f>AVERAGE('31.10 Maya-Masaka-24h'!E89,'02.11 Maya-Masaka-24h'!E89)</f>
        <v>0</v>
      </c>
      <c r="F89" s="49">
        <f>AVERAGE('31.10 Maya-Masaka-24h'!F89,'02.11 Maya-Masaka-24h'!F89)</f>
        <v>0</v>
      </c>
      <c r="G89" s="49">
        <f>AVERAGE('31.10 Maya-Masaka-24h'!G89,'02.11 Maya-Masaka-24h'!G89)</f>
        <v>0.5</v>
      </c>
      <c r="H89" s="49">
        <f>AVERAGE('31.10 Maya-Masaka-24h'!H89,'02.11 Maya-Masaka-24h'!H89)</f>
        <v>1</v>
      </c>
      <c r="I89" s="49">
        <f>AVERAGE('31.10 Maya-Masaka-24h'!I89,'02.11 Maya-Masaka-24h'!I89)</f>
        <v>7.5</v>
      </c>
      <c r="J89" s="49">
        <f>AVERAGE('31.10 Maya-Masaka-24h'!J89,'02.11 Maya-Masaka-24h'!J89)</f>
        <v>2.5</v>
      </c>
      <c r="K89" s="49">
        <f>AVERAGE('31.10 Maya-Masaka-24h'!K89,'02.11 Maya-Masaka-24h'!K89)</f>
        <v>1.5</v>
      </c>
      <c r="L89" s="49">
        <f>AVERAGE('31.10 Maya-Masaka-24h'!L89,'02.11 Maya-Masaka-24h'!L89)</f>
        <v>1</v>
      </c>
      <c r="M89" s="49">
        <f>AVERAGE('31.10 Maya-Masaka-24h'!M89,'02.11 Maya-Masaka-24h'!M89)</f>
        <v>1.5</v>
      </c>
      <c r="N89" s="49">
        <f>AVERAGE('31.10 Maya-Masaka-24h'!N89,'02.11 Maya-Masaka-24h'!N89)</f>
        <v>0</v>
      </c>
      <c r="O89" s="15">
        <f t="shared" si="35"/>
        <v>18.5</v>
      </c>
      <c r="P89" s="15">
        <f t="shared" si="36"/>
        <v>20</v>
      </c>
      <c r="R89" s="8"/>
      <c r="T89"/>
    </row>
    <row r="90" spans="2:20" ht="23.1" customHeight="1" x14ac:dyDescent="0.25">
      <c r="B90" s="24" t="s">
        <v>130</v>
      </c>
      <c r="C90" s="49">
        <f>AVERAGE('31.10 Maya-Masaka-24h'!C90,'02.11 Maya-Masaka-24h'!C90)</f>
        <v>2</v>
      </c>
      <c r="D90" s="49">
        <f>AVERAGE('31.10 Maya-Masaka-24h'!D90,'02.11 Maya-Masaka-24h'!D90)</f>
        <v>1</v>
      </c>
      <c r="E90" s="49">
        <f>AVERAGE('31.10 Maya-Masaka-24h'!E90,'02.11 Maya-Masaka-24h'!E90)</f>
        <v>0</v>
      </c>
      <c r="F90" s="49">
        <f>AVERAGE('31.10 Maya-Masaka-24h'!F90,'02.11 Maya-Masaka-24h'!F90)</f>
        <v>0</v>
      </c>
      <c r="G90" s="49">
        <f>AVERAGE('31.10 Maya-Masaka-24h'!G90,'02.11 Maya-Masaka-24h'!G90)</f>
        <v>0</v>
      </c>
      <c r="H90" s="49">
        <f>AVERAGE('31.10 Maya-Masaka-24h'!H90,'02.11 Maya-Masaka-24h'!H90)</f>
        <v>0</v>
      </c>
      <c r="I90" s="49">
        <f>AVERAGE('31.10 Maya-Masaka-24h'!I90,'02.11 Maya-Masaka-24h'!I90)</f>
        <v>3.5</v>
      </c>
      <c r="J90" s="49">
        <f>AVERAGE('31.10 Maya-Masaka-24h'!J90,'02.11 Maya-Masaka-24h'!J90)</f>
        <v>0</v>
      </c>
      <c r="K90" s="49">
        <f>AVERAGE('31.10 Maya-Masaka-24h'!K90,'02.11 Maya-Masaka-24h'!K90)</f>
        <v>2</v>
      </c>
      <c r="L90" s="49">
        <f>AVERAGE('31.10 Maya-Masaka-24h'!L90,'02.11 Maya-Masaka-24h'!L90)</f>
        <v>1</v>
      </c>
      <c r="M90" s="49">
        <f>AVERAGE('31.10 Maya-Masaka-24h'!M90,'02.11 Maya-Masaka-24h'!M90)</f>
        <v>1</v>
      </c>
      <c r="N90" s="49">
        <f>AVERAGE('31.10 Maya-Masaka-24h'!N90,'02.11 Maya-Masaka-24h'!N90)</f>
        <v>0</v>
      </c>
      <c r="O90" s="15">
        <f t="shared" si="35"/>
        <v>9.5</v>
      </c>
      <c r="P90" s="15">
        <f t="shared" si="36"/>
        <v>10.5</v>
      </c>
      <c r="R90" s="8"/>
      <c r="T90"/>
    </row>
    <row r="91" spans="2:20" ht="23.1" customHeight="1" x14ac:dyDescent="0.25">
      <c r="B91" s="23" t="s">
        <v>131</v>
      </c>
      <c r="C91" s="49">
        <f>AVERAGE('31.10 Maya-Masaka-24h'!C91,'02.11 Maya-Masaka-24h'!C91)</f>
        <v>1.5</v>
      </c>
      <c r="D91" s="49">
        <f>AVERAGE('31.10 Maya-Masaka-24h'!D91,'02.11 Maya-Masaka-24h'!D91)</f>
        <v>0</v>
      </c>
      <c r="E91" s="49">
        <f>AVERAGE('31.10 Maya-Masaka-24h'!E91,'02.11 Maya-Masaka-24h'!E91)</f>
        <v>0.5</v>
      </c>
      <c r="F91" s="49">
        <f>AVERAGE('31.10 Maya-Masaka-24h'!F91,'02.11 Maya-Masaka-24h'!F91)</f>
        <v>0</v>
      </c>
      <c r="G91" s="49">
        <f>AVERAGE('31.10 Maya-Masaka-24h'!G91,'02.11 Maya-Masaka-24h'!G91)</f>
        <v>0</v>
      </c>
      <c r="H91" s="49">
        <f>AVERAGE('31.10 Maya-Masaka-24h'!H91,'02.11 Maya-Masaka-24h'!H91)</f>
        <v>0</v>
      </c>
      <c r="I91" s="49">
        <f>AVERAGE('31.10 Maya-Masaka-24h'!I91,'02.11 Maya-Masaka-24h'!I91)</f>
        <v>7</v>
      </c>
      <c r="J91" s="49">
        <f>AVERAGE('31.10 Maya-Masaka-24h'!J91,'02.11 Maya-Masaka-24h'!J91)</f>
        <v>1.5</v>
      </c>
      <c r="K91" s="49">
        <f>AVERAGE('31.10 Maya-Masaka-24h'!K91,'02.11 Maya-Masaka-24h'!K91)</f>
        <v>2</v>
      </c>
      <c r="L91" s="49">
        <f>AVERAGE('31.10 Maya-Masaka-24h'!L91,'02.11 Maya-Masaka-24h'!L91)</f>
        <v>0.5</v>
      </c>
      <c r="M91" s="49">
        <f>AVERAGE('31.10 Maya-Masaka-24h'!M91,'02.11 Maya-Masaka-24h'!M91)</f>
        <v>1</v>
      </c>
      <c r="N91" s="49">
        <f>AVERAGE('31.10 Maya-Masaka-24h'!N91,'02.11 Maya-Masaka-24h'!N91)</f>
        <v>0</v>
      </c>
      <c r="O91" s="15">
        <f t="shared" si="35"/>
        <v>13</v>
      </c>
      <c r="P91" s="15">
        <f t="shared" si="36"/>
        <v>14</v>
      </c>
      <c r="R91" s="8"/>
      <c r="T91"/>
    </row>
    <row r="92" spans="2:20" ht="23.1" customHeight="1" x14ac:dyDescent="0.25">
      <c r="B92" s="25" t="s">
        <v>132</v>
      </c>
      <c r="C92" s="49">
        <f>AVERAGE('31.10 Maya-Masaka-24h'!C92,'02.11 Maya-Masaka-24h'!C92)</f>
        <v>1.5</v>
      </c>
      <c r="D92" s="49">
        <f>AVERAGE('31.10 Maya-Masaka-24h'!D92,'02.11 Maya-Masaka-24h'!D92)</f>
        <v>1</v>
      </c>
      <c r="E92" s="49">
        <f>AVERAGE('31.10 Maya-Masaka-24h'!E92,'02.11 Maya-Masaka-24h'!E92)</f>
        <v>0</v>
      </c>
      <c r="F92" s="49">
        <f>AVERAGE('31.10 Maya-Masaka-24h'!F92,'02.11 Maya-Masaka-24h'!F92)</f>
        <v>0</v>
      </c>
      <c r="G92" s="49">
        <f>AVERAGE('31.10 Maya-Masaka-24h'!G92,'02.11 Maya-Masaka-24h'!G92)</f>
        <v>0</v>
      </c>
      <c r="H92" s="49">
        <f>AVERAGE('31.10 Maya-Masaka-24h'!H92,'02.11 Maya-Masaka-24h'!H92)</f>
        <v>0</v>
      </c>
      <c r="I92" s="49">
        <f>AVERAGE('31.10 Maya-Masaka-24h'!I92,'02.11 Maya-Masaka-24h'!I92)</f>
        <v>2.5</v>
      </c>
      <c r="J92" s="49">
        <f>AVERAGE('31.10 Maya-Masaka-24h'!J92,'02.11 Maya-Masaka-24h'!J92)</f>
        <v>0.5</v>
      </c>
      <c r="K92" s="49">
        <f>AVERAGE('31.10 Maya-Masaka-24h'!K92,'02.11 Maya-Masaka-24h'!K92)</f>
        <v>1</v>
      </c>
      <c r="L92" s="49">
        <f>AVERAGE('31.10 Maya-Masaka-24h'!L92,'02.11 Maya-Masaka-24h'!L92)</f>
        <v>1</v>
      </c>
      <c r="M92" s="49">
        <f>AVERAGE('31.10 Maya-Masaka-24h'!M92,'02.11 Maya-Masaka-24h'!M92)</f>
        <v>0.5</v>
      </c>
      <c r="N92" s="49">
        <f>AVERAGE('31.10 Maya-Masaka-24h'!N92,'02.11 Maya-Masaka-24h'!N92)</f>
        <v>0</v>
      </c>
      <c r="O92" s="15">
        <f t="shared" si="35"/>
        <v>7.5</v>
      </c>
      <c r="P92" s="15">
        <f t="shared" si="36"/>
        <v>8</v>
      </c>
      <c r="R92" s="8"/>
      <c r="T92"/>
    </row>
    <row r="93" spans="2:20" ht="23.1" customHeight="1" x14ac:dyDescent="0.25">
      <c r="B93" s="23" t="s">
        <v>133</v>
      </c>
      <c r="C93" s="49">
        <f>AVERAGE('31.10 Maya-Masaka-24h'!C93,'02.11 Maya-Masaka-24h'!C93)</f>
        <v>1</v>
      </c>
      <c r="D93" s="49">
        <f>AVERAGE('31.10 Maya-Masaka-24h'!D93,'02.11 Maya-Masaka-24h'!D93)</f>
        <v>0</v>
      </c>
      <c r="E93" s="49">
        <f>AVERAGE('31.10 Maya-Masaka-24h'!E93,'02.11 Maya-Masaka-24h'!E93)</f>
        <v>0.5</v>
      </c>
      <c r="F93" s="49">
        <f>AVERAGE('31.10 Maya-Masaka-24h'!F93,'02.11 Maya-Masaka-24h'!F93)</f>
        <v>1.5</v>
      </c>
      <c r="G93" s="49">
        <f>AVERAGE('31.10 Maya-Masaka-24h'!G93,'02.11 Maya-Masaka-24h'!G93)</f>
        <v>0</v>
      </c>
      <c r="H93" s="49">
        <f>AVERAGE('31.10 Maya-Masaka-24h'!H93,'02.11 Maya-Masaka-24h'!H93)</f>
        <v>1</v>
      </c>
      <c r="I93" s="49">
        <f>AVERAGE('31.10 Maya-Masaka-24h'!I93,'02.11 Maya-Masaka-24h'!I93)</f>
        <v>7</v>
      </c>
      <c r="J93" s="49">
        <f>AVERAGE('31.10 Maya-Masaka-24h'!J93,'02.11 Maya-Masaka-24h'!J93)</f>
        <v>3.5</v>
      </c>
      <c r="K93" s="49">
        <f>AVERAGE('31.10 Maya-Masaka-24h'!K93,'02.11 Maya-Masaka-24h'!K93)</f>
        <v>4</v>
      </c>
      <c r="L93" s="49">
        <f>AVERAGE('31.10 Maya-Masaka-24h'!L93,'02.11 Maya-Masaka-24h'!L93)</f>
        <v>0.5</v>
      </c>
      <c r="M93" s="49">
        <f>AVERAGE('31.10 Maya-Masaka-24h'!M93,'02.11 Maya-Masaka-24h'!M93)</f>
        <v>1.5</v>
      </c>
      <c r="N93" s="49">
        <f>AVERAGE('31.10 Maya-Masaka-24h'!N93,'02.11 Maya-Masaka-24h'!N93)</f>
        <v>0</v>
      </c>
      <c r="O93" s="15">
        <f t="shared" si="35"/>
        <v>19</v>
      </c>
      <c r="P93" s="15">
        <f t="shared" si="36"/>
        <v>20.5</v>
      </c>
      <c r="R93" s="8"/>
      <c r="T93"/>
    </row>
    <row r="94" spans="2:20" ht="23.1" customHeight="1" x14ac:dyDescent="0.25">
      <c r="B94" s="24" t="s">
        <v>134</v>
      </c>
      <c r="C94" s="49">
        <f>AVERAGE('31.10 Maya-Masaka-24h'!C94,'02.11 Maya-Masaka-24h'!C94)</f>
        <v>1.5</v>
      </c>
      <c r="D94" s="49">
        <f>AVERAGE('31.10 Maya-Masaka-24h'!D94,'02.11 Maya-Masaka-24h'!D94)</f>
        <v>0.5</v>
      </c>
      <c r="E94" s="49">
        <f>AVERAGE('31.10 Maya-Masaka-24h'!E94,'02.11 Maya-Masaka-24h'!E94)</f>
        <v>0</v>
      </c>
      <c r="F94" s="49">
        <f>AVERAGE('31.10 Maya-Masaka-24h'!F94,'02.11 Maya-Masaka-24h'!F94)</f>
        <v>0</v>
      </c>
      <c r="G94" s="49">
        <f>AVERAGE('31.10 Maya-Masaka-24h'!G94,'02.11 Maya-Masaka-24h'!G94)</f>
        <v>0</v>
      </c>
      <c r="H94" s="49">
        <f>AVERAGE('31.10 Maya-Masaka-24h'!H94,'02.11 Maya-Masaka-24h'!H94)</f>
        <v>0</v>
      </c>
      <c r="I94" s="49">
        <f>AVERAGE('31.10 Maya-Masaka-24h'!I94,'02.11 Maya-Masaka-24h'!I94)</f>
        <v>6.5</v>
      </c>
      <c r="J94" s="49">
        <f>AVERAGE('31.10 Maya-Masaka-24h'!J94,'02.11 Maya-Masaka-24h'!J94)</f>
        <v>0</v>
      </c>
      <c r="K94" s="49">
        <f>AVERAGE('31.10 Maya-Masaka-24h'!K94,'02.11 Maya-Masaka-24h'!K94)</f>
        <v>0.5</v>
      </c>
      <c r="L94" s="49">
        <f>AVERAGE('31.10 Maya-Masaka-24h'!L94,'02.11 Maya-Masaka-24h'!L94)</f>
        <v>0</v>
      </c>
      <c r="M94" s="49">
        <f>AVERAGE('31.10 Maya-Masaka-24h'!M94,'02.11 Maya-Masaka-24h'!M94)</f>
        <v>0</v>
      </c>
      <c r="N94" s="49">
        <f>AVERAGE('31.10 Maya-Masaka-24h'!N94,'02.11 Maya-Masaka-24h'!N94)</f>
        <v>0</v>
      </c>
      <c r="O94" s="15">
        <f t="shared" si="35"/>
        <v>9</v>
      </c>
      <c r="P94" s="15">
        <f t="shared" si="36"/>
        <v>9</v>
      </c>
      <c r="R94" s="8"/>
      <c r="T94"/>
    </row>
    <row r="95" spans="2:20" ht="23.1" customHeight="1" x14ac:dyDescent="0.25">
      <c r="B95" s="23" t="s">
        <v>135</v>
      </c>
      <c r="C95" s="49">
        <f>AVERAGE('31.10 Maya-Masaka-24h'!C95,'02.11 Maya-Masaka-24h'!C95)</f>
        <v>2</v>
      </c>
      <c r="D95" s="49">
        <f>AVERAGE('31.10 Maya-Masaka-24h'!D95,'02.11 Maya-Masaka-24h'!D95)</f>
        <v>1</v>
      </c>
      <c r="E95" s="49">
        <f>AVERAGE('31.10 Maya-Masaka-24h'!E95,'02.11 Maya-Masaka-24h'!E95)</f>
        <v>1</v>
      </c>
      <c r="F95" s="49">
        <f>AVERAGE('31.10 Maya-Masaka-24h'!F95,'02.11 Maya-Masaka-24h'!F95)</f>
        <v>1.5</v>
      </c>
      <c r="G95" s="49">
        <f>AVERAGE('31.10 Maya-Masaka-24h'!G95,'02.11 Maya-Masaka-24h'!G95)</f>
        <v>0.5</v>
      </c>
      <c r="H95" s="49">
        <f>AVERAGE('31.10 Maya-Masaka-24h'!H95,'02.11 Maya-Masaka-24h'!H95)</f>
        <v>0</v>
      </c>
      <c r="I95" s="49">
        <f>AVERAGE('31.10 Maya-Masaka-24h'!I95,'02.11 Maya-Masaka-24h'!I95)</f>
        <v>4</v>
      </c>
      <c r="J95" s="49">
        <f>AVERAGE('31.10 Maya-Masaka-24h'!J95,'02.11 Maya-Masaka-24h'!J95)</f>
        <v>0.5</v>
      </c>
      <c r="K95" s="49">
        <f>AVERAGE('31.10 Maya-Masaka-24h'!K95,'02.11 Maya-Masaka-24h'!K95)</f>
        <v>1</v>
      </c>
      <c r="L95" s="49">
        <f>AVERAGE('31.10 Maya-Masaka-24h'!L95,'02.11 Maya-Masaka-24h'!L95)</f>
        <v>1</v>
      </c>
      <c r="M95" s="49">
        <f>AVERAGE('31.10 Maya-Masaka-24h'!M95,'02.11 Maya-Masaka-24h'!M95)</f>
        <v>0</v>
      </c>
      <c r="N95" s="49">
        <f>AVERAGE('31.10 Maya-Masaka-24h'!N95,'02.11 Maya-Masaka-24h'!N95)</f>
        <v>0</v>
      </c>
      <c r="O95" s="15">
        <f t="shared" si="35"/>
        <v>12.5</v>
      </c>
      <c r="P95" s="15">
        <f t="shared" si="36"/>
        <v>12.5</v>
      </c>
      <c r="R95" s="8"/>
      <c r="T95"/>
    </row>
    <row r="96" spans="2:20" ht="23.1" customHeight="1" x14ac:dyDescent="0.25">
      <c r="B96" s="25" t="s">
        <v>136</v>
      </c>
      <c r="C96" s="49">
        <f>AVERAGE('31.10 Maya-Masaka-24h'!C96,'02.11 Maya-Masaka-24h'!C96)</f>
        <v>4.5</v>
      </c>
      <c r="D96" s="49">
        <f>AVERAGE('31.10 Maya-Masaka-24h'!D96,'02.11 Maya-Masaka-24h'!D96)</f>
        <v>1</v>
      </c>
      <c r="E96" s="49">
        <f>AVERAGE('31.10 Maya-Masaka-24h'!E96,'02.11 Maya-Masaka-24h'!E96)</f>
        <v>0</v>
      </c>
      <c r="F96" s="49">
        <f>AVERAGE('31.10 Maya-Masaka-24h'!F96,'02.11 Maya-Masaka-24h'!F96)</f>
        <v>1.5</v>
      </c>
      <c r="G96" s="49">
        <f>AVERAGE('31.10 Maya-Masaka-24h'!G96,'02.11 Maya-Masaka-24h'!G96)</f>
        <v>0.5</v>
      </c>
      <c r="H96" s="49">
        <f>AVERAGE('31.10 Maya-Masaka-24h'!H96,'02.11 Maya-Masaka-24h'!H96)</f>
        <v>0</v>
      </c>
      <c r="I96" s="49">
        <f>AVERAGE('31.10 Maya-Masaka-24h'!I96,'02.11 Maya-Masaka-24h'!I96)</f>
        <v>9</v>
      </c>
      <c r="J96" s="49">
        <f>AVERAGE('31.10 Maya-Masaka-24h'!J96,'02.11 Maya-Masaka-24h'!J96)</f>
        <v>2</v>
      </c>
      <c r="K96" s="49">
        <f>AVERAGE('31.10 Maya-Masaka-24h'!K96,'02.11 Maya-Masaka-24h'!K96)</f>
        <v>2.5</v>
      </c>
      <c r="L96" s="49">
        <f>AVERAGE('31.10 Maya-Masaka-24h'!L96,'02.11 Maya-Masaka-24h'!L96)</f>
        <v>0.5</v>
      </c>
      <c r="M96" s="49">
        <f>AVERAGE('31.10 Maya-Masaka-24h'!M96,'02.11 Maya-Masaka-24h'!M96)</f>
        <v>0.5</v>
      </c>
      <c r="N96" s="49">
        <f>AVERAGE('31.10 Maya-Masaka-24h'!N96,'02.11 Maya-Masaka-24h'!N96)</f>
        <v>0</v>
      </c>
      <c r="O96" s="15">
        <f t="shared" si="35"/>
        <v>21.5</v>
      </c>
      <c r="P96" s="15">
        <f t="shared" si="36"/>
        <v>22</v>
      </c>
      <c r="R96" s="8"/>
      <c r="T96"/>
    </row>
    <row r="97" spans="2:20" ht="23.1" customHeight="1" x14ac:dyDescent="0.25">
      <c r="B97" s="23" t="s">
        <v>137</v>
      </c>
      <c r="C97" s="49">
        <f>AVERAGE('31.10 Maya-Masaka-24h'!C97,'02.11 Maya-Masaka-24h'!C97)</f>
        <v>2.5</v>
      </c>
      <c r="D97" s="49">
        <f>AVERAGE('31.10 Maya-Masaka-24h'!D97,'02.11 Maya-Masaka-24h'!D97)</f>
        <v>1.5</v>
      </c>
      <c r="E97" s="49">
        <f>AVERAGE('31.10 Maya-Masaka-24h'!E97,'02.11 Maya-Masaka-24h'!E97)</f>
        <v>1</v>
      </c>
      <c r="F97" s="49">
        <f>AVERAGE('31.10 Maya-Masaka-24h'!F97,'02.11 Maya-Masaka-24h'!F97)</f>
        <v>1.5</v>
      </c>
      <c r="G97" s="49">
        <f>AVERAGE('31.10 Maya-Masaka-24h'!G97,'02.11 Maya-Masaka-24h'!G97)</f>
        <v>0.5</v>
      </c>
      <c r="H97" s="49">
        <f>AVERAGE('31.10 Maya-Masaka-24h'!H97,'02.11 Maya-Masaka-24h'!H97)</f>
        <v>0.5</v>
      </c>
      <c r="I97" s="49">
        <f>AVERAGE('31.10 Maya-Masaka-24h'!I97,'02.11 Maya-Masaka-24h'!I97)</f>
        <v>9</v>
      </c>
      <c r="J97" s="49">
        <f>AVERAGE('31.10 Maya-Masaka-24h'!J97,'02.11 Maya-Masaka-24h'!J97)</f>
        <v>3</v>
      </c>
      <c r="K97" s="49">
        <f>AVERAGE('31.10 Maya-Masaka-24h'!K97,'02.11 Maya-Masaka-24h'!K97)</f>
        <v>0</v>
      </c>
      <c r="L97" s="49">
        <f>AVERAGE('31.10 Maya-Masaka-24h'!L97,'02.11 Maya-Masaka-24h'!L97)</f>
        <v>1</v>
      </c>
      <c r="M97" s="49">
        <f>AVERAGE('31.10 Maya-Masaka-24h'!M97,'02.11 Maya-Masaka-24h'!M97)</f>
        <v>1.5</v>
      </c>
      <c r="N97" s="49">
        <f>AVERAGE('31.10 Maya-Masaka-24h'!N97,'02.11 Maya-Masaka-24h'!N97)</f>
        <v>0</v>
      </c>
      <c r="O97" s="15">
        <f t="shared" si="35"/>
        <v>20.5</v>
      </c>
      <c r="P97" s="15">
        <f t="shared" si="36"/>
        <v>22</v>
      </c>
      <c r="R97" s="8"/>
      <c r="T97"/>
    </row>
    <row r="98" spans="2:20" ht="23.1" customHeight="1" x14ac:dyDescent="0.25">
      <c r="B98" s="24" t="s">
        <v>138</v>
      </c>
      <c r="C98" s="49">
        <f>AVERAGE('31.10 Maya-Masaka-24h'!C98,'02.11 Maya-Masaka-24h'!C98)</f>
        <v>4.5</v>
      </c>
      <c r="D98" s="49">
        <f>AVERAGE('31.10 Maya-Masaka-24h'!D98,'02.11 Maya-Masaka-24h'!D98)</f>
        <v>0.5</v>
      </c>
      <c r="E98" s="49">
        <f>AVERAGE('31.10 Maya-Masaka-24h'!E98,'02.11 Maya-Masaka-24h'!E98)</f>
        <v>1.5</v>
      </c>
      <c r="F98" s="49">
        <f>AVERAGE('31.10 Maya-Masaka-24h'!F98,'02.11 Maya-Masaka-24h'!F98)</f>
        <v>2.5</v>
      </c>
      <c r="G98" s="49">
        <f>AVERAGE('31.10 Maya-Masaka-24h'!G98,'02.11 Maya-Masaka-24h'!G98)</f>
        <v>0.5</v>
      </c>
      <c r="H98" s="49">
        <f>AVERAGE('31.10 Maya-Masaka-24h'!H98,'02.11 Maya-Masaka-24h'!H98)</f>
        <v>0</v>
      </c>
      <c r="I98" s="49">
        <f>AVERAGE('31.10 Maya-Masaka-24h'!I98,'02.11 Maya-Masaka-24h'!I98)</f>
        <v>12.5</v>
      </c>
      <c r="J98" s="49">
        <f>AVERAGE('31.10 Maya-Masaka-24h'!J98,'02.11 Maya-Masaka-24h'!J98)</f>
        <v>2.5</v>
      </c>
      <c r="K98" s="49">
        <f>AVERAGE('31.10 Maya-Masaka-24h'!K98,'02.11 Maya-Masaka-24h'!K98)</f>
        <v>2</v>
      </c>
      <c r="L98" s="49">
        <f>AVERAGE('31.10 Maya-Masaka-24h'!L98,'02.11 Maya-Masaka-24h'!L98)</f>
        <v>0</v>
      </c>
      <c r="M98" s="49">
        <f>AVERAGE('31.10 Maya-Masaka-24h'!M98,'02.11 Maya-Masaka-24h'!M98)</f>
        <v>1</v>
      </c>
      <c r="N98" s="49">
        <f>AVERAGE('31.10 Maya-Masaka-24h'!N98,'02.11 Maya-Masaka-24h'!N98)</f>
        <v>0</v>
      </c>
      <c r="O98" s="15">
        <f t="shared" si="35"/>
        <v>26.5</v>
      </c>
      <c r="P98" s="15">
        <f t="shared" si="36"/>
        <v>27.5</v>
      </c>
      <c r="R98" s="8"/>
      <c r="T98"/>
    </row>
    <row r="99" spans="2:20" ht="23.1" customHeight="1" x14ac:dyDescent="0.25">
      <c r="B99" s="23" t="s">
        <v>139</v>
      </c>
      <c r="C99" s="49">
        <f>AVERAGE('31.10 Maya-Masaka-24h'!C99,'02.11 Maya-Masaka-24h'!C99)</f>
        <v>5</v>
      </c>
      <c r="D99" s="49">
        <f>AVERAGE('31.10 Maya-Masaka-24h'!D99,'02.11 Maya-Masaka-24h'!D99)</f>
        <v>2.5</v>
      </c>
      <c r="E99" s="49">
        <f>AVERAGE('31.10 Maya-Masaka-24h'!E99,'02.11 Maya-Masaka-24h'!E99)</f>
        <v>1</v>
      </c>
      <c r="F99" s="49">
        <f>AVERAGE('31.10 Maya-Masaka-24h'!F99,'02.11 Maya-Masaka-24h'!F99)</f>
        <v>1</v>
      </c>
      <c r="G99" s="49">
        <f>AVERAGE('31.10 Maya-Masaka-24h'!G99,'02.11 Maya-Masaka-24h'!G99)</f>
        <v>0</v>
      </c>
      <c r="H99" s="49">
        <f>AVERAGE('31.10 Maya-Masaka-24h'!H99,'02.11 Maya-Masaka-24h'!H99)</f>
        <v>0</v>
      </c>
      <c r="I99" s="49">
        <f>AVERAGE('31.10 Maya-Masaka-24h'!I99,'02.11 Maya-Masaka-24h'!I99)</f>
        <v>10.5</v>
      </c>
      <c r="J99" s="49">
        <f>AVERAGE('31.10 Maya-Masaka-24h'!J99,'02.11 Maya-Masaka-24h'!J99)</f>
        <v>2</v>
      </c>
      <c r="K99" s="49">
        <f>AVERAGE('31.10 Maya-Masaka-24h'!K99,'02.11 Maya-Masaka-24h'!K99)</f>
        <v>1.5</v>
      </c>
      <c r="L99" s="49">
        <f>AVERAGE('31.10 Maya-Masaka-24h'!L99,'02.11 Maya-Masaka-24h'!L99)</f>
        <v>0.5</v>
      </c>
      <c r="M99" s="49">
        <f>AVERAGE('31.10 Maya-Masaka-24h'!M99,'02.11 Maya-Masaka-24h'!M99)</f>
        <v>4.5</v>
      </c>
      <c r="N99" s="49">
        <f>AVERAGE('31.10 Maya-Masaka-24h'!N99,'02.11 Maya-Masaka-24h'!N99)</f>
        <v>0</v>
      </c>
      <c r="O99" s="15">
        <f t="shared" si="35"/>
        <v>24</v>
      </c>
      <c r="P99" s="15">
        <f t="shared" si="36"/>
        <v>28.5</v>
      </c>
      <c r="R99" s="8"/>
      <c r="T99"/>
    </row>
    <row r="100" spans="2:20" ht="23.1" customHeight="1" x14ac:dyDescent="0.25">
      <c r="B100" s="25" t="s">
        <v>140</v>
      </c>
      <c r="C100" s="49">
        <f>AVERAGE('31.10 Maya-Masaka-24h'!C100,'02.11 Maya-Masaka-24h'!C100)</f>
        <v>8</v>
      </c>
      <c r="D100" s="49">
        <f>AVERAGE('31.10 Maya-Masaka-24h'!D100,'02.11 Maya-Masaka-24h'!D100)</f>
        <v>2</v>
      </c>
      <c r="E100" s="49">
        <f>AVERAGE('31.10 Maya-Masaka-24h'!E100,'02.11 Maya-Masaka-24h'!E100)</f>
        <v>0.5</v>
      </c>
      <c r="F100" s="49">
        <f>AVERAGE('31.10 Maya-Masaka-24h'!F100,'02.11 Maya-Masaka-24h'!F100)</f>
        <v>2.5</v>
      </c>
      <c r="G100" s="49">
        <f>AVERAGE('31.10 Maya-Masaka-24h'!G100,'02.11 Maya-Masaka-24h'!G100)</f>
        <v>0</v>
      </c>
      <c r="H100" s="49">
        <f>AVERAGE('31.10 Maya-Masaka-24h'!H100,'02.11 Maya-Masaka-24h'!H100)</f>
        <v>0.5</v>
      </c>
      <c r="I100" s="49">
        <f>AVERAGE('31.10 Maya-Masaka-24h'!I100,'02.11 Maya-Masaka-24h'!I100)</f>
        <v>10.5</v>
      </c>
      <c r="J100" s="49">
        <f>AVERAGE('31.10 Maya-Masaka-24h'!J100,'02.11 Maya-Masaka-24h'!J100)</f>
        <v>1</v>
      </c>
      <c r="K100" s="49">
        <f>AVERAGE('31.10 Maya-Masaka-24h'!K100,'02.11 Maya-Masaka-24h'!K100)</f>
        <v>3</v>
      </c>
      <c r="L100" s="49">
        <f>AVERAGE('31.10 Maya-Masaka-24h'!L100,'02.11 Maya-Masaka-24h'!L100)</f>
        <v>3.5</v>
      </c>
      <c r="M100" s="49">
        <f>AVERAGE('31.10 Maya-Masaka-24h'!M100,'02.11 Maya-Masaka-24h'!M100)</f>
        <v>5</v>
      </c>
      <c r="N100" s="49">
        <f>AVERAGE('31.10 Maya-Masaka-24h'!N100,'02.11 Maya-Masaka-24h'!N100)</f>
        <v>0</v>
      </c>
      <c r="O100" s="15">
        <f t="shared" si="35"/>
        <v>31.5</v>
      </c>
      <c r="P100" s="15">
        <f t="shared" si="36"/>
        <v>36.5</v>
      </c>
      <c r="R100" s="8"/>
      <c r="T100"/>
    </row>
    <row r="101" spans="2:20" ht="23.1" customHeight="1" x14ac:dyDescent="0.25">
      <c r="B101" s="23" t="s">
        <v>141</v>
      </c>
      <c r="C101" s="49">
        <f>AVERAGE('31.10 Maya-Masaka-24h'!C101,'02.11 Maya-Masaka-24h'!C101)</f>
        <v>11</v>
      </c>
      <c r="D101" s="49">
        <f>AVERAGE('31.10 Maya-Masaka-24h'!D101,'02.11 Maya-Masaka-24h'!D101)</f>
        <v>0</v>
      </c>
      <c r="E101" s="49">
        <f>AVERAGE('31.10 Maya-Masaka-24h'!E101,'02.11 Maya-Masaka-24h'!E101)</f>
        <v>0.5</v>
      </c>
      <c r="F101" s="49">
        <f>AVERAGE('31.10 Maya-Masaka-24h'!F101,'02.11 Maya-Masaka-24h'!F101)</f>
        <v>4.5</v>
      </c>
      <c r="G101" s="49">
        <f>AVERAGE('31.10 Maya-Masaka-24h'!G101,'02.11 Maya-Masaka-24h'!G101)</f>
        <v>0</v>
      </c>
      <c r="H101" s="49">
        <f>AVERAGE('31.10 Maya-Masaka-24h'!H101,'02.11 Maya-Masaka-24h'!H101)</f>
        <v>0.5</v>
      </c>
      <c r="I101" s="49">
        <f>AVERAGE('31.10 Maya-Masaka-24h'!I101,'02.11 Maya-Masaka-24h'!I101)</f>
        <v>7.5</v>
      </c>
      <c r="J101" s="49">
        <f>AVERAGE('31.10 Maya-Masaka-24h'!J101,'02.11 Maya-Masaka-24h'!J101)</f>
        <v>2</v>
      </c>
      <c r="K101" s="49">
        <f>AVERAGE('31.10 Maya-Masaka-24h'!K101,'02.11 Maya-Masaka-24h'!K101)</f>
        <v>1.5</v>
      </c>
      <c r="L101" s="49">
        <f>AVERAGE('31.10 Maya-Masaka-24h'!L101,'02.11 Maya-Masaka-24h'!L101)</f>
        <v>1</v>
      </c>
      <c r="M101" s="49">
        <f>AVERAGE('31.10 Maya-Masaka-24h'!M101,'02.11 Maya-Masaka-24h'!M101)</f>
        <v>5</v>
      </c>
      <c r="N101" s="49">
        <f>AVERAGE('31.10 Maya-Masaka-24h'!N101,'02.11 Maya-Masaka-24h'!N101)</f>
        <v>0</v>
      </c>
      <c r="O101" s="15">
        <f t="shared" si="35"/>
        <v>28.5</v>
      </c>
      <c r="P101" s="15">
        <f t="shared" si="36"/>
        <v>33.5</v>
      </c>
      <c r="R101" s="8"/>
      <c r="T101"/>
    </row>
    <row r="102" spans="2:20" ht="23.1" customHeight="1" x14ac:dyDescent="0.25">
      <c r="B102" s="24" t="s">
        <v>142</v>
      </c>
      <c r="C102" s="49">
        <f>AVERAGE('31.10 Maya-Masaka-24h'!C102,'02.11 Maya-Masaka-24h'!C102)</f>
        <v>14.5</v>
      </c>
      <c r="D102" s="49">
        <f>AVERAGE('31.10 Maya-Masaka-24h'!D102,'02.11 Maya-Masaka-24h'!D102)</f>
        <v>3.5</v>
      </c>
      <c r="E102" s="49">
        <f>AVERAGE('31.10 Maya-Masaka-24h'!E102,'02.11 Maya-Masaka-24h'!E102)</f>
        <v>0.5</v>
      </c>
      <c r="F102" s="49">
        <f>AVERAGE('31.10 Maya-Masaka-24h'!F102,'02.11 Maya-Masaka-24h'!F102)</f>
        <v>3.5</v>
      </c>
      <c r="G102" s="49">
        <f>AVERAGE('31.10 Maya-Masaka-24h'!G102,'02.11 Maya-Masaka-24h'!G102)</f>
        <v>1.5</v>
      </c>
      <c r="H102" s="49">
        <f>AVERAGE('31.10 Maya-Masaka-24h'!H102,'02.11 Maya-Masaka-24h'!H102)</f>
        <v>0</v>
      </c>
      <c r="I102" s="49">
        <f>AVERAGE('31.10 Maya-Masaka-24h'!I102,'02.11 Maya-Masaka-24h'!I102)</f>
        <v>14</v>
      </c>
      <c r="J102" s="49">
        <f>AVERAGE('31.10 Maya-Masaka-24h'!J102,'02.11 Maya-Masaka-24h'!J102)</f>
        <v>0.5</v>
      </c>
      <c r="K102" s="49">
        <f>AVERAGE('31.10 Maya-Masaka-24h'!K102,'02.11 Maya-Masaka-24h'!K102)</f>
        <v>2.5</v>
      </c>
      <c r="L102" s="49">
        <f>AVERAGE('31.10 Maya-Masaka-24h'!L102,'02.11 Maya-Masaka-24h'!L102)</f>
        <v>2</v>
      </c>
      <c r="M102" s="49">
        <f>AVERAGE('31.10 Maya-Masaka-24h'!M102,'02.11 Maya-Masaka-24h'!M102)</f>
        <v>4.5</v>
      </c>
      <c r="N102" s="49">
        <f>AVERAGE('31.10 Maya-Masaka-24h'!N102,'02.11 Maya-Masaka-24h'!N102)</f>
        <v>0</v>
      </c>
      <c r="O102" s="15">
        <f t="shared" si="35"/>
        <v>42.5</v>
      </c>
      <c r="P102" s="15">
        <f t="shared" si="36"/>
        <v>47</v>
      </c>
      <c r="R102" s="8"/>
      <c r="T102"/>
    </row>
    <row r="103" spans="2:20" ht="23.1" customHeight="1" x14ac:dyDescent="0.25">
      <c r="B103" s="23" t="s">
        <v>143</v>
      </c>
      <c r="C103" s="49">
        <f>AVERAGE('31.10 Maya-Masaka-24h'!C103,'02.11 Maya-Masaka-24h'!C103)</f>
        <v>12</v>
      </c>
      <c r="D103" s="49">
        <f>AVERAGE('31.10 Maya-Masaka-24h'!D103,'02.11 Maya-Masaka-24h'!D103)</f>
        <v>6.5</v>
      </c>
      <c r="E103" s="49">
        <f>AVERAGE('31.10 Maya-Masaka-24h'!E103,'02.11 Maya-Masaka-24h'!E103)</f>
        <v>3</v>
      </c>
      <c r="F103" s="49">
        <f>AVERAGE('31.10 Maya-Masaka-24h'!F103,'02.11 Maya-Masaka-24h'!F103)</f>
        <v>10</v>
      </c>
      <c r="G103" s="49">
        <f>AVERAGE('31.10 Maya-Masaka-24h'!G103,'02.11 Maya-Masaka-24h'!G103)</f>
        <v>0</v>
      </c>
      <c r="H103" s="49">
        <f>AVERAGE('31.10 Maya-Masaka-24h'!H103,'02.11 Maya-Masaka-24h'!H103)</f>
        <v>0</v>
      </c>
      <c r="I103" s="49">
        <f>AVERAGE('31.10 Maya-Masaka-24h'!I103,'02.11 Maya-Masaka-24h'!I103)</f>
        <v>13.5</v>
      </c>
      <c r="J103" s="49">
        <f>AVERAGE('31.10 Maya-Masaka-24h'!J103,'02.11 Maya-Masaka-24h'!J103)</f>
        <v>5</v>
      </c>
      <c r="K103" s="49">
        <f>AVERAGE('31.10 Maya-Masaka-24h'!K103,'02.11 Maya-Masaka-24h'!K103)</f>
        <v>2</v>
      </c>
      <c r="L103" s="49">
        <f>AVERAGE('31.10 Maya-Masaka-24h'!L103,'02.11 Maya-Masaka-24h'!L103)</f>
        <v>1</v>
      </c>
      <c r="M103" s="49">
        <f>AVERAGE('31.10 Maya-Masaka-24h'!M103,'02.11 Maya-Masaka-24h'!M103)</f>
        <v>8.5</v>
      </c>
      <c r="N103" s="49">
        <f>AVERAGE('31.10 Maya-Masaka-24h'!N103,'02.11 Maya-Masaka-24h'!N103)</f>
        <v>0</v>
      </c>
      <c r="O103" s="15">
        <f t="shared" si="35"/>
        <v>53</v>
      </c>
      <c r="P103" s="15">
        <f t="shared" si="36"/>
        <v>61.5</v>
      </c>
      <c r="R103" s="8"/>
      <c r="T103"/>
    </row>
    <row r="104" spans="2:20" ht="23.1" customHeight="1" x14ac:dyDescent="0.25">
      <c r="B104" s="25" t="s">
        <v>144</v>
      </c>
      <c r="C104" s="49">
        <f>AVERAGE('31.10 Maya-Masaka-24h'!C104,'02.11 Maya-Masaka-24h'!C104)</f>
        <v>12.5</v>
      </c>
      <c r="D104" s="49">
        <f>AVERAGE('31.10 Maya-Masaka-24h'!D104,'02.11 Maya-Masaka-24h'!D104)</f>
        <v>7.5</v>
      </c>
      <c r="E104" s="49">
        <f>AVERAGE('31.10 Maya-Masaka-24h'!E104,'02.11 Maya-Masaka-24h'!E104)</f>
        <v>3</v>
      </c>
      <c r="F104" s="49">
        <f>AVERAGE('31.10 Maya-Masaka-24h'!F104,'02.11 Maya-Masaka-24h'!F104)</f>
        <v>9.5</v>
      </c>
      <c r="G104" s="49">
        <f>AVERAGE('31.10 Maya-Masaka-24h'!G104,'02.11 Maya-Masaka-24h'!G104)</f>
        <v>0.5</v>
      </c>
      <c r="H104" s="49">
        <f>AVERAGE('31.10 Maya-Masaka-24h'!H104,'02.11 Maya-Masaka-24h'!H104)</f>
        <v>3</v>
      </c>
      <c r="I104" s="49">
        <f>AVERAGE('31.10 Maya-Masaka-24h'!I104,'02.11 Maya-Masaka-24h'!I104)</f>
        <v>8</v>
      </c>
      <c r="J104" s="49">
        <f>AVERAGE('31.10 Maya-Masaka-24h'!J104,'02.11 Maya-Masaka-24h'!J104)</f>
        <v>4.5</v>
      </c>
      <c r="K104" s="49">
        <f>AVERAGE('31.10 Maya-Masaka-24h'!K104,'02.11 Maya-Masaka-24h'!K104)</f>
        <v>1</v>
      </c>
      <c r="L104" s="49">
        <f>AVERAGE('31.10 Maya-Masaka-24h'!L104,'02.11 Maya-Masaka-24h'!L104)</f>
        <v>1.5</v>
      </c>
      <c r="M104" s="49">
        <f>AVERAGE('31.10 Maya-Masaka-24h'!M104,'02.11 Maya-Masaka-24h'!M104)</f>
        <v>6.5</v>
      </c>
      <c r="N104" s="49">
        <f>AVERAGE('31.10 Maya-Masaka-24h'!N104,'02.11 Maya-Masaka-24h'!N104)</f>
        <v>0</v>
      </c>
      <c r="O104" s="15">
        <f t="shared" si="35"/>
        <v>51</v>
      </c>
      <c r="P104" s="15">
        <f t="shared" si="36"/>
        <v>57.5</v>
      </c>
      <c r="R104" s="8"/>
      <c r="T104"/>
    </row>
    <row r="105" spans="2:20" ht="23.1" customHeight="1" x14ac:dyDescent="0.25">
      <c r="B105" s="23" t="s">
        <v>145</v>
      </c>
      <c r="C105" s="49">
        <f>AVERAGE('31.10 Maya-Masaka-24h'!C105,'02.11 Maya-Masaka-24h'!C105)</f>
        <v>20</v>
      </c>
      <c r="D105" s="49">
        <f>AVERAGE('31.10 Maya-Masaka-24h'!D105,'02.11 Maya-Masaka-24h'!D105)</f>
        <v>15</v>
      </c>
      <c r="E105" s="49">
        <f>AVERAGE('31.10 Maya-Masaka-24h'!E105,'02.11 Maya-Masaka-24h'!E105)</f>
        <v>2</v>
      </c>
      <c r="F105" s="49">
        <f>AVERAGE('31.10 Maya-Masaka-24h'!F105,'02.11 Maya-Masaka-24h'!F105)</f>
        <v>14</v>
      </c>
      <c r="G105" s="49">
        <f>AVERAGE('31.10 Maya-Masaka-24h'!G105,'02.11 Maya-Masaka-24h'!G105)</f>
        <v>2</v>
      </c>
      <c r="H105" s="49">
        <f>AVERAGE('31.10 Maya-Masaka-24h'!H105,'02.11 Maya-Masaka-24h'!H105)</f>
        <v>0</v>
      </c>
      <c r="I105" s="49">
        <f>AVERAGE('31.10 Maya-Masaka-24h'!I105,'02.11 Maya-Masaka-24h'!I105)</f>
        <v>14</v>
      </c>
      <c r="J105" s="49">
        <f>AVERAGE('31.10 Maya-Masaka-24h'!J105,'02.11 Maya-Masaka-24h'!J105)</f>
        <v>2.5</v>
      </c>
      <c r="K105" s="49">
        <f>AVERAGE('31.10 Maya-Masaka-24h'!K105,'02.11 Maya-Masaka-24h'!K105)</f>
        <v>4.5</v>
      </c>
      <c r="L105" s="49">
        <f>AVERAGE('31.10 Maya-Masaka-24h'!L105,'02.11 Maya-Masaka-24h'!L105)</f>
        <v>3.5</v>
      </c>
      <c r="M105" s="49">
        <f>AVERAGE('31.10 Maya-Masaka-24h'!M105,'02.11 Maya-Masaka-24h'!M105)</f>
        <v>9</v>
      </c>
      <c r="N105" s="49">
        <f>AVERAGE('31.10 Maya-Masaka-24h'!N105,'02.11 Maya-Masaka-24h'!N105)</f>
        <v>0</v>
      </c>
      <c r="O105" s="15">
        <f t="shared" si="35"/>
        <v>77.5</v>
      </c>
      <c r="P105" s="15">
        <f t="shared" si="36"/>
        <v>86.5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2072.3571428571422</v>
      </c>
      <c r="D106" s="16">
        <f t="shared" ref="D106:Q106" si="37">SUM(D10:D105)</f>
        <v>541.00000000000011</v>
      </c>
      <c r="E106" s="16">
        <f t="shared" si="37"/>
        <v>324.28571428571428</v>
      </c>
      <c r="F106" s="16">
        <f t="shared" si="37"/>
        <v>1663.2857142857142</v>
      </c>
      <c r="G106" s="16">
        <f t="shared" si="37"/>
        <v>107.21428571428572</v>
      </c>
      <c r="H106" s="16">
        <f t="shared" si="37"/>
        <v>136.64285714285717</v>
      </c>
      <c r="I106" s="16">
        <f t="shared" si="37"/>
        <v>1158.2142857142858</v>
      </c>
      <c r="J106" s="16">
        <f t="shared" si="37"/>
        <v>389.14285714285711</v>
      </c>
      <c r="K106" s="16">
        <f t="shared" si="37"/>
        <v>270.71428571428567</v>
      </c>
      <c r="L106" s="16">
        <f t="shared" si="37"/>
        <v>162.64285714285711</v>
      </c>
      <c r="M106" s="16">
        <f t="shared" si="37"/>
        <v>1454.7857142857144</v>
      </c>
      <c r="N106" s="16">
        <f t="shared" si="37"/>
        <v>0.2857142857142857</v>
      </c>
      <c r="O106" s="16">
        <f t="shared" si="37"/>
        <v>6825.7857142857165</v>
      </c>
      <c r="P106" s="16">
        <f t="shared" si="37"/>
        <v>8280.5714285714312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0.25026740735628994</v>
      </c>
      <c r="D107" s="43">
        <f t="shared" si="38"/>
        <v>6.5333655372300042E-2</v>
      </c>
      <c r="E107" s="43">
        <f t="shared" si="38"/>
        <v>3.916223863087432E-2</v>
      </c>
      <c r="F107" s="43">
        <f t="shared" si="38"/>
        <v>0.20086605479262984</v>
      </c>
      <c r="G107" s="43">
        <f t="shared" si="38"/>
        <v>1.294769167069215E-2</v>
      </c>
      <c r="H107" s="43">
        <f t="shared" si="38"/>
        <v>1.6501621696225242E-2</v>
      </c>
      <c r="I107" s="43">
        <f t="shared" si="38"/>
        <v>0.13987129942723067</v>
      </c>
      <c r="J107" s="43">
        <f t="shared" si="38"/>
        <v>4.6994686357049183E-2</v>
      </c>
      <c r="K107" s="43">
        <f t="shared" si="38"/>
        <v>3.269270581740389E-2</v>
      </c>
      <c r="L107" s="43">
        <f t="shared" si="38"/>
        <v>1.9641501621696214E-2</v>
      </c>
      <c r="M107" s="43">
        <f t="shared" si="38"/>
        <v>0.17568663308260296</v>
      </c>
      <c r="N107" s="43">
        <f t="shared" si="38"/>
        <v>3.4504175005175614E-5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0.3036071200594383</v>
      </c>
      <c r="D108" s="44">
        <f t="shared" ref="D108:N108" si="39">D106/$O$106</f>
        <v>7.9258274819225413E-2</v>
      </c>
      <c r="E108" s="44">
        <f t="shared" si="39"/>
        <v>4.7508921003338166E-2</v>
      </c>
      <c r="F108" s="44">
        <f t="shared" si="39"/>
        <v>0.24367681376293668</v>
      </c>
      <c r="G108" s="44">
        <f t="shared" si="39"/>
        <v>1.5707244587227002E-2</v>
      </c>
      <c r="H108" s="44">
        <f t="shared" si="39"/>
        <v>2.0018626845679718E-2</v>
      </c>
      <c r="I108" s="44">
        <f t="shared" si="39"/>
        <v>0.16968219252623973</v>
      </c>
      <c r="J108" s="44">
        <f t="shared" si="39"/>
        <v>5.7010705204005793E-2</v>
      </c>
      <c r="K108" s="44">
        <f t="shared" si="39"/>
        <v>3.9660530969747053E-2</v>
      </c>
      <c r="L108" s="44">
        <f t="shared" si="39"/>
        <v>2.3827712141982597E-2</v>
      </c>
      <c r="M108" s="44"/>
      <c r="N108" s="44">
        <f t="shared" si="39"/>
        <v>4.1858080179152568E-5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I97" zoomScale="60" zoomScaleNormal="100" workbookViewId="0">
      <selection activeCell="AA102" sqref="AA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7.7109375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'03.11 Maya-Masaka'!C3:G3</f>
        <v>MCC - C2 - STN60 - MASAKA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'Avg Week Maya-Masaka'!G5:H5</f>
        <v>Maya</v>
      </c>
      <c r="H5" s="67"/>
      <c r="I5" s="14"/>
      <c r="J5" s="2" t="s">
        <v>5</v>
      </c>
      <c r="K5" s="66" t="str">
        <f>'Avg Week Maya-Masaka'!K5:L5</f>
        <v>nobert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Maya-Masaka'!K6:L6</f>
        <v>Mbabazi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Masaka-Maya'!C10+'Avg Week Maya-Masaka'!C10</f>
        <v>30.428571428571427</v>
      </c>
      <c r="D10" s="49">
        <f>'Avg Week Masaka-Maya'!D10+'Avg Week Maya-Masaka'!D10</f>
        <v>9.2857142857142847</v>
      </c>
      <c r="E10" s="49">
        <f>'Avg Week Masaka-Maya'!E10+'Avg Week Maya-Masaka'!E10</f>
        <v>7</v>
      </c>
      <c r="F10" s="49">
        <f>'Avg Week Masaka-Maya'!F10+'Avg Week Maya-Masaka'!F10</f>
        <v>32.285714285714285</v>
      </c>
      <c r="G10" s="49">
        <f>'Avg Week Masaka-Maya'!G10+'Avg Week Maya-Masaka'!G10</f>
        <v>2</v>
      </c>
      <c r="H10" s="49">
        <f>'Avg Week Masaka-Maya'!H10+'Avg Week Maya-Masaka'!H10</f>
        <v>3.4285714285714288</v>
      </c>
      <c r="I10" s="49">
        <f>'Avg Week Masaka-Maya'!I10+'Avg Week Maya-Masaka'!I10</f>
        <v>15.714285714285714</v>
      </c>
      <c r="J10" s="49">
        <f>'Avg Week Masaka-Maya'!J10+'Avg Week Maya-Masaka'!J10</f>
        <v>3.8571428571428568</v>
      </c>
      <c r="K10" s="49">
        <f>'Avg Week Masaka-Maya'!K10+'Avg Week Maya-Masaka'!K10</f>
        <v>2.7142857142857144</v>
      </c>
      <c r="L10" s="49">
        <f>'Avg Week Masaka-Maya'!L10+'Avg Week Maya-Masaka'!L10</f>
        <v>2.7142857142857144</v>
      </c>
      <c r="M10" s="49">
        <f>'Avg Week Masaka-Maya'!M10+'Avg Week Maya-Masaka'!M10</f>
        <v>32.714285714285715</v>
      </c>
      <c r="N10" s="49">
        <f>'Avg Week Masaka-Maya'!N10+'Avg Week Maya-Masaka'!N10</f>
        <v>0</v>
      </c>
      <c r="O10" s="15">
        <f t="shared" ref="O10:O73" si="0">SUM(C10:L10,N10)</f>
        <v>109.42857142857142</v>
      </c>
      <c r="P10" s="15">
        <f t="shared" ref="P10:P73" si="1">SUM(C10:N10)</f>
        <v>142.14285714285714</v>
      </c>
      <c r="R10" s="1" t="s">
        <v>6</v>
      </c>
      <c r="S10" s="17">
        <f t="shared" ref="S10:AF10" si="2">SUM(C10:C13)</f>
        <v>163</v>
      </c>
      <c r="T10" s="17">
        <f t="shared" si="2"/>
        <v>38.428571428571431</v>
      </c>
      <c r="U10" s="17">
        <f t="shared" si="2"/>
        <v>29.428571428571431</v>
      </c>
      <c r="V10" s="17">
        <f t="shared" si="2"/>
        <v>146.28571428571428</v>
      </c>
      <c r="W10" s="17">
        <f t="shared" si="2"/>
        <v>8.1428571428571423</v>
      </c>
      <c r="X10" s="17">
        <f t="shared" si="2"/>
        <v>8.571428571428573</v>
      </c>
      <c r="Y10" s="17">
        <f t="shared" si="2"/>
        <v>73.285714285714278</v>
      </c>
      <c r="Z10" s="17">
        <f t="shared" si="2"/>
        <v>18.142857142857142</v>
      </c>
      <c r="AA10" s="17">
        <f t="shared" si="2"/>
        <v>10.857142857142858</v>
      </c>
      <c r="AB10" s="17">
        <f t="shared" si="2"/>
        <v>13.714285714285715</v>
      </c>
      <c r="AC10" s="17">
        <f t="shared" si="2"/>
        <v>177</v>
      </c>
      <c r="AD10" s="17">
        <f t="shared" si="2"/>
        <v>0</v>
      </c>
      <c r="AE10" s="31">
        <f t="shared" si="2"/>
        <v>509.85714285714289</v>
      </c>
      <c r="AF10" s="31">
        <f t="shared" si="2"/>
        <v>686.85714285714289</v>
      </c>
    </row>
    <row r="11" spans="2:32" s="6" customFormat="1" ht="23.1" customHeight="1" x14ac:dyDescent="0.25">
      <c r="B11" s="23" t="s">
        <v>38</v>
      </c>
      <c r="C11" s="49">
        <f>'Avg Week Masaka-Maya'!C11+'Avg Week Maya-Masaka'!C11</f>
        <v>40.142857142857139</v>
      </c>
      <c r="D11" s="49">
        <f>'Avg Week Masaka-Maya'!D11+'Avg Week Maya-Masaka'!D11</f>
        <v>10.142857142857142</v>
      </c>
      <c r="E11" s="49">
        <f>'Avg Week Masaka-Maya'!E11+'Avg Week Maya-Masaka'!E11</f>
        <v>8.4285714285714288</v>
      </c>
      <c r="F11" s="49">
        <f>'Avg Week Masaka-Maya'!F11+'Avg Week Maya-Masaka'!F11</f>
        <v>36.428571428571431</v>
      </c>
      <c r="G11" s="49">
        <f>'Avg Week Masaka-Maya'!G11+'Avg Week Maya-Masaka'!G11</f>
        <v>2.2857142857142856</v>
      </c>
      <c r="H11" s="49">
        <f>'Avg Week Masaka-Maya'!H11+'Avg Week Maya-Masaka'!H11</f>
        <v>1.8571428571428572</v>
      </c>
      <c r="I11" s="49">
        <f>'Avg Week Masaka-Maya'!I11+'Avg Week Maya-Masaka'!I11</f>
        <v>19.142857142857142</v>
      </c>
      <c r="J11" s="49">
        <f>'Avg Week Masaka-Maya'!J11+'Avg Week Maya-Masaka'!J11</f>
        <v>3.5714285714285716</v>
      </c>
      <c r="K11" s="49">
        <f>'Avg Week Masaka-Maya'!K11+'Avg Week Maya-Masaka'!K11</f>
        <v>2.5714285714285712</v>
      </c>
      <c r="L11" s="49">
        <f>'Avg Week Masaka-Maya'!L11+'Avg Week Maya-Masaka'!L11</f>
        <v>3.1428571428571428</v>
      </c>
      <c r="M11" s="49">
        <f>'Avg Week Masaka-Maya'!M11+'Avg Week Maya-Masaka'!M11</f>
        <v>44.857142857142861</v>
      </c>
      <c r="N11" s="49">
        <f>'Avg Week Masaka-Maya'!N11+'Avg Week Maya-Masaka'!N11</f>
        <v>0</v>
      </c>
      <c r="O11" s="15">
        <f t="shared" si="0"/>
        <v>127.71428571428571</v>
      </c>
      <c r="P11" s="15">
        <f t="shared" si="1"/>
        <v>172.57142857142856</v>
      </c>
      <c r="R11" s="1" t="s">
        <v>7</v>
      </c>
      <c r="S11" s="17">
        <f t="shared" ref="S11:AF11" si="3">SUM(C14:C17)</f>
        <v>182.14285714285714</v>
      </c>
      <c r="T11" s="17">
        <f t="shared" si="3"/>
        <v>45.857142857142861</v>
      </c>
      <c r="U11" s="17">
        <f t="shared" si="3"/>
        <v>27.714285714285715</v>
      </c>
      <c r="V11" s="17">
        <f t="shared" si="3"/>
        <v>181.14285714285717</v>
      </c>
      <c r="W11" s="17">
        <f t="shared" si="3"/>
        <v>7.8571428571428577</v>
      </c>
      <c r="X11" s="17">
        <f t="shared" si="3"/>
        <v>6.7142857142857144</v>
      </c>
      <c r="Y11" s="17">
        <f t="shared" si="3"/>
        <v>81.285714285714292</v>
      </c>
      <c r="Z11" s="17">
        <f t="shared" si="3"/>
        <v>20</v>
      </c>
      <c r="AA11" s="17">
        <f t="shared" si="3"/>
        <v>8.428571428571427</v>
      </c>
      <c r="AB11" s="17">
        <f t="shared" si="3"/>
        <v>14.142857142857142</v>
      </c>
      <c r="AC11" s="17">
        <f t="shared" si="3"/>
        <v>192.14285714285714</v>
      </c>
      <c r="AD11" s="17">
        <f t="shared" si="3"/>
        <v>0</v>
      </c>
      <c r="AE11" s="31">
        <f t="shared" si="3"/>
        <v>575.28571428571433</v>
      </c>
      <c r="AF11" s="31">
        <f t="shared" si="3"/>
        <v>767.42857142857144</v>
      </c>
    </row>
    <row r="12" spans="2:32" ht="23.1" customHeight="1" x14ac:dyDescent="0.25">
      <c r="B12" s="23" t="s">
        <v>39</v>
      </c>
      <c r="C12" s="49">
        <f>'Avg Week Masaka-Maya'!C12+'Avg Week Maya-Masaka'!C12</f>
        <v>42.714285714285715</v>
      </c>
      <c r="D12" s="49">
        <f>'Avg Week Masaka-Maya'!D12+'Avg Week Maya-Masaka'!D12</f>
        <v>8.1428571428571423</v>
      </c>
      <c r="E12" s="49">
        <f>'Avg Week Masaka-Maya'!E12+'Avg Week Maya-Masaka'!E12</f>
        <v>8.7142857142857153</v>
      </c>
      <c r="F12" s="49">
        <f>'Avg Week Masaka-Maya'!F12+'Avg Week Maya-Masaka'!F12</f>
        <v>34.142857142857139</v>
      </c>
      <c r="G12" s="49">
        <f>'Avg Week Masaka-Maya'!G12+'Avg Week Maya-Masaka'!G12</f>
        <v>2.8571428571428572</v>
      </c>
      <c r="H12" s="49">
        <f>'Avg Week Masaka-Maya'!H12+'Avg Week Maya-Masaka'!H12</f>
        <v>2</v>
      </c>
      <c r="I12" s="49">
        <f>'Avg Week Masaka-Maya'!I12+'Avg Week Maya-Masaka'!I12</f>
        <v>18.857142857142858</v>
      </c>
      <c r="J12" s="49">
        <f>'Avg Week Masaka-Maya'!J12+'Avg Week Maya-Masaka'!J12</f>
        <v>5.5714285714285721</v>
      </c>
      <c r="K12" s="49">
        <f>'Avg Week Masaka-Maya'!K12+'Avg Week Maya-Masaka'!K12</f>
        <v>2</v>
      </c>
      <c r="L12" s="49">
        <f>'Avg Week Masaka-Maya'!L12+'Avg Week Maya-Masaka'!L12</f>
        <v>3</v>
      </c>
      <c r="M12" s="49">
        <f>'Avg Week Masaka-Maya'!M12+'Avg Week Maya-Masaka'!M12</f>
        <v>50.285714285714285</v>
      </c>
      <c r="N12" s="49">
        <f>'Avg Week Masaka-Maya'!N12+'Avg Week Maya-Masaka'!N12</f>
        <v>0</v>
      </c>
      <c r="O12" s="15">
        <f t="shared" si="0"/>
        <v>128</v>
      </c>
      <c r="P12" s="15">
        <f t="shared" si="1"/>
        <v>178.28571428571428</v>
      </c>
      <c r="R12" s="1" t="s">
        <v>8</v>
      </c>
      <c r="S12" s="17">
        <f t="shared" ref="S12:AF12" si="4">SUM(C18:C21)</f>
        <v>188.57142857142856</v>
      </c>
      <c r="T12" s="17">
        <f t="shared" si="4"/>
        <v>49.428571428571431</v>
      </c>
      <c r="U12" s="17">
        <f t="shared" si="4"/>
        <v>31</v>
      </c>
      <c r="V12" s="17">
        <f t="shared" si="4"/>
        <v>183.42857142857142</v>
      </c>
      <c r="W12" s="17">
        <f t="shared" si="4"/>
        <v>6.8571428571428568</v>
      </c>
      <c r="X12" s="17">
        <f t="shared" si="4"/>
        <v>7.4285714285714279</v>
      </c>
      <c r="Y12" s="17">
        <f t="shared" si="4"/>
        <v>87.571428571428584</v>
      </c>
      <c r="Z12" s="17">
        <f t="shared" si="4"/>
        <v>23.285714285714288</v>
      </c>
      <c r="AA12" s="17">
        <f t="shared" si="4"/>
        <v>8.4285714285714288</v>
      </c>
      <c r="AB12" s="17">
        <f t="shared" si="4"/>
        <v>14.285714285714285</v>
      </c>
      <c r="AC12" s="17">
        <f t="shared" si="4"/>
        <v>191.57142857142858</v>
      </c>
      <c r="AD12" s="17">
        <f t="shared" si="4"/>
        <v>0</v>
      </c>
      <c r="AE12" s="31">
        <f t="shared" si="4"/>
        <v>600.28571428571422</v>
      </c>
      <c r="AF12" s="31">
        <f t="shared" si="4"/>
        <v>791.85714285714289</v>
      </c>
    </row>
    <row r="13" spans="2:32" ht="23.1" customHeight="1" x14ac:dyDescent="0.25">
      <c r="B13" s="23" t="s">
        <v>40</v>
      </c>
      <c r="C13" s="49">
        <f>'Avg Week Masaka-Maya'!C13+'Avg Week Maya-Masaka'!C13</f>
        <v>49.714285714285715</v>
      </c>
      <c r="D13" s="49">
        <f>'Avg Week Masaka-Maya'!D13+'Avg Week Maya-Masaka'!D13</f>
        <v>10.857142857142858</v>
      </c>
      <c r="E13" s="49">
        <f>'Avg Week Masaka-Maya'!E13+'Avg Week Maya-Masaka'!E13</f>
        <v>5.2857142857142865</v>
      </c>
      <c r="F13" s="49">
        <f>'Avg Week Masaka-Maya'!F13+'Avg Week Maya-Masaka'!F13</f>
        <v>43.428571428571431</v>
      </c>
      <c r="G13" s="49">
        <f>'Avg Week Masaka-Maya'!G13+'Avg Week Maya-Masaka'!G13</f>
        <v>1</v>
      </c>
      <c r="H13" s="49">
        <f>'Avg Week Masaka-Maya'!H13+'Avg Week Maya-Masaka'!H13</f>
        <v>1.2857142857142856</v>
      </c>
      <c r="I13" s="49">
        <f>'Avg Week Masaka-Maya'!I13+'Avg Week Maya-Masaka'!I13</f>
        <v>19.571428571428569</v>
      </c>
      <c r="J13" s="49">
        <f>'Avg Week Masaka-Maya'!J13+'Avg Week Maya-Masaka'!J13</f>
        <v>5.1428571428571423</v>
      </c>
      <c r="K13" s="49">
        <f>'Avg Week Masaka-Maya'!K13+'Avg Week Maya-Masaka'!K13</f>
        <v>3.5714285714285716</v>
      </c>
      <c r="L13" s="49">
        <f>'Avg Week Masaka-Maya'!L13+'Avg Week Maya-Masaka'!L13</f>
        <v>4.8571428571428577</v>
      </c>
      <c r="M13" s="49">
        <f>'Avg Week Masaka-Maya'!M13+'Avg Week Maya-Masaka'!M13</f>
        <v>49.142857142857146</v>
      </c>
      <c r="N13" s="49">
        <f>'Avg Week Masaka-Maya'!N13+'Avg Week Maya-Masaka'!N13</f>
        <v>0</v>
      </c>
      <c r="O13" s="15">
        <f t="shared" si="0"/>
        <v>144.71428571428575</v>
      </c>
      <c r="P13" s="15">
        <f t="shared" si="1"/>
        <v>193.85714285714289</v>
      </c>
      <c r="R13" s="1" t="s">
        <v>9</v>
      </c>
      <c r="S13" s="17">
        <f t="shared" ref="S13:AF13" si="5">SUM(C22:C25)</f>
        <v>218</v>
      </c>
      <c r="T13" s="17">
        <f t="shared" si="5"/>
        <v>53</v>
      </c>
      <c r="U13" s="17">
        <f t="shared" si="5"/>
        <v>31.285714285714285</v>
      </c>
      <c r="V13" s="17">
        <f t="shared" si="5"/>
        <v>204.71428571428572</v>
      </c>
      <c r="W13" s="17">
        <f t="shared" si="5"/>
        <v>11.428571428571429</v>
      </c>
      <c r="X13" s="17">
        <f t="shared" si="5"/>
        <v>7.4285714285714288</v>
      </c>
      <c r="Y13" s="17">
        <f t="shared" si="5"/>
        <v>98.571428571428584</v>
      </c>
      <c r="Z13" s="17">
        <f t="shared" si="5"/>
        <v>21.571428571428573</v>
      </c>
      <c r="AA13" s="17">
        <f t="shared" si="5"/>
        <v>18</v>
      </c>
      <c r="AB13" s="17">
        <f t="shared" si="5"/>
        <v>19.428571428571427</v>
      </c>
      <c r="AC13" s="17">
        <f t="shared" si="5"/>
        <v>189.42857142857142</v>
      </c>
      <c r="AD13" s="17">
        <f t="shared" si="5"/>
        <v>0</v>
      </c>
      <c r="AE13" s="31">
        <f t="shared" si="5"/>
        <v>683.42857142857144</v>
      </c>
      <c r="AF13" s="31">
        <f t="shared" si="5"/>
        <v>872.85714285714289</v>
      </c>
    </row>
    <row r="14" spans="2:32" ht="23.1" customHeight="1" x14ac:dyDescent="0.25">
      <c r="B14" s="23" t="s">
        <v>41</v>
      </c>
      <c r="C14" s="49">
        <f>'Avg Week Masaka-Maya'!C14+'Avg Week Maya-Masaka'!C14</f>
        <v>42.857142857142854</v>
      </c>
      <c r="D14" s="49">
        <f>'Avg Week Masaka-Maya'!D14+'Avg Week Maya-Masaka'!D14</f>
        <v>11.142857142857142</v>
      </c>
      <c r="E14" s="49">
        <f>'Avg Week Masaka-Maya'!E14+'Avg Week Maya-Masaka'!E14</f>
        <v>6.5714285714285712</v>
      </c>
      <c r="F14" s="49">
        <f>'Avg Week Masaka-Maya'!F14+'Avg Week Maya-Masaka'!F14</f>
        <v>44.285714285714285</v>
      </c>
      <c r="G14" s="49">
        <f>'Avg Week Masaka-Maya'!G14+'Avg Week Maya-Masaka'!G14</f>
        <v>1.857142857142857</v>
      </c>
      <c r="H14" s="49">
        <f>'Avg Week Masaka-Maya'!H14+'Avg Week Maya-Masaka'!H14</f>
        <v>2.4285714285714284</v>
      </c>
      <c r="I14" s="49">
        <f>'Avg Week Masaka-Maya'!I14+'Avg Week Maya-Masaka'!I14</f>
        <v>21.285714285714285</v>
      </c>
      <c r="J14" s="49">
        <f>'Avg Week Masaka-Maya'!J14+'Avg Week Maya-Masaka'!J14</f>
        <v>4.5714285714285712</v>
      </c>
      <c r="K14" s="49">
        <f>'Avg Week Masaka-Maya'!K14+'Avg Week Maya-Masaka'!K14</f>
        <v>2</v>
      </c>
      <c r="L14" s="49">
        <f>'Avg Week Masaka-Maya'!L14+'Avg Week Maya-Masaka'!L14</f>
        <v>4.1428571428571432</v>
      </c>
      <c r="M14" s="49">
        <f>'Avg Week Masaka-Maya'!M14+'Avg Week Maya-Masaka'!M14</f>
        <v>50.714285714285708</v>
      </c>
      <c r="N14" s="49">
        <f>'Avg Week Masaka-Maya'!N14+'Avg Week Maya-Masaka'!N14</f>
        <v>0</v>
      </c>
      <c r="O14" s="15">
        <f t="shared" si="0"/>
        <v>141.14285714285717</v>
      </c>
      <c r="P14" s="15">
        <f t="shared" si="1"/>
        <v>191.85714285714289</v>
      </c>
      <c r="R14" s="1" t="s">
        <v>10</v>
      </c>
      <c r="S14" s="17">
        <f t="shared" ref="S14:AF14" si="6">SUM(C26:C29)</f>
        <v>229</v>
      </c>
      <c r="T14" s="17">
        <f t="shared" si="6"/>
        <v>56.142857142857139</v>
      </c>
      <c r="U14" s="17">
        <f t="shared" si="6"/>
        <v>38.714285714285708</v>
      </c>
      <c r="V14" s="17">
        <f t="shared" si="6"/>
        <v>217.85714285714289</v>
      </c>
      <c r="W14" s="17">
        <f t="shared" si="6"/>
        <v>13</v>
      </c>
      <c r="X14" s="17">
        <f t="shared" si="6"/>
        <v>8.1428571428571423</v>
      </c>
      <c r="Y14" s="17">
        <f t="shared" si="6"/>
        <v>100.57142857142858</v>
      </c>
      <c r="Z14" s="17">
        <f t="shared" si="6"/>
        <v>20.714285714285715</v>
      </c>
      <c r="AA14" s="17">
        <f t="shared" si="6"/>
        <v>14.714285714285715</v>
      </c>
      <c r="AB14" s="17">
        <f t="shared" si="6"/>
        <v>17.857142857142858</v>
      </c>
      <c r="AC14" s="17">
        <f t="shared" si="6"/>
        <v>192.85714285714283</v>
      </c>
      <c r="AD14" s="17">
        <f t="shared" si="6"/>
        <v>0</v>
      </c>
      <c r="AE14" s="31">
        <f t="shared" si="6"/>
        <v>716.71428571428578</v>
      </c>
      <c r="AF14" s="31">
        <f t="shared" si="6"/>
        <v>909.57142857142844</v>
      </c>
    </row>
    <row r="15" spans="2:32" ht="23.1" customHeight="1" x14ac:dyDescent="0.25">
      <c r="B15" s="23" t="s">
        <v>42</v>
      </c>
      <c r="C15" s="49">
        <f>'Avg Week Masaka-Maya'!C15+'Avg Week Maya-Masaka'!C15</f>
        <v>47.285714285714285</v>
      </c>
      <c r="D15" s="49">
        <f>'Avg Week Masaka-Maya'!D15+'Avg Week Maya-Masaka'!D15</f>
        <v>12.571428571428571</v>
      </c>
      <c r="E15" s="49">
        <f>'Avg Week Masaka-Maya'!E15+'Avg Week Maya-Masaka'!E15</f>
        <v>9.2857142857142865</v>
      </c>
      <c r="F15" s="49">
        <f>'Avg Week Masaka-Maya'!F15+'Avg Week Maya-Masaka'!F15</f>
        <v>49.571428571428569</v>
      </c>
      <c r="G15" s="49">
        <f>'Avg Week Masaka-Maya'!G15+'Avg Week Maya-Masaka'!G15</f>
        <v>2.4285714285714288</v>
      </c>
      <c r="H15" s="49">
        <f>'Avg Week Masaka-Maya'!H15+'Avg Week Maya-Masaka'!H15</f>
        <v>2</v>
      </c>
      <c r="I15" s="49">
        <f>'Avg Week Masaka-Maya'!I15+'Avg Week Maya-Masaka'!I15</f>
        <v>21</v>
      </c>
      <c r="J15" s="49">
        <f>'Avg Week Masaka-Maya'!J15+'Avg Week Maya-Masaka'!J15</f>
        <v>4.4285714285714288</v>
      </c>
      <c r="K15" s="49">
        <f>'Avg Week Masaka-Maya'!K15+'Avg Week Maya-Masaka'!K15</f>
        <v>1.857142857142857</v>
      </c>
      <c r="L15" s="49">
        <f>'Avg Week Masaka-Maya'!L15+'Avg Week Maya-Masaka'!L15</f>
        <v>3.5714285714285712</v>
      </c>
      <c r="M15" s="49">
        <f>'Avg Week Masaka-Maya'!M15+'Avg Week Maya-Masaka'!M15</f>
        <v>46.571428571428569</v>
      </c>
      <c r="N15" s="49">
        <f>'Avg Week Masaka-Maya'!N15+'Avg Week Maya-Masaka'!N15</f>
        <v>0</v>
      </c>
      <c r="O15" s="15">
        <f t="shared" si="0"/>
        <v>154</v>
      </c>
      <c r="P15" s="15">
        <f t="shared" si="1"/>
        <v>200.57142857142856</v>
      </c>
      <c r="R15" s="1" t="s">
        <v>11</v>
      </c>
      <c r="S15" s="17">
        <f t="shared" ref="S15:AF15" si="7">SUM(C30:C33)</f>
        <v>252.99999999999997</v>
      </c>
      <c r="T15" s="17">
        <f t="shared" si="7"/>
        <v>56.142857142857146</v>
      </c>
      <c r="U15" s="17">
        <f t="shared" si="7"/>
        <v>40.714285714285715</v>
      </c>
      <c r="V15" s="17">
        <f t="shared" si="7"/>
        <v>206.42857142857142</v>
      </c>
      <c r="W15" s="17">
        <f t="shared" si="7"/>
        <v>10</v>
      </c>
      <c r="X15" s="17">
        <f t="shared" si="7"/>
        <v>15.285714285714285</v>
      </c>
      <c r="Y15" s="17">
        <f t="shared" si="7"/>
        <v>109.14285714285714</v>
      </c>
      <c r="Z15" s="17">
        <f t="shared" si="7"/>
        <v>21.714285714285715</v>
      </c>
      <c r="AA15" s="17">
        <f t="shared" si="7"/>
        <v>10.857142857142858</v>
      </c>
      <c r="AB15" s="17">
        <f t="shared" si="7"/>
        <v>15.571428571428571</v>
      </c>
      <c r="AC15" s="17">
        <f t="shared" si="7"/>
        <v>201.57142857142856</v>
      </c>
      <c r="AD15" s="17">
        <f t="shared" si="7"/>
        <v>0.14285714285714285</v>
      </c>
      <c r="AE15" s="31">
        <f t="shared" si="7"/>
        <v>739</v>
      </c>
      <c r="AF15" s="31">
        <f t="shared" si="7"/>
        <v>940.57142857142844</v>
      </c>
    </row>
    <row r="16" spans="2:32" ht="23.1" customHeight="1" x14ac:dyDescent="0.25">
      <c r="B16" s="23" t="s">
        <v>43</v>
      </c>
      <c r="C16" s="49">
        <f>'Avg Week Masaka-Maya'!C16+'Avg Week Maya-Masaka'!C16</f>
        <v>49.857142857142854</v>
      </c>
      <c r="D16" s="49">
        <f>'Avg Week Masaka-Maya'!D16+'Avg Week Maya-Masaka'!D16</f>
        <v>12.285714285714286</v>
      </c>
      <c r="E16" s="49">
        <f>'Avg Week Masaka-Maya'!E16+'Avg Week Maya-Masaka'!E16</f>
        <v>6.5714285714285712</v>
      </c>
      <c r="F16" s="49">
        <f>'Avg Week Masaka-Maya'!F16+'Avg Week Maya-Masaka'!F16</f>
        <v>42.571428571428569</v>
      </c>
      <c r="G16" s="49">
        <f>'Avg Week Masaka-Maya'!G16+'Avg Week Maya-Masaka'!G16</f>
        <v>2</v>
      </c>
      <c r="H16" s="49">
        <f>'Avg Week Masaka-Maya'!H16+'Avg Week Maya-Masaka'!H16</f>
        <v>1.2857142857142856</v>
      </c>
      <c r="I16" s="49">
        <f>'Avg Week Masaka-Maya'!I16+'Avg Week Maya-Masaka'!I16</f>
        <v>21.142857142857142</v>
      </c>
      <c r="J16" s="49">
        <f>'Avg Week Masaka-Maya'!J16+'Avg Week Maya-Masaka'!J16</f>
        <v>6.7142857142857135</v>
      </c>
      <c r="K16" s="49">
        <f>'Avg Week Masaka-Maya'!K16+'Avg Week Maya-Masaka'!K16</f>
        <v>1.2857142857142856</v>
      </c>
      <c r="L16" s="49">
        <f>'Avg Week Masaka-Maya'!L16+'Avg Week Maya-Masaka'!L16</f>
        <v>3.2857142857142856</v>
      </c>
      <c r="M16" s="49">
        <f>'Avg Week Masaka-Maya'!M16+'Avg Week Maya-Masaka'!M16</f>
        <v>46.857142857142861</v>
      </c>
      <c r="N16" s="49">
        <f>'Avg Week Masaka-Maya'!N16+'Avg Week Maya-Masaka'!N16</f>
        <v>0</v>
      </c>
      <c r="O16" s="15">
        <f t="shared" si="0"/>
        <v>147</v>
      </c>
      <c r="P16" s="15">
        <f t="shared" si="1"/>
        <v>193.85714285714286</v>
      </c>
      <c r="R16" s="1" t="s">
        <v>12</v>
      </c>
      <c r="S16" s="17">
        <f t="shared" ref="S16:AF16" si="8">SUM(C34:C37)</f>
        <v>265</v>
      </c>
      <c r="T16" s="17">
        <f t="shared" si="8"/>
        <v>50.714285714285722</v>
      </c>
      <c r="U16" s="17">
        <f t="shared" si="8"/>
        <v>44.285714285714292</v>
      </c>
      <c r="V16" s="17">
        <f t="shared" si="8"/>
        <v>200.42857142857144</v>
      </c>
      <c r="W16" s="17">
        <f t="shared" si="8"/>
        <v>9.5714285714285712</v>
      </c>
      <c r="X16" s="17">
        <f t="shared" si="8"/>
        <v>11.428571428571431</v>
      </c>
      <c r="Y16" s="17">
        <f t="shared" si="8"/>
        <v>112.28571428571429</v>
      </c>
      <c r="Z16" s="17">
        <f t="shared" si="8"/>
        <v>23</v>
      </c>
      <c r="AA16" s="17">
        <f t="shared" si="8"/>
        <v>12</v>
      </c>
      <c r="AB16" s="17">
        <f t="shared" si="8"/>
        <v>18.714285714285715</v>
      </c>
      <c r="AC16" s="17">
        <f t="shared" si="8"/>
        <v>177.85714285714286</v>
      </c>
      <c r="AD16" s="17">
        <f t="shared" si="8"/>
        <v>0</v>
      </c>
      <c r="AE16" s="31">
        <f t="shared" si="8"/>
        <v>747.42857142857156</v>
      </c>
      <c r="AF16" s="31">
        <f t="shared" si="8"/>
        <v>925.28571428571433</v>
      </c>
    </row>
    <row r="17" spans="2:32" ht="23.1" customHeight="1" x14ac:dyDescent="0.25">
      <c r="B17" s="23" t="s">
        <v>44</v>
      </c>
      <c r="C17" s="49">
        <f>'Avg Week Masaka-Maya'!C17+'Avg Week Maya-Masaka'!C17</f>
        <v>42.142857142857146</v>
      </c>
      <c r="D17" s="49">
        <f>'Avg Week Masaka-Maya'!D17+'Avg Week Maya-Masaka'!D17</f>
        <v>9.8571428571428577</v>
      </c>
      <c r="E17" s="49">
        <f>'Avg Week Masaka-Maya'!E17+'Avg Week Maya-Masaka'!E17</f>
        <v>5.2857142857142856</v>
      </c>
      <c r="F17" s="49">
        <f>'Avg Week Masaka-Maya'!F17+'Avg Week Maya-Masaka'!F17</f>
        <v>44.714285714285708</v>
      </c>
      <c r="G17" s="49">
        <f>'Avg Week Masaka-Maya'!G17+'Avg Week Maya-Masaka'!G17</f>
        <v>1.5714285714285716</v>
      </c>
      <c r="H17" s="49">
        <f>'Avg Week Masaka-Maya'!H17+'Avg Week Maya-Masaka'!H17</f>
        <v>1</v>
      </c>
      <c r="I17" s="49">
        <f>'Avg Week Masaka-Maya'!I17+'Avg Week Maya-Masaka'!I17</f>
        <v>17.857142857142858</v>
      </c>
      <c r="J17" s="49">
        <f>'Avg Week Masaka-Maya'!J17+'Avg Week Maya-Masaka'!J17</f>
        <v>4.2857142857142856</v>
      </c>
      <c r="K17" s="49">
        <f>'Avg Week Masaka-Maya'!K17+'Avg Week Maya-Masaka'!K17</f>
        <v>3.2857142857142856</v>
      </c>
      <c r="L17" s="49">
        <f>'Avg Week Masaka-Maya'!L17+'Avg Week Maya-Masaka'!L17</f>
        <v>3.1428571428571432</v>
      </c>
      <c r="M17" s="49">
        <f>'Avg Week Masaka-Maya'!M17+'Avg Week Maya-Masaka'!M17</f>
        <v>48</v>
      </c>
      <c r="N17" s="49">
        <f>'Avg Week Masaka-Maya'!N17+'Avg Week Maya-Masaka'!N17</f>
        <v>0</v>
      </c>
      <c r="O17" s="15">
        <f t="shared" si="0"/>
        <v>133.14285714285714</v>
      </c>
      <c r="P17" s="15">
        <f t="shared" si="1"/>
        <v>181.14285714285714</v>
      </c>
      <c r="R17" s="1" t="s">
        <v>13</v>
      </c>
      <c r="S17" s="17">
        <f t="shared" ref="S17:AF17" si="9">SUM(C38:C41)</f>
        <v>267</v>
      </c>
      <c r="T17" s="17">
        <f t="shared" si="9"/>
        <v>55.714285714285715</v>
      </c>
      <c r="U17" s="17">
        <f t="shared" si="9"/>
        <v>54.428571428571431</v>
      </c>
      <c r="V17" s="17">
        <f t="shared" si="9"/>
        <v>189.28571428571431</v>
      </c>
      <c r="W17" s="17">
        <f t="shared" si="9"/>
        <v>10</v>
      </c>
      <c r="X17" s="17">
        <f t="shared" si="9"/>
        <v>12</v>
      </c>
      <c r="Y17" s="17">
        <f t="shared" si="9"/>
        <v>116.42857142857142</v>
      </c>
      <c r="Z17" s="17">
        <f t="shared" si="9"/>
        <v>26.000000000000004</v>
      </c>
      <c r="AA17" s="17">
        <f t="shared" si="9"/>
        <v>10.571428571428571</v>
      </c>
      <c r="AB17" s="17">
        <f t="shared" si="9"/>
        <v>17.285714285714288</v>
      </c>
      <c r="AC17" s="17">
        <f t="shared" si="9"/>
        <v>168.57142857142856</v>
      </c>
      <c r="AD17" s="17">
        <f t="shared" si="9"/>
        <v>0.2857142857142857</v>
      </c>
      <c r="AE17" s="31">
        <f t="shared" si="9"/>
        <v>759</v>
      </c>
      <c r="AF17" s="31">
        <f t="shared" si="9"/>
        <v>927.57142857142867</v>
      </c>
    </row>
    <row r="18" spans="2:32" ht="23.1" customHeight="1" x14ac:dyDescent="0.25">
      <c r="B18" s="23" t="s">
        <v>45</v>
      </c>
      <c r="C18" s="49">
        <f>'Avg Week Masaka-Maya'!C18+'Avg Week Maya-Masaka'!C18</f>
        <v>50.857142857142861</v>
      </c>
      <c r="D18" s="49">
        <f>'Avg Week Masaka-Maya'!D18+'Avg Week Maya-Masaka'!D18</f>
        <v>10.857142857142858</v>
      </c>
      <c r="E18" s="49">
        <f>'Avg Week Masaka-Maya'!E18+'Avg Week Maya-Masaka'!E18</f>
        <v>9</v>
      </c>
      <c r="F18" s="49">
        <f>'Avg Week Masaka-Maya'!F18+'Avg Week Maya-Masaka'!F18</f>
        <v>49.857142857142861</v>
      </c>
      <c r="G18" s="49">
        <f>'Avg Week Masaka-Maya'!G18+'Avg Week Maya-Masaka'!G18</f>
        <v>1.2857142857142856</v>
      </c>
      <c r="H18" s="49">
        <f>'Avg Week Masaka-Maya'!H18+'Avg Week Maya-Masaka'!H18</f>
        <v>2.2857142857142856</v>
      </c>
      <c r="I18" s="49">
        <f>'Avg Week Masaka-Maya'!I18+'Avg Week Maya-Masaka'!I18</f>
        <v>21.857142857142854</v>
      </c>
      <c r="J18" s="49">
        <f>'Avg Week Masaka-Maya'!J18+'Avg Week Maya-Masaka'!J18</f>
        <v>8.2857142857142865</v>
      </c>
      <c r="K18" s="49">
        <f>'Avg Week Masaka-Maya'!K18+'Avg Week Maya-Masaka'!K18</f>
        <v>3.4285714285714288</v>
      </c>
      <c r="L18" s="49">
        <f>'Avg Week Masaka-Maya'!L18+'Avg Week Maya-Masaka'!L18</f>
        <v>4</v>
      </c>
      <c r="M18" s="49">
        <f>'Avg Week Masaka-Maya'!M18+'Avg Week Maya-Masaka'!M18</f>
        <v>48.285714285714285</v>
      </c>
      <c r="N18" s="49">
        <f>'Avg Week Masaka-Maya'!N18+'Avg Week Maya-Masaka'!N18</f>
        <v>0</v>
      </c>
      <c r="O18" s="15">
        <f t="shared" si="0"/>
        <v>161.71428571428572</v>
      </c>
      <c r="P18" s="15">
        <f t="shared" si="1"/>
        <v>210</v>
      </c>
      <c r="R18" s="1" t="s">
        <v>14</v>
      </c>
      <c r="S18" s="17">
        <f t="shared" ref="S18:AF18" si="10">SUM(C42:C45)</f>
        <v>277.85714285714289</v>
      </c>
      <c r="T18" s="17">
        <f t="shared" si="10"/>
        <v>58.142857142857139</v>
      </c>
      <c r="U18" s="17">
        <f t="shared" si="10"/>
        <v>50.857142857142854</v>
      </c>
      <c r="V18" s="17">
        <f t="shared" si="10"/>
        <v>187</v>
      </c>
      <c r="W18" s="17">
        <f t="shared" si="10"/>
        <v>7.7142857142857135</v>
      </c>
      <c r="X18" s="17">
        <f t="shared" si="10"/>
        <v>15.571428571428571</v>
      </c>
      <c r="Y18" s="17">
        <f t="shared" si="10"/>
        <v>125.85714285714285</v>
      </c>
      <c r="Z18" s="17">
        <f t="shared" si="10"/>
        <v>31.571428571428569</v>
      </c>
      <c r="AA18" s="17">
        <f t="shared" si="10"/>
        <v>8.7142857142857153</v>
      </c>
      <c r="AB18" s="17">
        <f t="shared" si="10"/>
        <v>18.142857142857142</v>
      </c>
      <c r="AC18" s="17">
        <f t="shared" si="10"/>
        <v>174</v>
      </c>
      <c r="AD18" s="17">
        <f t="shared" si="10"/>
        <v>0.14285714285714285</v>
      </c>
      <c r="AE18" s="31">
        <f t="shared" si="10"/>
        <v>781.57142857142844</v>
      </c>
      <c r="AF18" s="31">
        <f t="shared" si="10"/>
        <v>955.57142857142856</v>
      </c>
    </row>
    <row r="19" spans="2:32" ht="23.1" customHeight="1" x14ac:dyDescent="0.25">
      <c r="B19" s="23" t="s">
        <v>46</v>
      </c>
      <c r="C19" s="49">
        <f>'Avg Week Masaka-Maya'!C19+'Avg Week Maya-Masaka'!C19</f>
        <v>42</v>
      </c>
      <c r="D19" s="49">
        <f>'Avg Week Masaka-Maya'!D19+'Avg Week Maya-Masaka'!D19</f>
        <v>10.142857142857142</v>
      </c>
      <c r="E19" s="49">
        <f>'Avg Week Masaka-Maya'!E19+'Avg Week Maya-Masaka'!E19</f>
        <v>5.1428571428571423</v>
      </c>
      <c r="F19" s="49">
        <f>'Avg Week Masaka-Maya'!F19+'Avg Week Maya-Masaka'!F19</f>
        <v>43.714285714285708</v>
      </c>
      <c r="G19" s="49">
        <f>'Avg Week Masaka-Maya'!G19+'Avg Week Maya-Masaka'!G19</f>
        <v>2</v>
      </c>
      <c r="H19" s="49">
        <f>'Avg Week Masaka-Maya'!H19+'Avg Week Maya-Masaka'!H19</f>
        <v>1</v>
      </c>
      <c r="I19" s="49">
        <f>'Avg Week Masaka-Maya'!I19+'Avg Week Maya-Masaka'!I19</f>
        <v>19.714285714285715</v>
      </c>
      <c r="J19" s="49">
        <f>'Avg Week Masaka-Maya'!J19+'Avg Week Maya-Masaka'!J19</f>
        <v>5.7142857142857144</v>
      </c>
      <c r="K19" s="49">
        <f>'Avg Week Masaka-Maya'!K19+'Avg Week Maya-Masaka'!K19</f>
        <v>0.85714285714285721</v>
      </c>
      <c r="L19" s="49">
        <f>'Avg Week Masaka-Maya'!L19+'Avg Week Maya-Masaka'!L19</f>
        <v>3.1428571428571428</v>
      </c>
      <c r="M19" s="49">
        <f>'Avg Week Masaka-Maya'!M19+'Avg Week Maya-Masaka'!M19</f>
        <v>46</v>
      </c>
      <c r="N19" s="49">
        <f>'Avg Week Masaka-Maya'!N19+'Avg Week Maya-Masaka'!N19</f>
        <v>0</v>
      </c>
      <c r="O19" s="15">
        <f t="shared" si="0"/>
        <v>133.42857142857142</v>
      </c>
      <c r="P19" s="15">
        <f t="shared" si="1"/>
        <v>179.42857142857142</v>
      </c>
      <c r="R19" s="1" t="s">
        <v>15</v>
      </c>
      <c r="S19" s="17">
        <f t="shared" ref="S19:AF19" si="11">SUM(C46:C49)</f>
        <v>294.14285714285711</v>
      </c>
      <c r="T19" s="17">
        <f t="shared" si="11"/>
        <v>64.285714285714278</v>
      </c>
      <c r="U19" s="17">
        <f t="shared" si="11"/>
        <v>52.714285714285708</v>
      </c>
      <c r="V19" s="17">
        <f t="shared" si="11"/>
        <v>207.00000000000003</v>
      </c>
      <c r="W19" s="17">
        <f t="shared" si="11"/>
        <v>15.285714285714286</v>
      </c>
      <c r="X19" s="17">
        <f t="shared" si="11"/>
        <v>15.571428571428573</v>
      </c>
      <c r="Y19" s="17">
        <f t="shared" si="11"/>
        <v>136.71428571428572</v>
      </c>
      <c r="Z19" s="17">
        <f t="shared" si="11"/>
        <v>28.714285714285712</v>
      </c>
      <c r="AA19" s="17">
        <f t="shared" si="11"/>
        <v>17.285714285714285</v>
      </c>
      <c r="AB19" s="17">
        <f t="shared" si="11"/>
        <v>21.714285714285715</v>
      </c>
      <c r="AC19" s="17">
        <f t="shared" si="11"/>
        <v>211.42857142857144</v>
      </c>
      <c r="AD19" s="17">
        <f t="shared" si="11"/>
        <v>0</v>
      </c>
      <c r="AE19" s="31">
        <f t="shared" si="11"/>
        <v>853.42857142857133</v>
      </c>
      <c r="AF19" s="31">
        <f t="shared" si="11"/>
        <v>1064.8571428571427</v>
      </c>
    </row>
    <row r="20" spans="2:32" ht="23.1" customHeight="1" x14ac:dyDescent="0.25">
      <c r="B20" s="23" t="s">
        <v>47</v>
      </c>
      <c r="C20" s="49">
        <f>'Avg Week Masaka-Maya'!C20+'Avg Week Maya-Masaka'!C20</f>
        <v>47</v>
      </c>
      <c r="D20" s="49">
        <f>'Avg Week Masaka-Maya'!D20+'Avg Week Maya-Masaka'!D20</f>
        <v>12.428571428571429</v>
      </c>
      <c r="E20" s="49">
        <f>'Avg Week Masaka-Maya'!E20+'Avg Week Maya-Masaka'!E20</f>
        <v>9.8571428571428577</v>
      </c>
      <c r="F20" s="49">
        <f>'Avg Week Masaka-Maya'!F20+'Avg Week Maya-Masaka'!F20</f>
        <v>42.571428571428569</v>
      </c>
      <c r="G20" s="49">
        <f>'Avg Week Masaka-Maya'!G20+'Avg Week Maya-Masaka'!G20</f>
        <v>2.5714285714285712</v>
      </c>
      <c r="H20" s="49">
        <f>'Avg Week Masaka-Maya'!H20+'Avg Week Maya-Masaka'!H20</f>
        <v>1.8571428571428572</v>
      </c>
      <c r="I20" s="49">
        <f>'Avg Week Masaka-Maya'!I20+'Avg Week Maya-Masaka'!I20</f>
        <v>19.857142857142858</v>
      </c>
      <c r="J20" s="49">
        <f>'Avg Week Masaka-Maya'!J20+'Avg Week Maya-Masaka'!J20</f>
        <v>6.4285714285714288</v>
      </c>
      <c r="K20" s="49">
        <f>'Avg Week Masaka-Maya'!K20+'Avg Week Maya-Masaka'!K20</f>
        <v>1.5714285714285714</v>
      </c>
      <c r="L20" s="49">
        <f>'Avg Week Masaka-Maya'!L20+'Avg Week Maya-Masaka'!L20</f>
        <v>4.4285714285714288</v>
      </c>
      <c r="M20" s="49">
        <f>'Avg Week Masaka-Maya'!M20+'Avg Week Maya-Masaka'!M20</f>
        <v>44.428571428571431</v>
      </c>
      <c r="N20" s="49">
        <f>'Avg Week Masaka-Maya'!N20+'Avg Week Maya-Masaka'!N20</f>
        <v>0</v>
      </c>
      <c r="O20" s="15">
        <f t="shared" si="0"/>
        <v>148.57142857142856</v>
      </c>
      <c r="P20" s="15">
        <f t="shared" si="1"/>
        <v>193</v>
      </c>
      <c r="R20" s="1" t="s">
        <v>16</v>
      </c>
      <c r="S20" s="17">
        <f t="shared" ref="S20:AF20" si="12">SUM(C50:C53)</f>
        <v>298.14285714285717</v>
      </c>
      <c r="T20" s="17">
        <f t="shared" si="12"/>
        <v>63</v>
      </c>
      <c r="U20" s="17">
        <f t="shared" si="12"/>
        <v>47.285714285714285</v>
      </c>
      <c r="V20" s="17">
        <f t="shared" si="12"/>
        <v>227.71428571428572</v>
      </c>
      <c r="W20" s="17">
        <f t="shared" si="12"/>
        <v>19.285714285714285</v>
      </c>
      <c r="X20" s="17">
        <f t="shared" si="12"/>
        <v>16.285714285714288</v>
      </c>
      <c r="Y20" s="17">
        <f t="shared" si="12"/>
        <v>125.14285714285715</v>
      </c>
      <c r="Z20" s="17">
        <f t="shared" si="12"/>
        <v>26.285714285714285</v>
      </c>
      <c r="AA20" s="17">
        <f t="shared" si="12"/>
        <v>15</v>
      </c>
      <c r="AB20" s="17">
        <f t="shared" si="12"/>
        <v>18.857142857142861</v>
      </c>
      <c r="AC20" s="17">
        <f t="shared" si="12"/>
        <v>224.14285714285714</v>
      </c>
      <c r="AD20" s="17">
        <f t="shared" si="12"/>
        <v>0</v>
      </c>
      <c r="AE20" s="31">
        <f t="shared" si="12"/>
        <v>857</v>
      </c>
      <c r="AF20" s="31">
        <f t="shared" si="12"/>
        <v>1081.1428571428571</v>
      </c>
    </row>
    <row r="21" spans="2:32" ht="23.1" customHeight="1" x14ac:dyDescent="0.25">
      <c r="B21" s="23" t="s">
        <v>48</v>
      </c>
      <c r="C21" s="49">
        <f>'Avg Week Masaka-Maya'!C21+'Avg Week Maya-Masaka'!C21</f>
        <v>48.714285714285708</v>
      </c>
      <c r="D21" s="49">
        <f>'Avg Week Masaka-Maya'!D21+'Avg Week Maya-Masaka'!D21</f>
        <v>16</v>
      </c>
      <c r="E21" s="49">
        <f>'Avg Week Masaka-Maya'!E21+'Avg Week Maya-Masaka'!E21</f>
        <v>7</v>
      </c>
      <c r="F21" s="49">
        <f>'Avg Week Masaka-Maya'!F21+'Avg Week Maya-Masaka'!F21</f>
        <v>47.285714285714285</v>
      </c>
      <c r="G21" s="49">
        <f>'Avg Week Masaka-Maya'!G21+'Avg Week Maya-Masaka'!G21</f>
        <v>1</v>
      </c>
      <c r="H21" s="49">
        <f>'Avg Week Masaka-Maya'!H21+'Avg Week Maya-Masaka'!H21</f>
        <v>2.2857142857142856</v>
      </c>
      <c r="I21" s="49">
        <f>'Avg Week Masaka-Maya'!I21+'Avg Week Maya-Masaka'!I21</f>
        <v>26.142857142857146</v>
      </c>
      <c r="J21" s="49">
        <f>'Avg Week Masaka-Maya'!J21+'Avg Week Maya-Masaka'!J21</f>
        <v>2.8571428571428572</v>
      </c>
      <c r="K21" s="49">
        <f>'Avg Week Masaka-Maya'!K21+'Avg Week Maya-Masaka'!K21</f>
        <v>2.5714285714285712</v>
      </c>
      <c r="L21" s="49">
        <f>'Avg Week Masaka-Maya'!L21+'Avg Week Maya-Masaka'!L21</f>
        <v>2.7142857142857144</v>
      </c>
      <c r="M21" s="49">
        <f>'Avg Week Masaka-Maya'!M21+'Avg Week Maya-Masaka'!M21</f>
        <v>52.857142857142861</v>
      </c>
      <c r="N21" s="49">
        <f>'Avg Week Masaka-Maya'!N21+'Avg Week Maya-Masaka'!N21</f>
        <v>0</v>
      </c>
      <c r="O21" s="15">
        <f t="shared" si="0"/>
        <v>156.57142857142861</v>
      </c>
      <c r="P21" s="15">
        <f t="shared" si="1"/>
        <v>209.42857142857147</v>
      </c>
      <c r="R21" s="36" t="s">
        <v>20</v>
      </c>
      <c r="S21" s="34">
        <f t="shared" ref="S21:AF21" si="13">SUM(C54:C57)</f>
        <v>338.42857142857144</v>
      </c>
      <c r="T21" s="17">
        <f t="shared" si="13"/>
        <v>67.285714285714278</v>
      </c>
      <c r="U21" s="17">
        <f t="shared" si="13"/>
        <v>47.285714285714285</v>
      </c>
      <c r="V21" s="17">
        <f t="shared" si="13"/>
        <v>240</v>
      </c>
      <c r="W21" s="17">
        <f t="shared" si="13"/>
        <v>23.428571428571427</v>
      </c>
      <c r="X21" s="17">
        <f t="shared" si="13"/>
        <v>11.571428571428571</v>
      </c>
      <c r="Y21" s="17">
        <f t="shared" si="13"/>
        <v>140.57142857142856</v>
      </c>
      <c r="Z21" s="17">
        <f t="shared" si="13"/>
        <v>36.714285714285715</v>
      </c>
      <c r="AA21" s="17">
        <f t="shared" si="13"/>
        <v>19</v>
      </c>
      <c r="AB21" s="17">
        <f t="shared" si="13"/>
        <v>20</v>
      </c>
      <c r="AC21" s="17">
        <f t="shared" si="13"/>
        <v>232.57142857142856</v>
      </c>
      <c r="AD21" s="17">
        <f t="shared" si="13"/>
        <v>0</v>
      </c>
      <c r="AE21" s="31">
        <f t="shared" si="13"/>
        <v>944.28571428571445</v>
      </c>
      <c r="AF21" s="31">
        <f t="shared" si="13"/>
        <v>1176.8571428571429</v>
      </c>
    </row>
    <row r="22" spans="2:32" ht="23.1" customHeight="1" x14ac:dyDescent="0.25">
      <c r="B22" s="23" t="s">
        <v>49</v>
      </c>
      <c r="C22" s="49">
        <f>'Avg Week Masaka-Maya'!C22+'Avg Week Maya-Masaka'!C22</f>
        <v>60.285714285714292</v>
      </c>
      <c r="D22" s="49">
        <f>'Avg Week Masaka-Maya'!D22+'Avg Week Maya-Masaka'!D22</f>
        <v>13</v>
      </c>
      <c r="E22" s="49">
        <f>'Avg Week Masaka-Maya'!E22+'Avg Week Maya-Masaka'!E22</f>
        <v>8.8571428571428577</v>
      </c>
      <c r="F22" s="49">
        <f>'Avg Week Masaka-Maya'!F22+'Avg Week Maya-Masaka'!F22</f>
        <v>52.285714285714285</v>
      </c>
      <c r="G22" s="49">
        <f>'Avg Week Masaka-Maya'!G22+'Avg Week Maya-Masaka'!G22</f>
        <v>2.5714285714285712</v>
      </c>
      <c r="H22" s="49">
        <f>'Avg Week Masaka-Maya'!H22+'Avg Week Maya-Masaka'!H22</f>
        <v>2.1428571428571428</v>
      </c>
      <c r="I22" s="49">
        <f>'Avg Week Masaka-Maya'!I22+'Avg Week Maya-Masaka'!I22</f>
        <v>24.428571428571431</v>
      </c>
      <c r="J22" s="49">
        <f>'Avg Week Masaka-Maya'!J22+'Avg Week Maya-Masaka'!J22</f>
        <v>5.5714285714285712</v>
      </c>
      <c r="K22" s="49">
        <f>'Avg Week Masaka-Maya'!K22+'Avg Week Maya-Masaka'!K22</f>
        <v>4.4285714285714288</v>
      </c>
      <c r="L22" s="49">
        <f>'Avg Week Masaka-Maya'!L22+'Avg Week Maya-Masaka'!L22</f>
        <v>5.2857142857142856</v>
      </c>
      <c r="M22" s="49">
        <f>'Avg Week Masaka-Maya'!M22+'Avg Week Maya-Masaka'!M22</f>
        <v>50.714285714285715</v>
      </c>
      <c r="N22" s="49">
        <f>'Avg Week Masaka-Maya'!N22+'Avg Week Maya-Masaka'!N22</f>
        <v>0</v>
      </c>
      <c r="O22" s="15">
        <f t="shared" si="0"/>
        <v>178.85714285714289</v>
      </c>
      <c r="P22" s="15">
        <f t="shared" si="1"/>
        <v>229.57142857142861</v>
      </c>
      <c r="R22" s="1" t="s">
        <v>146</v>
      </c>
      <c r="S22" s="34">
        <f>SUM(C58:C61)</f>
        <v>155.5</v>
      </c>
      <c r="T22" s="34">
        <f t="shared" ref="T22:AF22" si="14">SUM(D58:D61)</f>
        <v>54</v>
      </c>
      <c r="U22" s="34">
        <f t="shared" si="14"/>
        <v>42.5</v>
      </c>
      <c r="V22" s="34">
        <f t="shared" si="14"/>
        <v>222</v>
      </c>
      <c r="W22" s="34">
        <f t="shared" si="14"/>
        <v>25</v>
      </c>
      <c r="X22" s="34">
        <f t="shared" si="14"/>
        <v>21.5</v>
      </c>
      <c r="Y22" s="34">
        <f t="shared" si="14"/>
        <v>110.5</v>
      </c>
      <c r="Z22" s="34">
        <f t="shared" si="14"/>
        <v>32.5</v>
      </c>
      <c r="AA22" s="34">
        <f t="shared" si="14"/>
        <v>33.5</v>
      </c>
      <c r="AB22" s="34">
        <f t="shared" si="14"/>
        <v>31.5</v>
      </c>
      <c r="AC22" s="34">
        <f t="shared" si="14"/>
        <v>142.5</v>
      </c>
      <c r="AD22" s="34">
        <f t="shared" si="14"/>
        <v>0</v>
      </c>
      <c r="AE22" s="31">
        <f t="shared" si="14"/>
        <v>728.5</v>
      </c>
      <c r="AF22" s="31">
        <f t="shared" si="14"/>
        <v>871</v>
      </c>
    </row>
    <row r="23" spans="2:32" ht="23.1" customHeight="1" x14ac:dyDescent="0.25">
      <c r="B23" s="23" t="s">
        <v>50</v>
      </c>
      <c r="C23" s="49">
        <f>'Avg Week Masaka-Maya'!C23+'Avg Week Maya-Masaka'!C23</f>
        <v>52</v>
      </c>
      <c r="D23" s="49">
        <f>'Avg Week Masaka-Maya'!D23+'Avg Week Maya-Masaka'!D23</f>
        <v>14.285714285714285</v>
      </c>
      <c r="E23" s="49">
        <f>'Avg Week Masaka-Maya'!E23+'Avg Week Maya-Masaka'!E23</f>
        <v>8.4285714285714288</v>
      </c>
      <c r="F23" s="49">
        <f>'Avg Week Masaka-Maya'!F23+'Avg Week Maya-Masaka'!F23</f>
        <v>53.428571428571431</v>
      </c>
      <c r="G23" s="49">
        <f>'Avg Week Masaka-Maya'!G23+'Avg Week Maya-Masaka'!G23</f>
        <v>2.4285714285714284</v>
      </c>
      <c r="H23" s="49">
        <f>'Avg Week Masaka-Maya'!H23+'Avg Week Maya-Masaka'!H23</f>
        <v>2.2857142857142856</v>
      </c>
      <c r="I23" s="49">
        <f>'Avg Week Masaka-Maya'!I23+'Avg Week Maya-Masaka'!I23</f>
        <v>23.714285714285715</v>
      </c>
      <c r="J23" s="49">
        <f>'Avg Week Masaka-Maya'!J23+'Avg Week Maya-Masaka'!J23</f>
        <v>4.4285714285714288</v>
      </c>
      <c r="K23" s="49">
        <f>'Avg Week Masaka-Maya'!K23+'Avg Week Maya-Masaka'!K23</f>
        <v>5.4285714285714288</v>
      </c>
      <c r="L23" s="49">
        <f>'Avg Week Masaka-Maya'!L23+'Avg Week Maya-Masaka'!L23</f>
        <v>3.8571428571428568</v>
      </c>
      <c r="M23" s="49">
        <f>'Avg Week Masaka-Maya'!M23+'Avg Week Maya-Masaka'!M23</f>
        <v>45.714285714285715</v>
      </c>
      <c r="N23" s="49">
        <f>'Avg Week Masaka-Maya'!N23+'Avg Week Maya-Masaka'!N23</f>
        <v>0</v>
      </c>
      <c r="O23" s="15">
        <f t="shared" si="0"/>
        <v>170.28571428571425</v>
      </c>
      <c r="P23" s="15">
        <f t="shared" si="1"/>
        <v>215.99999999999997</v>
      </c>
      <c r="R23" s="1" t="s">
        <v>147</v>
      </c>
      <c r="S23" s="34">
        <f>SUM(C62:C65)</f>
        <v>166</v>
      </c>
      <c r="T23" s="34">
        <f t="shared" ref="T23:AF23" si="15">SUM(D62:D65)</f>
        <v>60</v>
      </c>
      <c r="U23" s="34">
        <f t="shared" si="15"/>
        <v>36</v>
      </c>
      <c r="V23" s="34">
        <f t="shared" si="15"/>
        <v>171.5</v>
      </c>
      <c r="W23" s="34">
        <f t="shared" si="15"/>
        <v>15</v>
      </c>
      <c r="X23" s="34">
        <f t="shared" si="15"/>
        <v>14.5</v>
      </c>
      <c r="Y23" s="34">
        <f t="shared" si="15"/>
        <v>115.5</v>
      </c>
      <c r="Z23" s="34">
        <f t="shared" si="15"/>
        <v>30</v>
      </c>
      <c r="AA23" s="34">
        <f t="shared" si="15"/>
        <v>32.5</v>
      </c>
      <c r="AB23" s="34">
        <f t="shared" si="15"/>
        <v>14</v>
      </c>
      <c r="AC23" s="34">
        <f t="shared" si="15"/>
        <v>150</v>
      </c>
      <c r="AD23" s="34">
        <f t="shared" si="15"/>
        <v>0</v>
      </c>
      <c r="AE23" s="31">
        <f t="shared" si="15"/>
        <v>655</v>
      </c>
      <c r="AF23" s="31">
        <f t="shared" si="15"/>
        <v>805</v>
      </c>
    </row>
    <row r="24" spans="2:32" ht="23.1" customHeight="1" x14ac:dyDescent="0.25">
      <c r="B24" s="23" t="s">
        <v>51</v>
      </c>
      <c r="C24" s="49">
        <f>'Avg Week Masaka-Maya'!C24+'Avg Week Maya-Masaka'!C24</f>
        <v>50.142857142857139</v>
      </c>
      <c r="D24" s="49">
        <f>'Avg Week Masaka-Maya'!D24+'Avg Week Maya-Masaka'!D24</f>
        <v>11.857142857142858</v>
      </c>
      <c r="E24" s="49">
        <f>'Avg Week Masaka-Maya'!E24+'Avg Week Maya-Masaka'!E24</f>
        <v>7.4285714285714288</v>
      </c>
      <c r="F24" s="49">
        <f>'Avg Week Masaka-Maya'!F24+'Avg Week Maya-Masaka'!F24</f>
        <v>49.285714285714292</v>
      </c>
      <c r="G24" s="49">
        <f>'Avg Week Masaka-Maya'!G24+'Avg Week Maya-Masaka'!G24</f>
        <v>4.5714285714285712</v>
      </c>
      <c r="H24" s="49">
        <f>'Avg Week Masaka-Maya'!H24+'Avg Week Maya-Masaka'!H24</f>
        <v>1.5714285714285714</v>
      </c>
      <c r="I24" s="49">
        <f>'Avg Week Masaka-Maya'!I24+'Avg Week Maya-Masaka'!I24</f>
        <v>20.571428571428569</v>
      </c>
      <c r="J24" s="49">
        <f>'Avg Week Masaka-Maya'!J24+'Avg Week Maya-Masaka'!J24</f>
        <v>5.8571428571428577</v>
      </c>
      <c r="K24" s="49">
        <f>'Avg Week Masaka-Maya'!K24+'Avg Week Maya-Masaka'!K24</f>
        <v>3.4285714285714284</v>
      </c>
      <c r="L24" s="49">
        <f>'Avg Week Masaka-Maya'!L24+'Avg Week Maya-Masaka'!L24</f>
        <v>4.5714285714285712</v>
      </c>
      <c r="M24" s="49">
        <f>'Avg Week Masaka-Maya'!M24+'Avg Week Maya-Masaka'!M24</f>
        <v>44.714285714285715</v>
      </c>
      <c r="N24" s="49">
        <f>'Avg Week Masaka-Maya'!N24+'Avg Week Maya-Masaka'!N24</f>
        <v>0</v>
      </c>
      <c r="O24" s="15">
        <f t="shared" si="0"/>
        <v>159.28571428571431</v>
      </c>
      <c r="P24" s="15">
        <f t="shared" si="1"/>
        <v>204.00000000000003</v>
      </c>
      <c r="R24" s="1" t="s">
        <v>148</v>
      </c>
      <c r="S24" s="34">
        <f>SUM(C66:C69)</f>
        <v>197.5</v>
      </c>
      <c r="T24" s="34">
        <f t="shared" ref="T24:AF24" si="16">SUM(D66:D69)</f>
        <v>51.5</v>
      </c>
      <c r="U24" s="34">
        <f t="shared" si="16"/>
        <v>32.5</v>
      </c>
      <c r="V24" s="34">
        <f t="shared" si="16"/>
        <v>159.5</v>
      </c>
      <c r="W24" s="34">
        <f t="shared" si="16"/>
        <v>15</v>
      </c>
      <c r="X24" s="34">
        <f t="shared" si="16"/>
        <v>14.5</v>
      </c>
      <c r="Y24" s="34">
        <f t="shared" si="16"/>
        <v>114</v>
      </c>
      <c r="Z24" s="34">
        <f t="shared" si="16"/>
        <v>36</v>
      </c>
      <c r="AA24" s="34">
        <f t="shared" si="16"/>
        <v>37</v>
      </c>
      <c r="AB24" s="34">
        <f t="shared" si="16"/>
        <v>17</v>
      </c>
      <c r="AC24" s="34">
        <f t="shared" si="16"/>
        <v>102.5</v>
      </c>
      <c r="AD24" s="34">
        <f t="shared" si="16"/>
        <v>0</v>
      </c>
      <c r="AE24" s="31">
        <f t="shared" si="16"/>
        <v>674.5</v>
      </c>
      <c r="AF24" s="31">
        <f t="shared" si="16"/>
        <v>777</v>
      </c>
    </row>
    <row r="25" spans="2:32" ht="23.1" customHeight="1" x14ac:dyDescent="0.25">
      <c r="B25" s="23" t="s">
        <v>52</v>
      </c>
      <c r="C25" s="49">
        <f>'Avg Week Masaka-Maya'!C25+'Avg Week Maya-Masaka'!C25</f>
        <v>55.571428571428569</v>
      </c>
      <c r="D25" s="49">
        <f>'Avg Week Masaka-Maya'!D25+'Avg Week Maya-Masaka'!D25</f>
        <v>13.857142857142858</v>
      </c>
      <c r="E25" s="49">
        <f>'Avg Week Masaka-Maya'!E25+'Avg Week Maya-Masaka'!E25</f>
        <v>6.5714285714285712</v>
      </c>
      <c r="F25" s="49">
        <f>'Avg Week Masaka-Maya'!F25+'Avg Week Maya-Masaka'!F25</f>
        <v>49.714285714285715</v>
      </c>
      <c r="G25" s="49">
        <f>'Avg Week Masaka-Maya'!G25+'Avg Week Maya-Masaka'!G25</f>
        <v>1.857142857142857</v>
      </c>
      <c r="H25" s="49">
        <f>'Avg Week Masaka-Maya'!H25+'Avg Week Maya-Masaka'!H25</f>
        <v>1.4285714285714284</v>
      </c>
      <c r="I25" s="49">
        <f>'Avg Week Masaka-Maya'!I25+'Avg Week Maya-Masaka'!I25</f>
        <v>29.857142857142854</v>
      </c>
      <c r="J25" s="49">
        <f>'Avg Week Masaka-Maya'!J25+'Avg Week Maya-Masaka'!J25</f>
        <v>5.7142857142857144</v>
      </c>
      <c r="K25" s="49">
        <f>'Avg Week Masaka-Maya'!K25+'Avg Week Maya-Masaka'!K25</f>
        <v>4.7142857142857144</v>
      </c>
      <c r="L25" s="49">
        <f>'Avg Week Masaka-Maya'!L25+'Avg Week Maya-Masaka'!L25</f>
        <v>5.7142857142857144</v>
      </c>
      <c r="M25" s="49">
        <f>'Avg Week Masaka-Maya'!M25+'Avg Week Maya-Masaka'!M25</f>
        <v>48.285714285714285</v>
      </c>
      <c r="N25" s="49">
        <f>'Avg Week Masaka-Maya'!N25+'Avg Week Maya-Masaka'!N25</f>
        <v>0</v>
      </c>
      <c r="O25" s="15">
        <f t="shared" si="0"/>
        <v>175.00000000000003</v>
      </c>
      <c r="P25" s="15">
        <f t="shared" si="1"/>
        <v>223.28571428571431</v>
      </c>
      <c r="R25" s="1" t="s">
        <v>149</v>
      </c>
      <c r="S25" s="34">
        <f>SUM(C70:C73)</f>
        <v>120</v>
      </c>
      <c r="T25" s="34">
        <f t="shared" ref="T25:AF25" si="17">SUM(D70:D73)</f>
        <v>38</v>
      </c>
      <c r="U25" s="34">
        <f t="shared" si="17"/>
        <v>24.5</v>
      </c>
      <c r="V25" s="34">
        <f t="shared" si="17"/>
        <v>113.5</v>
      </c>
      <c r="W25" s="34">
        <f t="shared" si="17"/>
        <v>11</v>
      </c>
      <c r="X25" s="34">
        <f t="shared" si="17"/>
        <v>16</v>
      </c>
      <c r="Y25" s="34">
        <f t="shared" si="17"/>
        <v>82.5</v>
      </c>
      <c r="Z25" s="34">
        <f t="shared" si="17"/>
        <v>43.5</v>
      </c>
      <c r="AA25" s="34">
        <f t="shared" si="17"/>
        <v>38</v>
      </c>
      <c r="AB25" s="34">
        <f t="shared" si="17"/>
        <v>25.5</v>
      </c>
      <c r="AC25" s="34">
        <f t="shared" si="17"/>
        <v>77.5</v>
      </c>
      <c r="AD25" s="34">
        <f t="shared" si="17"/>
        <v>0</v>
      </c>
      <c r="AE25" s="31">
        <f t="shared" si="17"/>
        <v>512.5</v>
      </c>
      <c r="AF25" s="31">
        <f t="shared" si="17"/>
        <v>590</v>
      </c>
    </row>
    <row r="26" spans="2:32" ht="23.1" customHeight="1" x14ac:dyDescent="0.25">
      <c r="B26" s="23" t="s">
        <v>53</v>
      </c>
      <c r="C26" s="49">
        <f>'Avg Week Masaka-Maya'!C26+'Avg Week Maya-Masaka'!C26</f>
        <v>54</v>
      </c>
      <c r="D26" s="49">
        <f>'Avg Week Masaka-Maya'!D26+'Avg Week Maya-Masaka'!D26</f>
        <v>15</v>
      </c>
      <c r="E26" s="49">
        <f>'Avg Week Masaka-Maya'!E26+'Avg Week Maya-Masaka'!E26</f>
        <v>7.5714285714285712</v>
      </c>
      <c r="F26" s="49">
        <f>'Avg Week Masaka-Maya'!F26+'Avg Week Maya-Masaka'!F26</f>
        <v>54.142857142857146</v>
      </c>
      <c r="G26" s="49">
        <f>'Avg Week Masaka-Maya'!G26+'Avg Week Maya-Masaka'!G26</f>
        <v>2.714285714285714</v>
      </c>
      <c r="H26" s="49">
        <f>'Avg Week Masaka-Maya'!H26+'Avg Week Maya-Masaka'!H26</f>
        <v>1.7142857142857142</v>
      </c>
      <c r="I26" s="49">
        <f>'Avg Week Masaka-Maya'!I26+'Avg Week Maya-Masaka'!I26</f>
        <v>23.285714285714285</v>
      </c>
      <c r="J26" s="49">
        <f>'Avg Week Masaka-Maya'!J26+'Avg Week Maya-Masaka'!J26</f>
        <v>5.4285714285714288</v>
      </c>
      <c r="K26" s="49">
        <f>'Avg Week Masaka-Maya'!K26+'Avg Week Maya-Masaka'!K26</f>
        <v>3.8571428571428568</v>
      </c>
      <c r="L26" s="49">
        <f>'Avg Week Masaka-Maya'!L26+'Avg Week Maya-Masaka'!L26</f>
        <v>4.5714285714285712</v>
      </c>
      <c r="M26" s="49">
        <f>'Avg Week Masaka-Maya'!M26+'Avg Week Maya-Masaka'!M26</f>
        <v>47.142857142857146</v>
      </c>
      <c r="N26" s="49">
        <f>'Avg Week Masaka-Maya'!N26+'Avg Week Maya-Masaka'!N26</f>
        <v>0</v>
      </c>
      <c r="O26" s="15">
        <f t="shared" si="0"/>
        <v>172.28571428571431</v>
      </c>
      <c r="P26" s="15">
        <f t="shared" si="1"/>
        <v>219.42857142857144</v>
      </c>
      <c r="R26" s="1" t="s">
        <v>150</v>
      </c>
      <c r="S26" s="34">
        <f>SUM(C74:C77)</f>
        <v>120.5</v>
      </c>
      <c r="T26" s="34">
        <f t="shared" ref="T26:AF26" si="18">SUM(D74:D77)</f>
        <v>36.5</v>
      </c>
      <c r="U26" s="34">
        <f t="shared" si="18"/>
        <v>22.5</v>
      </c>
      <c r="V26" s="34">
        <f t="shared" si="18"/>
        <v>83.5</v>
      </c>
      <c r="W26" s="34">
        <f t="shared" si="18"/>
        <v>12</v>
      </c>
      <c r="X26" s="34">
        <f t="shared" si="18"/>
        <v>16.5</v>
      </c>
      <c r="Y26" s="34">
        <f t="shared" si="18"/>
        <v>97</v>
      </c>
      <c r="Z26" s="34">
        <f t="shared" si="18"/>
        <v>55</v>
      </c>
      <c r="AA26" s="34">
        <f t="shared" si="18"/>
        <v>38</v>
      </c>
      <c r="AB26" s="34">
        <f t="shared" si="18"/>
        <v>13.5</v>
      </c>
      <c r="AC26" s="34">
        <f t="shared" si="18"/>
        <v>47</v>
      </c>
      <c r="AD26" s="34">
        <f t="shared" si="18"/>
        <v>0</v>
      </c>
      <c r="AE26" s="31">
        <f t="shared" si="18"/>
        <v>495</v>
      </c>
      <c r="AF26" s="31">
        <f t="shared" si="18"/>
        <v>542</v>
      </c>
    </row>
    <row r="27" spans="2:32" ht="23.1" customHeight="1" x14ac:dyDescent="0.25">
      <c r="B27" s="23" t="s">
        <v>54</v>
      </c>
      <c r="C27" s="49">
        <f>'Avg Week Masaka-Maya'!C27+'Avg Week Maya-Masaka'!C27</f>
        <v>60.428571428571431</v>
      </c>
      <c r="D27" s="49">
        <f>'Avg Week Masaka-Maya'!D27+'Avg Week Maya-Masaka'!D27</f>
        <v>15</v>
      </c>
      <c r="E27" s="49">
        <f>'Avg Week Masaka-Maya'!E27+'Avg Week Maya-Masaka'!E27</f>
        <v>9.7142857142857153</v>
      </c>
      <c r="F27" s="49">
        <f>'Avg Week Masaka-Maya'!F27+'Avg Week Maya-Masaka'!F27</f>
        <v>58.714285714285708</v>
      </c>
      <c r="G27" s="49">
        <f>'Avg Week Masaka-Maya'!G27+'Avg Week Maya-Masaka'!G27</f>
        <v>2</v>
      </c>
      <c r="H27" s="49">
        <f>'Avg Week Masaka-Maya'!H27+'Avg Week Maya-Masaka'!H27</f>
        <v>1.8571428571428572</v>
      </c>
      <c r="I27" s="49">
        <f>'Avg Week Masaka-Maya'!I27+'Avg Week Maya-Masaka'!I27</f>
        <v>24.142857142857142</v>
      </c>
      <c r="J27" s="49">
        <f>'Avg Week Masaka-Maya'!J27+'Avg Week Maya-Masaka'!J27</f>
        <v>4.8571428571428568</v>
      </c>
      <c r="K27" s="49">
        <f>'Avg Week Masaka-Maya'!K27+'Avg Week Maya-Masaka'!K27</f>
        <v>4</v>
      </c>
      <c r="L27" s="49">
        <f>'Avg Week Masaka-Maya'!L27+'Avg Week Maya-Masaka'!L27</f>
        <v>3.4285714285714284</v>
      </c>
      <c r="M27" s="49">
        <f>'Avg Week Masaka-Maya'!M27+'Avg Week Maya-Masaka'!M27</f>
        <v>47.142857142857139</v>
      </c>
      <c r="N27" s="49">
        <f>'Avg Week Masaka-Maya'!N27+'Avg Week Maya-Masaka'!N27</f>
        <v>0</v>
      </c>
      <c r="O27" s="15">
        <f t="shared" si="0"/>
        <v>184.14285714285711</v>
      </c>
      <c r="P27" s="15">
        <f t="shared" si="1"/>
        <v>231.28571428571425</v>
      </c>
      <c r="R27" s="1" t="s">
        <v>151</v>
      </c>
      <c r="S27" s="34">
        <f>SUM(C78:C81)</f>
        <v>64.5</v>
      </c>
      <c r="T27" s="34">
        <f t="shared" ref="T27:AF27" si="19">SUM(D78:D81)</f>
        <v>22</v>
      </c>
      <c r="U27" s="34">
        <f t="shared" si="19"/>
        <v>9</v>
      </c>
      <c r="V27" s="34">
        <f t="shared" si="19"/>
        <v>38.5</v>
      </c>
      <c r="W27" s="34">
        <f t="shared" si="19"/>
        <v>3.5</v>
      </c>
      <c r="X27" s="34">
        <f t="shared" si="19"/>
        <v>16</v>
      </c>
      <c r="Y27" s="34">
        <f t="shared" si="19"/>
        <v>79.5</v>
      </c>
      <c r="Z27" s="34">
        <f t="shared" si="19"/>
        <v>38.5</v>
      </c>
      <c r="AA27" s="34">
        <f t="shared" si="19"/>
        <v>24</v>
      </c>
      <c r="AB27" s="34">
        <f t="shared" si="19"/>
        <v>17.5</v>
      </c>
      <c r="AC27" s="34">
        <f t="shared" si="19"/>
        <v>23.5</v>
      </c>
      <c r="AD27" s="34">
        <f t="shared" si="19"/>
        <v>0</v>
      </c>
      <c r="AE27" s="31">
        <f t="shared" si="19"/>
        <v>313</v>
      </c>
      <c r="AF27" s="31">
        <f t="shared" si="19"/>
        <v>336.5</v>
      </c>
    </row>
    <row r="28" spans="2:32" ht="23.1" customHeight="1" x14ac:dyDescent="0.25">
      <c r="B28" s="23" t="s">
        <v>55</v>
      </c>
      <c r="C28" s="49">
        <f>'Avg Week Masaka-Maya'!C28+'Avg Week Maya-Masaka'!C28</f>
        <v>50.714285714285715</v>
      </c>
      <c r="D28" s="49">
        <f>'Avg Week Masaka-Maya'!D28+'Avg Week Maya-Masaka'!D28</f>
        <v>12.142857142857142</v>
      </c>
      <c r="E28" s="49">
        <f>'Avg Week Masaka-Maya'!E28+'Avg Week Maya-Masaka'!E28</f>
        <v>9.5714285714285712</v>
      </c>
      <c r="F28" s="49">
        <f>'Avg Week Masaka-Maya'!F28+'Avg Week Maya-Masaka'!F28</f>
        <v>48.571428571428569</v>
      </c>
      <c r="G28" s="49">
        <f>'Avg Week Masaka-Maya'!G28+'Avg Week Maya-Masaka'!G28</f>
        <v>3.4285714285714284</v>
      </c>
      <c r="H28" s="49">
        <f>'Avg Week Masaka-Maya'!H28+'Avg Week Maya-Masaka'!H28</f>
        <v>2.5714285714285716</v>
      </c>
      <c r="I28" s="49">
        <f>'Avg Week Masaka-Maya'!I28+'Avg Week Maya-Masaka'!I28</f>
        <v>28.857142857142861</v>
      </c>
      <c r="J28" s="49">
        <f>'Avg Week Masaka-Maya'!J28+'Avg Week Maya-Masaka'!J28</f>
        <v>4.8571428571428568</v>
      </c>
      <c r="K28" s="49">
        <f>'Avg Week Masaka-Maya'!K28+'Avg Week Maya-Masaka'!K28</f>
        <v>4</v>
      </c>
      <c r="L28" s="49">
        <f>'Avg Week Masaka-Maya'!L28+'Avg Week Maya-Masaka'!L28</f>
        <v>4.8571428571428577</v>
      </c>
      <c r="M28" s="49">
        <f>'Avg Week Masaka-Maya'!M28+'Avg Week Maya-Masaka'!M28</f>
        <v>49.142857142857139</v>
      </c>
      <c r="N28" s="49">
        <f>'Avg Week Masaka-Maya'!N28+'Avg Week Maya-Masaka'!N28</f>
        <v>0</v>
      </c>
      <c r="O28" s="15">
        <f t="shared" si="0"/>
        <v>169.57142857142858</v>
      </c>
      <c r="P28" s="15">
        <f t="shared" si="1"/>
        <v>218.71428571428572</v>
      </c>
      <c r="R28" s="1" t="s">
        <v>152</v>
      </c>
      <c r="S28" s="34">
        <f>SUM(C82:C85)</f>
        <v>36</v>
      </c>
      <c r="T28" s="34">
        <f t="shared" ref="T28:AF28" si="20">SUM(D82:D85)</f>
        <v>6.5</v>
      </c>
      <c r="U28" s="34">
        <f t="shared" si="20"/>
        <v>3.5</v>
      </c>
      <c r="V28" s="34">
        <f t="shared" si="20"/>
        <v>8.5</v>
      </c>
      <c r="W28" s="34">
        <f t="shared" si="20"/>
        <v>1</v>
      </c>
      <c r="X28" s="34">
        <f t="shared" si="20"/>
        <v>5</v>
      </c>
      <c r="Y28" s="34">
        <f t="shared" si="20"/>
        <v>79.5</v>
      </c>
      <c r="Z28" s="34">
        <f t="shared" si="20"/>
        <v>49</v>
      </c>
      <c r="AA28" s="34">
        <f t="shared" si="20"/>
        <v>28</v>
      </c>
      <c r="AB28" s="34">
        <f t="shared" si="20"/>
        <v>21.5</v>
      </c>
      <c r="AC28" s="34">
        <f t="shared" si="20"/>
        <v>9.5</v>
      </c>
      <c r="AD28" s="34">
        <f t="shared" si="20"/>
        <v>0</v>
      </c>
      <c r="AE28" s="31">
        <f t="shared" si="20"/>
        <v>238.5</v>
      </c>
      <c r="AF28" s="31">
        <f t="shared" si="20"/>
        <v>248</v>
      </c>
    </row>
    <row r="29" spans="2:32" ht="23.1" customHeight="1" x14ac:dyDescent="0.25">
      <c r="B29" s="23" t="s">
        <v>56</v>
      </c>
      <c r="C29" s="49">
        <f>'Avg Week Masaka-Maya'!C29+'Avg Week Maya-Masaka'!C29</f>
        <v>63.857142857142854</v>
      </c>
      <c r="D29" s="49">
        <f>'Avg Week Masaka-Maya'!D29+'Avg Week Maya-Masaka'!D29</f>
        <v>14</v>
      </c>
      <c r="E29" s="49">
        <f>'Avg Week Masaka-Maya'!E29+'Avg Week Maya-Masaka'!E29</f>
        <v>11.857142857142858</v>
      </c>
      <c r="F29" s="49">
        <f>'Avg Week Masaka-Maya'!F29+'Avg Week Maya-Masaka'!F29</f>
        <v>56.428571428571431</v>
      </c>
      <c r="G29" s="49">
        <f>'Avg Week Masaka-Maya'!G29+'Avg Week Maya-Masaka'!G29</f>
        <v>4.8571428571428568</v>
      </c>
      <c r="H29" s="49">
        <f>'Avg Week Masaka-Maya'!H29+'Avg Week Maya-Masaka'!H29</f>
        <v>2</v>
      </c>
      <c r="I29" s="49">
        <f>'Avg Week Masaka-Maya'!I29+'Avg Week Maya-Masaka'!I29</f>
        <v>24.285714285714285</v>
      </c>
      <c r="J29" s="49">
        <f>'Avg Week Masaka-Maya'!J29+'Avg Week Maya-Masaka'!J29</f>
        <v>5.5714285714285721</v>
      </c>
      <c r="K29" s="49">
        <f>'Avg Week Masaka-Maya'!K29+'Avg Week Maya-Masaka'!K29</f>
        <v>2.8571428571428572</v>
      </c>
      <c r="L29" s="49">
        <f>'Avg Week Masaka-Maya'!L29+'Avg Week Maya-Masaka'!L29</f>
        <v>5</v>
      </c>
      <c r="M29" s="49">
        <f>'Avg Week Masaka-Maya'!M29+'Avg Week Maya-Masaka'!M29</f>
        <v>49.428571428571431</v>
      </c>
      <c r="N29" s="49">
        <f>'Avg Week Masaka-Maya'!N29+'Avg Week Maya-Masaka'!N29</f>
        <v>0</v>
      </c>
      <c r="O29" s="15">
        <f t="shared" si="0"/>
        <v>190.71428571428575</v>
      </c>
      <c r="P29" s="15">
        <f t="shared" si="1"/>
        <v>240.14285714285717</v>
      </c>
      <c r="R29" s="1" t="s">
        <v>153</v>
      </c>
      <c r="S29" s="34">
        <f>SUM(C86:C89)</f>
        <v>24</v>
      </c>
      <c r="T29" s="34">
        <f t="shared" ref="T29:AF29" si="21">SUM(D86:D89)</f>
        <v>3.5</v>
      </c>
      <c r="U29" s="34">
        <f t="shared" si="21"/>
        <v>5</v>
      </c>
      <c r="V29" s="34">
        <f t="shared" si="21"/>
        <v>5</v>
      </c>
      <c r="W29" s="34">
        <f t="shared" si="21"/>
        <v>0.5</v>
      </c>
      <c r="X29" s="34">
        <f t="shared" si="21"/>
        <v>9.5</v>
      </c>
      <c r="Y29" s="34">
        <f t="shared" si="21"/>
        <v>64.5</v>
      </c>
      <c r="Z29" s="34">
        <f t="shared" si="21"/>
        <v>42.5</v>
      </c>
      <c r="AA29" s="34">
        <f t="shared" si="21"/>
        <v>33.5</v>
      </c>
      <c r="AB29" s="34">
        <f t="shared" si="21"/>
        <v>36</v>
      </c>
      <c r="AC29" s="34">
        <f t="shared" si="21"/>
        <v>7.5</v>
      </c>
      <c r="AD29" s="34">
        <f t="shared" si="21"/>
        <v>0</v>
      </c>
      <c r="AE29" s="31">
        <f t="shared" si="21"/>
        <v>224</v>
      </c>
      <c r="AF29" s="31">
        <f t="shared" si="21"/>
        <v>231.5</v>
      </c>
    </row>
    <row r="30" spans="2:32" ht="23.1" customHeight="1" x14ac:dyDescent="0.25">
      <c r="B30" s="23" t="s">
        <v>57</v>
      </c>
      <c r="C30" s="49">
        <f>'Avg Week Masaka-Maya'!C30+'Avg Week Maya-Masaka'!C30</f>
        <v>69.285714285714278</v>
      </c>
      <c r="D30" s="49">
        <f>'Avg Week Masaka-Maya'!D30+'Avg Week Maya-Masaka'!D30</f>
        <v>13.714285714285715</v>
      </c>
      <c r="E30" s="49">
        <f>'Avg Week Masaka-Maya'!E30+'Avg Week Maya-Masaka'!E30</f>
        <v>12</v>
      </c>
      <c r="F30" s="49">
        <f>'Avg Week Masaka-Maya'!F30+'Avg Week Maya-Masaka'!F30</f>
        <v>53.857142857142861</v>
      </c>
      <c r="G30" s="49">
        <f>'Avg Week Masaka-Maya'!G30+'Avg Week Maya-Masaka'!G30</f>
        <v>2.2857142857142856</v>
      </c>
      <c r="H30" s="49">
        <f>'Avg Week Masaka-Maya'!H30+'Avg Week Maya-Masaka'!H30</f>
        <v>2.5714285714285712</v>
      </c>
      <c r="I30" s="49">
        <f>'Avg Week Masaka-Maya'!I30+'Avg Week Maya-Masaka'!I30</f>
        <v>25</v>
      </c>
      <c r="J30" s="49">
        <f>'Avg Week Masaka-Maya'!J30+'Avg Week Maya-Masaka'!J30</f>
        <v>4.8571428571428568</v>
      </c>
      <c r="K30" s="49">
        <f>'Avg Week Masaka-Maya'!K30+'Avg Week Maya-Masaka'!K30</f>
        <v>3.8571428571428572</v>
      </c>
      <c r="L30" s="49">
        <f>'Avg Week Masaka-Maya'!L30+'Avg Week Maya-Masaka'!L30</f>
        <v>2.8571428571428572</v>
      </c>
      <c r="M30" s="49">
        <f>'Avg Week Masaka-Maya'!M30+'Avg Week Maya-Masaka'!M30</f>
        <v>53.142857142857139</v>
      </c>
      <c r="N30" s="49">
        <f>'Avg Week Masaka-Maya'!N30+'Avg Week Maya-Masaka'!N30</f>
        <v>0</v>
      </c>
      <c r="O30" s="15">
        <f t="shared" si="0"/>
        <v>190.28571428571431</v>
      </c>
      <c r="P30" s="15">
        <f t="shared" si="1"/>
        <v>243.42857142857144</v>
      </c>
      <c r="R30" s="1" t="s">
        <v>154</v>
      </c>
      <c r="S30" s="34">
        <f>SUM(C90:C93)</f>
        <v>11.5</v>
      </c>
      <c r="T30" s="34">
        <f t="shared" ref="T30:AF30" si="22">SUM(D90:D93)</f>
        <v>2.5</v>
      </c>
      <c r="U30" s="34">
        <f t="shared" si="22"/>
        <v>2</v>
      </c>
      <c r="V30" s="34">
        <f t="shared" si="22"/>
        <v>2.5</v>
      </c>
      <c r="W30" s="34">
        <f t="shared" si="22"/>
        <v>2.5</v>
      </c>
      <c r="X30" s="34">
        <f t="shared" si="22"/>
        <v>14.5</v>
      </c>
      <c r="Y30" s="34">
        <f t="shared" si="22"/>
        <v>52.5</v>
      </c>
      <c r="Z30" s="34">
        <f t="shared" si="22"/>
        <v>34.5</v>
      </c>
      <c r="AA30" s="34">
        <f t="shared" si="22"/>
        <v>27</v>
      </c>
      <c r="AB30" s="34">
        <f t="shared" si="22"/>
        <v>28.5</v>
      </c>
      <c r="AC30" s="34">
        <f t="shared" si="22"/>
        <v>10</v>
      </c>
      <c r="AD30" s="34">
        <f t="shared" si="22"/>
        <v>0</v>
      </c>
      <c r="AE30" s="31">
        <f t="shared" si="22"/>
        <v>178</v>
      </c>
      <c r="AF30" s="31">
        <f t="shared" si="22"/>
        <v>188</v>
      </c>
    </row>
    <row r="31" spans="2:32" ht="23.1" customHeight="1" x14ac:dyDescent="0.25">
      <c r="B31" s="24" t="s">
        <v>58</v>
      </c>
      <c r="C31" s="49">
        <f>'Avg Week Masaka-Maya'!C31+'Avg Week Maya-Masaka'!C31</f>
        <v>61.142857142857146</v>
      </c>
      <c r="D31" s="49">
        <f>'Avg Week Masaka-Maya'!D31+'Avg Week Maya-Masaka'!D31</f>
        <v>15.857142857142858</v>
      </c>
      <c r="E31" s="49">
        <f>'Avg Week Masaka-Maya'!E31+'Avg Week Maya-Masaka'!E31</f>
        <v>8</v>
      </c>
      <c r="F31" s="49">
        <f>'Avg Week Masaka-Maya'!F31+'Avg Week Maya-Masaka'!F31</f>
        <v>50.571428571428569</v>
      </c>
      <c r="G31" s="49">
        <f>'Avg Week Masaka-Maya'!G31+'Avg Week Maya-Masaka'!G31</f>
        <v>2.4285714285714288</v>
      </c>
      <c r="H31" s="49">
        <f>'Avg Week Masaka-Maya'!H31+'Avg Week Maya-Masaka'!H31</f>
        <v>3.2857142857142856</v>
      </c>
      <c r="I31" s="49">
        <f>'Avg Week Masaka-Maya'!I31+'Avg Week Maya-Masaka'!I31</f>
        <v>29.285714285714285</v>
      </c>
      <c r="J31" s="49">
        <f>'Avg Week Masaka-Maya'!J31+'Avg Week Maya-Masaka'!J31</f>
        <v>4.4285714285714288</v>
      </c>
      <c r="K31" s="49">
        <f>'Avg Week Masaka-Maya'!K31+'Avg Week Maya-Masaka'!K31</f>
        <v>2.5714285714285712</v>
      </c>
      <c r="L31" s="49">
        <f>'Avg Week Masaka-Maya'!L31+'Avg Week Maya-Masaka'!L31</f>
        <v>5.2857142857142856</v>
      </c>
      <c r="M31" s="49">
        <f>'Avg Week Masaka-Maya'!M31+'Avg Week Maya-Masaka'!M31</f>
        <v>50</v>
      </c>
      <c r="N31" s="49">
        <f>'Avg Week Masaka-Maya'!N31+'Avg Week Maya-Masaka'!N31</f>
        <v>0</v>
      </c>
      <c r="O31" s="15">
        <f t="shared" si="0"/>
        <v>182.8571428571428</v>
      </c>
      <c r="P31" s="15">
        <f t="shared" si="1"/>
        <v>232.8571428571428</v>
      </c>
      <c r="R31" s="1" t="s">
        <v>155</v>
      </c>
      <c r="S31" s="34">
        <f>SUM(C94:C97)</f>
        <v>19</v>
      </c>
      <c r="T31" s="34">
        <f t="shared" ref="T31:AF31" si="23">SUM(D94:D97)</f>
        <v>5.5</v>
      </c>
      <c r="U31" s="34">
        <f t="shared" si="23"/>
        <v>3</v>
      </c>
      <c r="V31" s="34">
        <f t="shared" si="23"/>
        <v>12</v>
      </c>
      <c r="W31" s="34">
        <f t="shared" si="23"/>
        <v>4</v>
      </c>
      <c r="X31" s="34">
        <f t="shared" si="23"/>
        <v>12</v>
      </c>
      <c r="Y31" s="34">
        <f t="shared" si="23"/>
        <v>55</v>
      </c>
      <c r="Z31" s="34">
        <f t="shared" si="23"/>
        <v>31</v>
      </c>
      <c r="AA31" s="34">
        <f t="shared" si="23"/>
        <v>13.5</v>
      </c>
      <c r="AB31" s="34">
        <f t="shared" si="23"/>
        <v>19.5</v>
      </c>
      <c r="AC31" s="34">
        <f t="shared" si="23"/>
        <v>4</v>
      </c>
      <c r="AD31" s="34">
        <f t="shared" si="23"/>
        <v>0</v>
      </c>
      <c r="AE31" s="31">
        <f t="shared" si="23"/>
        <v>174.5</v>
      </c>
      <c r="AF31" s="31">
        <f t="shared" si="23"/>
        <v>178.5</v>
      </c>
    </row>
    <row r="32" spans="2:32" ht="23.1" customHeight="1" x14ac:dyDescent="0.25">
      <c r="B32" s="24" t="s">
        <v>59</v>
      </c>
      <c r="C32" s="49">
        <f>'Avg Week Masaka-Maya'!C32+'Avg Week Maya-Masaka'!C32</f>
        <v>64.428571428571431</v>
      </c>
      <c r="D32" s="49">
        <f>'Avg Week Masaka-Maya'!D32+'Avg Week Maya-Masaka'!D32</f>
        <v>13.857142857142858</v>
      </c>
      <c r="E32" s="49">
        <f>'Avg Week Masaka-Maya'!E32+'Avg Week Maya-Masaka'!E32</f>
        <v>10</v>
      </c>
      <c r="F32" s="49">
        <f>'Avg Week Masaka-Maya'!F32+'Avg Week Maya-Masaka'!F32</f>
        <v>50.142857142857139</v>
      </c>
      <c r="G32" s="49">
        <f>'Avg Week Masaka-Maya'!G32+'Avg Week Maya-Masaka'!G32</f>
        <v>2</v>
      </c>
      <c r="H32" s="49">
        <f>'Avg Week Masaka-Maya'!H32+'Avg Week Maya-Masaka'!H32</f>
        <v>6.4285714285714288</v>
      </c>
      <c r="I32" s="49">
        <f>'Avg Week Masaka-Maya'!I32+'Avg Week Maya-Masaka'!I32</f>
        <v>27.142857142857142</v>
      </c>
      <c r="J32" s="49">
        <f>'Avg Week Masaka-Maya'!J32+'Avg Week Maya-Masaka'!J32</f>
        <v>6.4285714285714288</v>
      </c>
      <c r="K32" s="49">
        <f>'Avg Week Masaka-Maya'!K32+'Avg Week Maya-Masaka'!K32</f>
        <v>1.7142857142857142</v>
      </c>
      <c r="L32" s="49">
        <f>'Avg Week Masaka-Maya'!L32+'Avg Week Maya-Masaka'!L32</f>
        <v>3.4285714285714288</v>
      </c>
      <c r="M32" s="49">
        <f>'Avg Week Masaka-Maya'!M32+'Avg Week Maya-Masaka'!M32</f>
        <v>51</v>
      </c>
      <c r="N32" s="49">
        <f>'Avg Week Masaka-Maya'!N32+'Avg Week Maya-Masaka'!N32</f>
        <v>0.14285714285714285</v>
      </c>
      <c r="O32" s="15">
        <f t="shared" si="0"/>
        <v>185.71428571428569</v>
      </c>
      <c r="P32" s="15">
        <f t="shared" si="1"/>
        <v>236.71428571428569</v>
      </c>
      <c r="R32" s="1" t="s">
        <v>156</v>
      </c>
      <c r="S32" s="34">
        <f>SUM(C98:C101)</f>
        <v>47</v>
      </c>
      <c r="T32" s="34">
        <f t="shared" ref="T32:AF32" si="24">SUM(D98:D101)</f>
        <v>8.5</v>
      </c>
      <c r="U32" s="34">
        <f t="shared" si="24"/>
        <v>6.5</v>
      </c>
      <c r="V32" s="34">
        <f t="shared" si="24"/>
        <v>53</v>
      </c>
      <c r="W32" s="34">
        <f t="shared" si="24"/>
        <v>2.5</v>
      </c>
      <c r="X32" s="34">
        <f t="shared" si="24"/>
        <v>10.5</v>
      </c>
      <c r="Y32" s="34">
        <f t="shared" si="24"/>
        <v>69</v>
      </c>
      <c r="Z32" s="34">
        <f t="shared" si="24"/>
        <v>33</v>
      </c>
      <c r="AA32" s="34">
        <f t="shared" si="24"/>
        <v>14.5</v>
      </c>
      <c r="AB32" s="34">
        <f t="shared" si="24"/>
        <v>16.5</v>
      </c>
      <c r="AC32" s="34">
        <f t="shared" si="24"/>
        <v>27</v>
      </c>
      <c r="AD32" s="34">
        <f t="shared" si="24"/>
        <v>0</v>
      </c>
      <c r="AE32" s="31">
        <f t="shared" si="24"/>
        <v>261</v>
      </c>
      <c r="AF32" s="31">
        <f t="shared" si="24"/>
        <v>288</v>
      </c>
    </row>
    <row r="33" spans="2:32" ht="23.1" customHeight="1" x14ac:dyDescent="0.25">
      <c r="B33" s="23" t="s">
        <v>60</v>
      </c>
      <c r="C33" s="49">
        <f>'Avg Week Masaka-Maya'!C33+'Avg Week Maya-Masaka'!C33</f>
        <v>58.142857142857139</v>
      </c>
      <c r="D33" s="49">
        <f>'Avg Week Masaka-Maya'!D33+'Avg Week Maya-Masaka'!D33</f>
        <v>12.714285714285715</v>
      </c>
      <c r="E33" s="49">
        <f>'Avg Week Masaka-Maya'!E33+'Avg Week Maya-Masaka'!E33</f>
        <v>10.714285714285715</v>
      </c>
      <c r="F33" s="49">
        <f>'Avg Week Masaka-Maya'!F33+'Avg Week Maya-Masaka'!F33</f>
        <v>51.857142857142854</v>
      </c>
      <c r="G33" s="49">
        <f>'Avg Week Masaka-Maya'!G33+'Avg Week Maya-Masaka'!G33</f>
        <v>3.285714285714286</v>
      </c>
      <c r="H33" s="49">
        <f>'Avg Week Masaka-Maya'!H33+'Avg Week Maya-Masaka'!H33</f>
        <v>3</v>
      </c>
      <c r="I33" s="49">
        <f>'Avg Week Masaka-Maya'!I33+'Avg Week Maya-Masaka'!I33</f>
        <v>27.714285714285715</v>
      </c>
      <c r="J33" s="49">
        <f>'Avg Week Masaka-Maya'!J33+'Avg Week Maya-Masaka'!J33</f>
        <v>6</v>
      </c>
      <c r="K33" s="49">
        <f>'Avg Week Masaka-Maya'!K33+'Avg Week Maya-Masaka'!K33</f>
        <v>2.7142857142857144</v>
      </c>
      <c r="L33" s="49">
        <f>'Avg Week Masaka-Maya'!L33+'Avg Week Maya-Masaka'!L33</f>
        <v>4</v>
      </c>
      <c r="M33" s="49">
        <f>'Avg Week Masaka-Maya'!M33+'Avg Week Maya-Masaka'!M33</f>
        <v>47.428571428571431</v>
      </c>
      <c r="N33" s="49">
        <f>'Avg Week Masaka-Maya'!N33+'Avg Week Maya-Masaka'!N33</f>
        <v>0</v>
      </c>
      <c r="O33" s="15">
        <f t="shared" si="0"/>
        <v>180.14285714285717</v>
      </c>
      <c r="P33" s="15">
        <f t="shared" si="1"/>
        <v>227.57142857142861</v>
      </c>
      <c r="R33" s="1" t="s">
        <v>157</v>
      </c>
      <c r="S33" s="34">
        <f>SUM(C102:C105)</f>
        <v>82</v>
      </c>
      <c r="T33" s="34">
        <f t="shared" ref="T33:AF33" si="25">SUM(D102:D105)</f>
        <v>44.5</v>
      </c>
      <c r="U33" s="34">
        <f t="shared" si="25"/>
        <v>13.5</v>
      </c>
      <c r="V33" s="34">
        <f t="shared" si="25"/>
        <v>100</v>
      </c>
      <c r="W33" s="34">
        <f t="shared" si="25"/>
        <v>8</v>
      </c>
      <c r="X33" s="34">
        <f t="shared" si="25"/>
        <v>9.5</v>
      </c>
      <c r="Y33" s="34">
        <f t="shared" si="25"/>
        <v>78.5</v>
      </c>
      <c r="Z33" s="34">
        <f t="shared" si="25"/>
        <v>32.5</v>
      </c>
      <c r="AA33" s="34">
        <f t="shared" si="25"/>
        <v>18</v>
      </c>
      <c r="AB33" s="34">
        <f t="shared" si="25"/>
        <v>22.5</v>
      </c>
      <c r="AC33" s="34">
        <f t="shared" si="25"/>
        <v>67.5</v>
      </c>
      <c r="AD33" s="34">
        <f t="shared" si="25"/>
        <v>0</v>
      </c>
      <c r="AE33" s="31">
        <f t="shared" si="25"/>
        <v>409</v>
      </c>
      <c r="AF33" s="31">
        <f t="shared" si="25"/>
        <v>476.5</v>
      </c>
    </row>
    <row r="34" spans="2:32" ht="23.1" customHeight="1" x14ac:dyDescent="0.25">
      <c r="B34" s="24" t="s">
        <v>61</v>
      </c>
      <c r="C34" s="49">
        <f>'Avg Week Masaka-Maya'!C34+'Avg Week Maya-Masaka'!C34</f>
        <v>67.142857142857139</v>
      </c>
      <c r="D34" s="49">
        <f>'Avg Week Masaka-Maya'!D34+'Avg Week Maya-Masaka'!D34</f>
        <v>13.857142857142858</v>
      </c>
      <c r="E34" s="49">
        <f>'Avg Week Masaka-Maya'!E34+'Avg Week Maya-Masaka'!E34</f>
        <v>9.1428571428571423</v>
      </c>
      <c r="F34" s="49">
        <f>'Avg Week Masaka-Maya'!F34+'Avg Week Maya-Masaka'!F34</f>
        <v>49.857142857142861</v>
      </c>
      <c r="G34" s="49">
        <f>'Avg Week Masaka-Maya'!G34+'Avg Week Maya-Masaka'!G34</f>
        <v>2.8571428571428572</v>
      </c>
      <c r="H34" s="49">
        <f>'Avg Week Masaka-Maya'!H34+'Avg Week Maya-Masaka'!H34</f>
        <v>2.7142857142857144</v>
      </c>
      <c r="I34" s="49">
        <f>'Avg Week Masaka-Maya'!I34+'Avg Week Maya-Masaka'!I34</f>
        <v>31.571428571428569</v>
      </c>
      <c r="J34" s="49">
        <f>'Avg Week Masaka-Maya'!J34+'Avg Week Maya-Masaka'!J34</f>
        <v>5</v>
      </c>
      <c r="K34" s="49">
        <f>'Avg Week Masaka-Maya'!K34+'Avg Week Maya-Masaka'!K34</f>
        <v>3.1428571428571428</v>
      </c>
      <c r="L34" s="49">
        <f>'Avg Week Masaka-Maya'!L34+'Avg Week Maya-Masaka'!L34</f>
        <v>4</v>
      </c>
      <c r="M34" s="49">
        <f>'Avg Week Masaka-Maya'!M34+'Avg Week Maya-Masaka'!M34</f>
        <v>50</v>
      </c>
      <c r="N34" s="49">
        <f>'Avg Week Masaka-Maya'!N34+'Avg Week Maya-Masaka'!N34</f>
        <v>0</v>
      </c>
      <c r="O34" s="15">
        <f t="shared" si="0"/>
        <v>189.28571428571431</v>
      </c>
      <c r="P34" s="15">
        <f t="shared" si="1"/>
        <v>239.28571428571431</v>
      </c>
      <c r="R34" s="51" t="s">
        <v>90</v>
      </c>
      <c r="S34" s="52">
        <f t="shared" ref="S34:AF34" si="26">MAX(S10:S12)</f>
        <v>188.57142857142856</v>
      </c>
      <c r="T34" s="52">
        <f t="shared" si="26"/>
        <v>49.428571428571431</v>
      </c>
      <c r="U34" s="52">
        <f t="shared" si="26"/>
        <v>31</v>
      </c>
      <c r="V34" s="52">
        <f t="shared" si="26"/>
        <v>183.42857142857142</v>
      </c>
      <c r="W34" s="52">
        <f t="shared" si="26"/>
        <v>8.1428571428571423</v>
      </c>
      <c r="X34" s="52">
        <f t="shared" si="26"/>
        <v>8.571428571428573</v>
      </c>
      <c r="Y34" s="52">
        <f t="shared" si="26"/>
        <v>87.571428571428584</v>
      </c>
      <c r="Z34" s="52">
        <f t="shared" si="26"/>
        <v>23.285714285714288</v>
      </c>
      <c r="AA34" s="52">
        <f t="shared" si="26"/>
        <v>10.857142857142858</v>
      </c>
      <c r="AB34" s="52">
        <f t="shared" si="26"/>
        <v>14.285714285714285</v>
      </c>
      <c r="AC34" s="52">
        <f t="shared" si="26"/>
        <v>192.14285714285714</v>
      </c>
      <c r="AD34" s="52">
        <f t="shared" si="26"/>
        <v>0</v>
      </c>
      <c r="AE34" s="40">
        <f t="shared" si="26"/>
        <v>600.28571428571422</v>
      </c>
      <c r="AF34" s="40">
        <f t="shared" si="26"/>
        <v>791.85714285714289</v>
      </c>
    </row>
    <row r="35" spans="2:32" ht="23.1" customHeight="1" x14ac:dyDescent="0.25">
      <c r="B35" s="24" t="s">
        <v>62</v>
      </c>
      <c r="C35" s="49">
        <f>'Avg Week Masaka-Maya'!C35+'Avg Week Maya-Masaka'!C35</f>
        <v>65.714285714285722</v>
      </c>
      <c r="D35" s="49">
        <f>'Avg Week Masaka-Maya'!D35+'Avg Week Maya-Masaka'!D35</f>
        <v>10.571428571428571</v>
      </c>
      <c r="E35" s="49">
        <f>'Avg Week Masaka-Maya'!E35+'Avg Week Maya-Masaka'!E35</f>
        <v>12.857142857142858</v>
      </c>
      <c r="F35" s="49">
        <f>'Avg Week Masaka-Maya'!F35+'Avg Week Maya-Masaka'!F35</f>
        <v>50.714285714285715</v>
      </c>
      <c r="G35" s="49">
        <f>'Avg Week Masaka-Maya'!G35+'Avg Week Maya-Masaka'!G35</f>
        <v>1.5714285714285714</v>
      </c>
      <c r="H35" s="49">
        <f>'Avg Week Masaka-Maya'!H35+'Avg Week Maya-Masaka'!H35</f>
        <v>2.4285714285714288</v>
      </c>
      <c r="I35" s="49">
        <f>'Avg Week Masaka-Maya'!I35+'Avg Week Maya-Masaka'!I35</f>
        <v>26.285714285714285</v>
      </c>
      <c r="J35" s="49">
        <f>'Avg Week Masaka-Maya'!J35+'Avg Week Maya-Masaka'!J35</f>
        <v>5.2857142857142856</v>
      </c>
      <c r="K35" s="49">
        <f>'Avg Week Masaka-Maya'!K35+'Avg Week Maya-Masaka'!K35</f>
        <v>2.5714285714285712</v>
      </c>
      <c r="L35" s="49">
        <f>'Avg Week Masaka-Maya'!L35+'Avg Week Maya-Masaka'!L35</f>
        <v>4</v>
      </c>
      <c r="M35" s="49">
        <f>'Avg Week Masaka-Maya'!M35+'Avg Week Maya-Masaka'!M35</f>
        <v>42.714285714285715</v>
      </c>
      <c r="N35" s="49">
        <f>'Avg Week Masaka-Maya'!N35+'Avg Week Maya-Masaka'!N35</f>
        <v>0</v>
      </c>
      <c r="O35" s="15">
        <f t="shared" si="0"/>
        <v>182</v>
      </c>
      <c r="P35" s="15">
        <f t="shared" si="1"/>
        <v>224.71428571428572</v>
      </c>
      <c r="R35" s="51" t="s">
        <v>91</v>
      </c>
      <c r="S35" s="52">
        <f t="shared" ref="S35:AF35" si="27">MAX(S13:S18)</f>
        <v>277.85714285714289</v>
      </c>
      <c r="T35" s="52">
        <f t="shared" si="27"/>
        <v>58.142857142857139</v>
      </c>
      <c r="U35" s="52">
        <f t="shared" si="27"/>
        <v>54.428571428571431</v>
      </c>
      <c r="V35" s="52">
        <f t="shared" si="27"/>
        <v>217.85714285714289</v>
      </c>
      <c r="W35" s="52">
        <f t="shared" si="27"/>
        <v>13</v>
      </c>
      <c r="X35" s="52">
        <f t="shared" si="27"/>
        <v>15.571428571428571</v>
      </c>
      <c r="Y35" s="52">
        <f t="shared" si="27"/>
        <v>125.85714285714285</v>
      </c>
      <c r="Z35" s="52">
        <f t="shared" si="27"/>
        <v>31.571428571428569</v>
      </c>
      <c r="AA35" s="52">
        <f t="shared" si="27"/>
        <v>18</v>
      </c>
      <c r="AB35" s="52">
        <f t="shared" si="27"/>
        <v>19.428571428571427</v>
      </c>
      <c r="AC35" s="52">
        <f t="shared" si="27"/>
        <v>201.57142857142856</v>
      </c>
      <c r="AD35" s="52">
        <f t="shared" si="27"/>
        <v>0.2857142857142857</v>
      </c>
      <c r="AE35" s="40">
        <f t="shared" si="27"/>
        <v>781.57142857142844</v>
      </c>
      <c r="AF35" s="40">
        <f t="shared" si="27"/>
        <v>955.57142857142856</v>
      </c>
    </row>
    <row r="36" spans="2:32" ht="23.1" customHeight="1" x14ac:dyDescent="0.25">
      <c r="B36" s="24" t="s">
        <v>63</v>
      </c>
      <c r="C36" s="49">
        <f>'Avg Week Masaka-Maya'!C36+'Avg Week Maya-Masaka'!C36</f>
        <v>59.857142857142861</v>
      </c>
      <c r="D36" s="49">
        <f>'Avg Week Masaka-Maya'!D36+'Avg Week Maya-Masaka'!D36</f>
        <v>13.428571428571429</v>
      </c>
      <c r="E36" s="49">
        <f>'Avg Week Masaka-Maya'!E36+'Avg Week Maya-Masaka'!E36</f>
        <v>10.428571428571429</v>
      </c>
      <c r="F36" s="49">
        <f>'Avg Week Masaka-Maya'!F36+'Avg Week Maya-Masaka'!F36</f>
        <v>52.714285714285715</v>
      </c>
      <c r="G36" s="49">
        <f>'Avg Week Masaka-Maya'!G36+'Avg Week Maya-Masaka'!G36</f>
        <v>2.5714285714285712</v>
      </c>
      <c r="H36" s="49">
        <f>'Avg Week Masaka-Maya'!H36+'Avg Week Maya-Masaka'!H36</f>
        <v>3.4285714285714288</v>
      </c>
      <c r="I36" s="49">
        <f>'Avg Week Masaka-Maya'!I36+'Avg Week Maya-Masaka'!I36</f>
        <v>26</v>
      </c>
      <c r="J36" s="49">
        <f>'Avg Week Masaka-Maya'!J36+'Avg Week Maya-Masaka'!J36</f>
        <v>6.7142857142857144</v>
      </c>
      <c r="K36" s="49">
        <f>'Avg Week Masaka-Maya'!K36+'Avg Week Maya-Masaka'!K36</f>
        <v>3</v>
      </c>
      <c r="L36" s="49">
        <f>'Avg Week Masaka-Maya'!L36+'Avg Week Maya-Masaka'!L36</f>
        <v>5.1428571428571423</v>
      </c>
      <c r="M36" s="49">
        <f>'Avg Week Masaka-Maya'!M36+'Avg Week Maya-Masaka'!M36</f>
        <v>39.285714285714285</v>
      </c>
      <c r="N36" s="49">
        <f>'Avg Week Masaka-Maya'!N36+'Avg Week Maya-Masaka'!N36</f>
        <v>0</v>
      </c>
      <c r="O36" s="15">
        <f t="shared" si="0"/>
        <v>183.28571428571431</v>
      </c>
      <c r="P36" s="15">
        <f t="shared" si="1"/>
        <v>222.57142857142858</v>
      </c>
      <c r="R36" s="51" t="s">
        <v>92</v>
      </c>
      <c r="S36" s="52">
        <f t="shared" ref="S36:AF36" si="28">MAX(S19:S21)</f>
        <v>338.42857142857144</v>
      </c>
      <c r="T36" s="52">
        <f t="shared" si="28"/>
        <v>67.285714285714278</v>
      </c>
      <c r="U36" s="52">
        <f t="shared" si="28"/>
        <v>52.714285714285708</v>
      </c>
      <c r="V36" s="52">
        <f t="shared" si="28"/>
        <v>240</v>
      </c>
      <c r="W36" s="52">
        <f t="shared" si="28"/>
        <v>23.428571428571427</v>
      </c>
      <c r="X36" s="52">
        <f t="shared" si="28"/>
        <v>16.285714285714288</v>
      </c>
      <c r="Y36" s="52">
        <f t="shared" si="28"/>
        <v>140.57142857142856</v>
      </c>
      <c r="Z36" s="52">
        <f t="shared" si="28"/>
        <v>36.714285714285715</v>
      </c>
      <c r="AA36" s="52">
        <f t="shared" si="28"/>
        <v>19</v>
      </c>
      <c r="AB36" s="52">
        <f t="shared" si="28"/>
        <v>21.714285714285715</v>
      </c>
      <c r="AC36" s="52">
        <f t="shared" si="28"/>
        <v>232.57142857142856</v>
      </c>
      <c r="AD36" s="52">
        <f t="shared" si="28"/>
        <v>0</v>
      </c>
      <c r="AE36" s="40">
        <f t="shared" si="28"/>
        <v>944.28571428571445</v>
      </c>
      <c r="AF36" s="40">
        <f t="shared" si="28"/>
        <v>1176.8571428571429</v>
      </c>
    </row>
    <row r="37" spans="2:32" ht="23.1" customHeight="1" x14ac:dyDescent="0.25">
      <c r="B37" s="23" t="s">
        <v>64</v>
      </c>
      <c r="C37" s="49">
        <f>'Avg Week Masaka-Maya'!C37+'Avg Week Maya-Masaka'!C37</f>
        <v>72.285714285714292</v>
      </c>
      <c r="D37" s="49">
        <f>'Avg Week Masaka-Maya'!D37+'Avg Week Maya-Masaka'!D37</f>
        <v>12.857142857142858</v>
      </c>
      <c r="E37" s="49">
        <f>'Avg Week Masaka-Maya'!E37+'Avg Week Maya-Masaka'!E37</f>
        <v>11.857142857142858</v>
      </c>
      <c r="F37" s="49">
        <f>'Avg Week Masaka-Maya'!F37+'Avg Week Maya-Masaka'!F37</f>
        <v>47.142857142857139</v>
      </c>
      <c r="G37" s="49">
        <f>'Avg Week Masaka-Maya'!G37+'Avg Week Maya-Masaka'!G37</f>
        <v>2.5714285714285712</v>
      </c>
      <c r="H37" s="49">
        <f>'Avg Week Masaka-Maya'!H37+'Avg Week Maya-Masaka'!H37</f>
        <v>2.8571428571428572</v>
      </c>
      <c r="I37" s="49">
        <f>'Avg Week Masaka-Maya'!I37+'Avg Week Maya-Masaka'!I37</f>
        <v>28.428571428571431</v>
      </c>
      <c r="J37" s="49">
        <f>'Avg Week Masaka-Maya'!J37+'Avg Week Maya-Masaka'!J37</f>
        <v>6</v>
      </c>
      <c r="K37" s="49">
        <f>'Avg Week Masaka-Maya'!K37+'Avg Week Maya-Masaka'!K37</f>
        <v>3.2857142857142856</v>
      </c>
      <c r="L37" s="49">
        <f>'Avg Week Masaka-Maya'!L37+'Avg Week Maya-Masaka'!L37</f>
        <v>5.5714285714285712</v>
      </c>
      <c r="M37" s="49">
        <f>'Avg Week Masaka-Maya'!M37+'Avg Week Maya-Masaka'!M37</f>
        <v>45.857142857142861</v>
      </c>
      <c r="N37" s="49">
        <f>'Avg Week Masaka-Maya'!N37+'Avg Week Maya-Masaka'!N37</f>
        <v>0</v>
      </c>
      <c r="O37" s="15">
        <f t="shared" si="0"/>
        <v>192.85714285714292</v>
      </c>
      <c r="P37" s="15">
        <f t="shared" si="1"/>
        <v>238.71428571428578</v>
      </c>
      <c r="R37" s="37" t="s">
        <v>85</v>
      </c>
      <c r="S37" s="53">
        <f t="shared" ref="S37:AF37" si="29">SUM(S10:S12)</f>
        <v>533.71428571428567</v>
      </c>
      <c r="T37" s="54">
        <f t="shared" si="29"/>
        <v>133.71428571428572</v>
      </c>
      <c r="U37" s="54">
        <f t="shared" si="29"/>
        <v>88.142857142857139</v>
      </c>
      <c r="V37" s="54">
        <f t="shared" si="29"/>
        <v>510.85714285714289</v>
      </c>
      <c r="W37" s="54">
        <f t="shared" si="29"/>
        <v>22.857142857142858</v>
      </c>
      <c r="X37" s="54">
        <f t="shared" si="29"/>
        <v>22.714285714285715</v>
      </c>
      <c r="Y37" s="54">
        <f t="shared" si="29"/>
        <v>242.14285714285714</v>
      </c>
      <c r="Z37" s="54">
        <f t="shared" si="29"/>
        <v>61.428571428571431</v>
      </c>
      <c r="AA37" s="54">
        <f t="shared" si="29"/>
        <v>27.714285714285715</v>
      </c>
      <c r="AB37" s="54">
        <f t="shared" si="29"/>
        <v>42.142857142857139</v>
      </c>
      <c r="AC37" s="54">
        <f t="shared" si="29"/>
        <v>560.71428571428567</v>
      </c>
      <c r="AD37" s="54">
        <f t="shared" si="29"/>
        <v>0</v>
      </c>
      <c r="AE37" s="55">
        <f t="shared" si="29"/>
        <v>1685.4285714285716</v>
      </c>
      <c r="AF37" s="55">
        <f t="shared" si="29"/>
        <v>2246.1428571428569</v>
      </c>
    </row>
    <row r="38" spans="2:32" ht="23.1" customHeight="1" x14ac:dyDescent="0.25">
      <c r="B38" s="24" t="s">
        <v>65</v>
      </c>
      <c r="C38" s="49">
        <f>'Avg Week Masaka-Maya'!C38+'Avg Week Maya-Masaka'!C38</f>
        <v>61.428571428571431</v>
      </c>
      <c r="D38" s="49">
        <f>'Avg Week Masaka-Maya'!D38+'Avg Week Maya-Masaka'!D38</f>
        <v>12.571428571428571</v>
      </c>
      <c r="E38" s="49">
        <f>'Avg Week Masaka-Maya'!E38+'Avg Week Maya-Masaka'!E38</f>
        <v>13.714285714285715</v>
      </c>
      <c r="F38" s="49">
        <f>'Avg Week Masaka-Maya'!F38+'Avg Week Maya-Masaka'!F38</f>
        <v>52.285714285714285</v>
      </c>
      <c r="G38" s="49">
        <f>'Avg Week Masaka-Maya'!G38+'Avg Week Maya-Masaka'!G38</f>
        <v>3</v>
      </c>
      <c r="H38" s="49">
        <f>'Avg Week Masaka-Maya'!H38+'Avg Week Maya-Masaka'!H38</f>
        <v>3.1428571428571428</v>
      </c>
      <c r="I38" s="49">
        <f>'Avg Week Masaka-Maya'!I38+'Avg Week Maya-Masaka'!I38</f>
        <v>30.142857142857146</v>
      </c>
      <c r="J38" s="49">
        <f>'Avg Week Masaka-Maya'!J38+'Avg Week Maya-Masaka'!J38</f>
        <v>6.2857142857142865</v>
      </c>
      <c r="K38" s="49">
        <f>'Avg Week Masaka-Maya'!K38+'Avg Week Maya-Masaka'!K38</f>
        <v>3.8571428571428568</v>
      </c>
      <c r="L38" s="49">
        <f>'Avg Week Masaka-Maya'!L38+'Avg Week Maya-Masaka'!L38</f>
        <v>4.7142857142857144</v>
      </c>
      <c r="M38" s="49">
        <f>'Avg Week Masaka-Maya'!M38+'Avg Week Maya-Masaka'!M38</f>
        <v>45.857142857142854</v>
      </c>
      <c r="N38" s="49">
        <f>'Avg Week Masaka-Maya'!N38+'Avg Week Maya-Masaka'!N38</f>
        <v>0</v>
      </c>
      <c r="O38" s="15">
        <f t="shared" si="0"/>
        <v>191.14285714285714</v>
      </c>
      <c r="P38" s="15">
        <f t="shared" si="1"/>
        <v>237</v>
      </c>
      <c r="R38" s="28" t="s">
        <v>86</v>
      </c>
      <c r="S38" s="54">
        <f t="shared" ref="S38:AF38" si="30">SUM(S13:S18)</f>
        <v>1509.8571428571429</v>
      </c>
      <c r="T38" s="54">
        <f t="shared" si="30"/>
        <v>329.85714285714289</v>
      </c>
      <c r="U38" s="54">
        <f t="shared" si="30"/>
        <v>260.28571428571428</v>
      </c>
      <c r="V38" s="54">
        <f t="shared" si="30"/>
        <v>1205.7142857142858</v>
      </c>
      <c r="W38" s="54">
        <f t="shared" si="30"/>
        <v>61.714285714285715</v>
      </c>
      <c r="X38" s="54">
        <f t="shared" si="30"/>
        <v>69.857142857142861</v>
      </c>
      <c r="Y38" s="54">
        <f t="shared" si="30"/>
        <v>662.85714285714289</v>
      </c>
      <c r="Z38" s="54">
        <f t="shared" si="30"/>
        <v>144.57142857142856</v>
      </c>
      <c r="AA38" s="54">
        <f t="shared" si="30"/>
        <v>74.857142857142861</v>
      </c>
      <c r="AB38" s="54">
        <f t="shared" si="30"/>
        <v>107</v>
      </c>
      <c r="AC38" s="54">
        <f t="shared" si="30"/>
        <v>1104.2857142857142</v>
      </c>
      <c r="AD38" s="54">
        <f t="shared" si="30"/>
        <v>0.5714285714285714</v>
      </c>
      <c r="AE38" s="55">
        <f t="shared" si="30"/>
        <v>4427.1428571428569</v>
      </c>
      <c r="AF38" s="55">
        <f t="shared" si="30"/>
        <v>5531.4285714285716</v>
      </c>
    </row>
    <row r="39" spans="2:32" ht="23.1" customHeight="1" x14ac:dyDescent="0.25">
      <c r="B39" s="24" t="s">
        <v>66</v>
      </c>
      <c r="C39" s="49">
        <f>'Avg Week Masaka-Maya'!C39+'Avg Week Maya-Masaka'!C39</f>
        <v>61.857142857142854</v>
      </c>
      <c r="D39" s="49">
        <f>'Avg Week Masaka-Maya'!D39+'Avg Week Maya-Masaka'!D39</f>
        <v>15</v>
      </c>
      <c r="E39" s="49">
        <f>'Avg Week Masaka-Maya'!E39+'Avg Week Maya-Masaka'!E39</f>
        <v>12.857142857142858</v>
      </c>
      <c r="F39" s="49">
        <f>'Avg Week Masaka-Maya'!F39+'Avg Week Maya-Masaka'!F39</f>
        <v>49.571428571428569</v>
      </c>
      <c r="G39" s="49">
        <f>'Avg Week Masaka-Maya'!G39+'Avg Week Maya-Masaka'!G39</f>
        <v>1.8571428571428572</v>
      </c>
      <c r="H39" s="49">
        <f>'Avg Week Masaka-Maya'!H39+'Avg Week Maya-Masaka'!H39</f>
        <v>2.5714285714285716</v>
      </c>
      <c r="I39" s="49">
        <f>'Avg Week Masaka-Maya'!I39+'Avg Week Maya-Masaka'!I39</f>
        <v>26.428571428571431</v>
      </c>
      <c r="J39" s="49">
        <f>'Avg Week Masaka-Maya'!J39+'Avg Week Maya-Masaka'!J39</f>
        <v>6.1428571428571432</v>
      </c>
      <c r="K39" s="49">
        <f>'Avg Week Masaka-Maya'!K39+'Avg Week Maya-Masaka'!K39</f>
        <v>1.4285714285714284</v>
      </c>
      <c r="L39" s="49">
        <f>'Avg Week Masaka-Maya'!L39+'Avg Week Maya-Masaka'!L39</f>
        <v>4.8571428571428577</v>
      </c>
      <c r="M39" s="49">
        <f>'Avg Week Masaka-Maya'!M39+'Avg Week Maya-Masaka'!M39</f>
        <v>37.142857142857139</v>
      </c>
      <c r="N39" s="49">
        <f>'Avg Week Masaka-Maya'!N39+'Avg Week Maya-Masaka'!N39</f>
        <v>0.14285714285714285</v>
      </c>
      <c r="O39" s="15">
        <f t="shared" si="0"/>
        <v>182.71428571428572</v>
      </c>
      <c r="P39" s="15">
        <f t="shared" si="1"/>
        <v>219.85714285714286</v>
      </c>
      <c r="R39" s="29" t="s">
        <v>87</v>
      </c>
      <c r="S39" s="54">
        <f t="shared" ref="S39:AF39" si="31">SUM(S19:S21)</f>
        <v>930.71428571428567</v>
      </c>
      <c r="T39" s="54">
        <f t="shared" si="31"/>
        <v>194.57142857142856</v>
      </c>
      <c r="U39" s="54">
        <f t="shared" si="31"/>
        <v>147.28571428571428</v>
      </c>
      <c r="V39" s="54">
        <f t="shared" si="31"/>
        <v>674.71428571428578</v>
      </c>
      <c r="W39" s="54">
        <f t="shared" si="31"/>
        <v>58</v>
      </c>
      <c r="X39" s="54">
        <f t="shared" si="31"/>
        <v>43.428571428571431</v>
      </c>
      <c r="Y39" s="54">
        <f t="shared" si="31"/>
        <v>402.42857142857144</v>
      </c>
      <c r="Z39" s="54">
        <f t="shared" si="31"/>
        <v>91.714285714285722</v>
      </c>
      <c r="AA39" s="54">
        <f t="shared" si="31"/>
        <v>51.285714285714285</v>
      </c>
      <c r="AB39" s="54">
        <f t="shared" si="31"/>
        <v>60.571428571428577</v>
      </c>
      <c r="AC39" s="54">
        <f t="shared" si="31"/>
        <v>668.14285714285711</v>
      </c>
      <c r="AD39" s="54">
        <f t="shared" si="31"/>
        <v>0</v>
      </c>
      <c r="AE39" s="55">
        <f t="shared" si="31"/>
        <v>2654.7142857142858</v>
      </c>
      <c r="AF39" s="55">
        <f t="shared" si="31"/>
        <v>3322.8571428571431</v>
      </c>
    </row>
    <row r="40" spans="2:32" ht="23.1" customHeight="1" x14ac:dyDescent="0.25">
      <c r="B40" s="24" t="s">
        <v>67</v>
      </c>
      <c r="C40" s="49">
        <f>'Avg Week Masaka-Maya'!C40+'Avg Week Maya-Masaka'!C40</f>
        <v>69</v>
      </c>
      <c r="D40" s="49">
        <f>'Avg Week Masaka-Maya'!D40+'Avg Week Maya-Masaka'!D40</f>
        <v>13.428571428571427</v>
      </c>
      <c r="E40" s="49">
        <f>'Avg Week Masaka-Maya'!E40+'Avg Week Maya-Masaka'!E40</f>
        <v>13.428571428571429</v>
      </c>
      <c r="F40" s="49">
        <f>'Avg Week Masaka-Maya'!F40+'Avg Week Maya-Masaka'!F40</f>
        <v>45.285714285714292</v>
      </c>
      <c r="G40" s="49">
        <f>'Avg Week Masaka-Maya'!G40+'Avg Week Maya-Masaka'!G40</f>
        <v>1.8571428571428572</v>
      </c>
      <c r="H40" s="49">
        <f>'Avg Week Masaka-Maya'!H40+'Avg Week Maya-Masaka'!H40</f>
        <v>3.7142857142857144</v>
      </c>
      <c r="I40" s="49">
        <f>'Avg Week Masaka-Maya'!I40+'Avg Week Maya-Masaka'!I40</f>
        <v>30.571428571428569</v>
      </c>
      <c r="J40" s="49">
        <f>'Avg Week Masaka-Maya'!J40+'Avg Week Maya-Masaka'!J40</f>
        <v>5.8571428571428577</v>
      </c>
      <c r="K40" s="49">
        <f>'Avg Week Masaka-Maya'!K40+'Avg Week Maya-Masaka'!K40</f>
        <v>3.4285714285714288</v>
      </c>
      <c r="L40" s="49">
        <f>'Avg Week Masaka-Maya'!L40+'Avg Week Maya-Masaka'!L40</f>
        <v>2.7142857142857144</v>
      </c>
      <c r="M40" s="49">
        <f>'Avg Week Masaka-Maya'!M40+'Avg Week Maya-Masaka'!M40</f>
        <v>47.571428571428569</v>
      </c>
      <c r="N40" s="49">
        <f>'Avg Week Masaka-Maya'!N40+'Avg Week Maya-Masaka'!N40</f>
        <v>0.14285714285714285</v>
      </c>
      <c r="O40" s="15">
        <f t="shared" si="0"/>
        <v>189.42857142857147</v>
      </c>
      <c r="P40" s="15">
        <f t="shared" si="1"/>
        <v>237.00000000000003</v>
      </c>
      <c r="R40" s="5" t="s">
        <v>17</v>
      </c>
      <c r="S40" s="54">
        <f t="shared" ref="S40:AF40" si="32">SUM(S10:S21)</f>
        <v>2974.2857142857142</v>
      </c>
      <c r="T40" s="54">
        <f t="shared" si="32"/>
        <v>658.14285714285711</v>
      </c>
      <c r="U40" s="54">
        <f t="shared" si="32"/>
        <v>495.71428571428567</v>
      </c>
      <c r="V40" s="54">
        <f t="shared" si="32"/>
        <v>2391.2857142857142</v>
      </c>
      <c r="W40" s="54">
        <f t="shared" si="32"/>
        <v>142.57142857142856</v>
      </c>
      <c r="X40" s="54">
        <f t="shared" si="32"/>
        <v>136</v>
      </c>
      <c r="Y40" s="54">
        <f t="shared" si="32"/>
        <v>1307.4285714285716</v>
      </c>
      <c r="Z40" s="54">
        <f t="shared" si="32"/>
        <v>297.71428571428572</v>
      </c>
      <c r="AA40" s="54">
        <f t="shared" si="32"/>
        <v>153.85714285714286</v>
      </c>
      <c r="AB40" s="54">
        <f t="shared" si="32"/>
        <v>209.71428571428572</v>
      </c>
      <c r="AC40" s="54">
        <f t="shared" si="32"/>
        <v>2333.1428571428573</v>
      </c>
      <c r="AD40" s="54">
        <f t="shared" si="32"/>
        <v>0.5714285714285714</v>
      </c>
      <c r="AE40" s="55">
        <f t="shared" si="32"/>
        <v>8767.2857142857138</v>
      </c>
      <c r="AF40" s="55">
        <f t="shared" si="32"/>
        <v>11100.428571428571</v>
      </c>
    </row>
    <row r="41" spans="2:32" ht="23.1" customHeight="1" x14ac:dyDescent="0.25">
      <c r="B41" s="23" t="s">
        <v>68</v>
      </c>
      <c r="C41" s="49">
        <f>'Avg Week Masaka-Maya'!C41+'Avg Week Maya-Masaka'!C41</f>
        <v>74.714285714285722</v>
      </c>
      <c r="D41" s="49">
        <f>'Avg Week Masaka-Maya'!D41+'Avg Week Maya-Masaka'!D41</f>
        <v>14.714285714285714</v>
      </c>
      <c r="E41" s="49">
        <f>'Avg Week Masaka-Maya'!E41+'Avg Week Maya-Masaka'!E41</f>
        <v>14.428571428571427</v>
      </c>
      <c r="F41" s="49">
        <f>'Avg Week Masaka-Maya'!F41+'Avg Week Maya-Masaka'!F41</f>
        <v>42.142857142857146</v>
      </c>
      <c r="G41" s="49">
        <f>'Avg Week Masaka-Maya'!G41+'Avg Week Maya-Masaka'!G41</f>
        <v>3.2857142857142856</v>
      </c>
      <c r="H41" s="49">
        <f>'Avg Week Masaka-Maya'!H41+'Avg Week Maya-Masaka'!H41</f>
        <v>2.5714285714285712</v>
      </c>
      <c r="I41" s="49">
        <f>'Avg Week Masaka-Maya'!I41+'Avg Week Maya-Masaka'!I41</f>
        <v>29.285714285714285</v>
      </c>
      <c r="J41" s="49">
        <f>'Avg Week Masaka-Maya'!J41+'Avg Week Maya-Masaka'!J41</f>
        <v>7.7142857142857144</v>
      </c>
      <c r="K41" s="49">
        <f>'Avg Week Masaka-Maya'!K41+'Avg Week Maya-Masaka'!K41</f>
        <v>1.857142857142857</v>
      </c>
      <c r="L41" s="49">
        <f>'Avg Week Masaka-Maya'!L41+'Avg Week Maya-Masaka'!L41</f>
        <v>5</v>
      </c>
      <c r="M41" s="49">
        <f>'Avg Week Masaka-Maya'!M41+'Avg Week Maya-Masaka'!M41</f>
        <v>38</v>
      </c>
      <c r="N41" s="49">
        <f>'Avg Week Masaka-Maya'!N41+'Avg Week Maya-Masaka'!N41</f>
        <v>0</v>
      </c>
      <c r="O41" s="15">
        <f t="shared" si="0"/>
        <v>195.71428571428572</v>
      </c>
      <c r="P41" s="15">
        <f t="shared" si="1"/>
        <v>233.71428571428572</v>
      </c>
      <c r="R41" s="5" t="s">
        <v>178</v>
      </c>
      <c r="S41" s="54">
        <f>SUM(S10:S33)</f>
        <v>4017.7857142857142</v>
      </c>
      <c r="T41" s="54">
        <f t="shared" ref="T41:AD41" si="33">SUM(T10:T33)</f>
        <v>991.14285714285711</v>
      </c>
      <c r="U41" s="54">
        <f t="shared" si="33"/>
        <v>696.21428571428567</v>
      </c>
      <c r="V41" s="54">
        <f t="shared" si="33"/>
        <v>3360.7857142857142</v>
      </c>
      <c r="W41" s="54">
        <f t="shared" si="33"/>
        <v>242.57142857142856</v>
      </c>
      <c r="X41" s="54">
        <f t="shared" si="33"/>
        <v>296</v>
      </c>
      <c r="Y41" s="54">
        <f t="shared" si="33"/>
        <v>2305.4285714285716</v>
      </c>
      <c r="Z41" s="54">
        <f t="shared" si="33"/>
        <v>755.71428571428578</v>
      </c>
      <c r="AA41" s="54">
        <f t="shared" si="33"/>
        <v>491.35714285714289</v>
      </c>
      <c r="AB41" s="54">
        <f t="shared" si="33"/>
        <v>473.21428571428572</v>
      </c>
      <c r="AC41" s="54">
        <f t="shared" si="33"/>
        <v>3001.6428571428573</v>
      </c>
      <c r="AD41" s="54">
        <f t="shared" si="33"/>
        <v>0.5714285714285714</v>
      </c>
      <c r="AE41" s="55">
        <f>SUM(AE10:AE33)</f>
        <v>13630.785714285714</v>
      </c>
      <c r="AF41" s="55">
        <f>SUM(AF10:AF33)</f>
        <v>16632.428571428572</v>
      </c>
    </row>
    <row r="42" spans="2:32" ht="23.1" customHeight="1" x14ac:dyDescent="0.25">
      <c r="B42" s="24" t="s">
        <v>69</v>
      </c>
      <c r="C42" s="49">
        <f>'Avg Week Masaka-Maya'!C42+'Avg Week Maya-Masaka'!C42</f>
        <v>67.428571428571431</v>
      </c>
      <c r="D42" s="49">
        <f>'Avg Week Masaka-Maya'!D42+'Avg Week Maya-Masaka'!D42</f>
        <v>15.714285714285715</v>
      </c>
      <c r="E42" s="49">
        <f>'Avg Week Masaka-Maya'!E42+'Avg Week Maya-Masaka'!E42</f>
        <v>14.714285714285715</v>
      </c>
      <c r="F42" s="49">
        <f>'Avg Week Masaka-Maya'!F42+'Avg Week Maya-Masaka'!F42</f>
        <v>46.857142857142861</v>
      </c>
      <c r="G42" s="49">
        <f>'Avg Week Masaka-Maya'!G42+'Avg Week Maya-Masaka'!G42</f>
        <v>1.7142857142857142</v>
      </c>
      <c r="H42" s="49">
        <f>'Avg Week Masaka-Maya'!H42+'Avg Week Maya-Masaka'!H42</f>
        <v>3.2857142857142856</v>
      </c>
      <c r="I42" s="49">
        <f>'Avg Week Masaka-Maya'!I42+'Avg Week Maya-Masaka'!I42</f>
        <v>30</v>
      </c>
      <c r="J42" s="49">
        <f>'Avg Week Masaka-Maya'!J42+'Avg Week Maya-Masaka'!J42</f>
        <v>8</v>
      </c>
      <c r="K42" s="49">
        <f>'Avg Week Masaka-Maya'!K42+'Avg Week Maya-Masaka'!K42</f>
        <v>2.1428571428571428</v>
      </c>
      <c r="L42" s="49">
        <f>'Avg Week Masaka-Maya'!L42+'Avg Week Maya-Masaka'!L42</f>
        <v>3.8571428571428577</v>
      </c>
      <c r="M42" s="49">
        <f>'Avg Week Masaka-Maya'!M42+'Avg Week Maya-Masaka'!M42</f>
        <v>51.285714285714285</v>
      </c>
      <c r="N42" s="49">
        <f>'Avg Week Masaka-Maya'!N42+'Avg Week Maya-Masaka'!N42</f>
        <v>0</v>
      </c>
      <c r="O42" s="15">
        <f t="shared" si="0"/>
        <v>193.71428571428572</v>
      </c>
      <c r="P42" s="15">
        <f t="shared" si="1"/>
        <v>245</v>
      </c>
      <c r="R42" s="5" t="s">
        <v>160</v>
      </c>
      <c r="S42" s="48">
        <f>S41/S40</f>
        <v>1.3508405379442843</v>
      </c>
      <c r="T42" s="48">
        <f t="shared" ref="T42:AF42" si="34">T41/T40</f>
        <v>1.5059691773388322</v>
      </c>
      <c r="U42" s="48">
        <f t="shared" si="34"/>
        <v>1.4044668587896254</v>
      </c>
      <c r="V42" s="48">
        <f t="shared" si="34"/>
        <v>1.4054304319254436</v>
      </c>
      <c r="W42" s="48">
        <f t="shared" si="34"/>
        <v>1.7014028056112225</v>
      </c>
      <c r="X42" s="48">
        <f t="shared" si="34"/>
        <v>2.1764705882352939</v>
      </c>
      <c r="Y42" s="48">
        <f t="shared" si="34"/>
        <v>1.7633304195804196</v>
      </c>
      <c r="Z42" s="48">
        <f t="shared" si="34"/>
        <v>2.5383877159309023</v>
      </c>
      <c r="AA42" s="48">
        <f t="shared" si="34"/>
        <v>3.1935933147632314</v>
      </c>
      <c r="AB42" s="48">
        <f t="shared" si="34"/>
        <v>2.2564713896457764</v>
      </c>
      <c r="AC42" s="48">
        <f t="shared" si="34"/>
        <v>1.2865233896644623</v>
      </c>
      <c r="AD42" s="48">
        <f t="shared" si="34"/>
        <v>1</v>
      </c>
      <c r="AE42" s="56">
        <f t="shared" si="34"/>
        <v>1.5547326913362989</v>
      </c>
      <c r="AF42" s="56">
        <f t="shared" si="34"/>
        <v>1.4983591367128684</v>
      </c>
    </row>
    <row r="43" spans="2:32" ht="23.1" customHeight="1" x14ac:dyDescent="0.25">
      <c r="B43" s="23" t="s">
        <v>70</v>
      </c>
      <c r="C43" s="49">
        <f>'Avg Week Masaka-Maya'!C43+'Avg Week Maya-Masaka'!C43</f>
        <v>74.714285714285708</v>
      </c>
      <c r="D43" s="49">
        <f>'Avg Week Masaka-Maya'!D43+'Avg Week Maya-Masaka'!D43</f>
        <v>13.428571428571427</v>
      </c>
      <c r="E43" s="49">
        <f>'Avg Week Masaka-Maya'!E43+'Avg Week Maya-Masaka'!E43</f>
        <v>9.8571428571428577</v>
      </c>
      <c r="F43" s="49">
        <f>'Avg Week Masaka-Maya'!F43+'Avg Week Maya-Masaka'!F43</f>
        <v>39.571428571428569</v>
      </c>
      <c r="G43" s="49">
        <f>'Avg Week Masaka-Maya'!G43+'Avg Week Maya-Masaka'!G43</f>
        <v>1.4285714285714284</v>
      </c>
      <c r="H43" s="49">
        <f>'Avg Week Masaka-Maya'!H43+'Avg Week Maya-Masaka'!H43</f>
        <v>4.2857142857142856</v>
      </c>
      <c r="I43" s="49">
        <f>'Avg Week Masaka-Maya'!I43+'Avg Week Maya-Masaka'!I43</f>
        <v>34.142857142857139</v>
      </c>
      <c r="J43" s="49">
        <f>'Avg Week Masaka-Maya'!J43+'Avg Week Maya-Masaka'!J43</f>
        <v>6.5714285714285712</v>
      </c>
      <c r="K43" s="49">
        <f>'Avg Week Masaka-Maya'!K43+'Avg Week Maya-Masaka'!K43</f>
        <v>1.7142857142857144</v>
      </c>
      <c r="L43" s="49">
        <f>'Avg Week Masaka-Maya'!L43+'Avg Week Maya-Masaka'!L43</f>
        <v>5.5714285714285712</v>
      </c>
      <c r="M43" s="49">
        <f>'Avg Week Masaka-Maya'!M43+'Avg Week Maya-Masaka'!M43</f>
        <v>43.571428571428569</v>
      </c>
      <c r="N43" s="49">
        <f>'Avg Week Masaka-Maya'!N43+'Avg Week Maya-Masaka'!N43</f>
        <v>0</v>
      </c>
      <c r="O43" s="15">
        <f t="shared" si="0"/>
        <v>191.28571428571428</v>
      </c>
      <c r="P43" s="15">
        <f t="shared" si="1"/>
        <v>234.85714285714283</v>
      </c>
    </row>
    <row r="44" spans="2:32" ht="23.1" customHeight="1" x14ac:dyDescent="0.25">
      <c r="B44" s="25" t="s">
        <v>71</v>
      </c>
      <c r="C44" s="49">
        <f>'Avg Week Masaka-Maya'!C44+'Avg Week Maya-Masaka'!C44</f>
        <v>66.857142857142861</v>
      </c>
      <c r="D44" s="49">
        <f>'Avg Week Masaka-Maya'!D44+'Avg Week Maya-Masaka'!D44</f>
        <v>14</v>
      </c>
      <c r="E44" s="49">
        <f>'Avg Week Masaka-Maya'!E44+'Avg Week Maya-Masaka'!E44</f>
        <v>12</v>
      </c>
      <c r="F44" s="49">
        <f>'Avg Week Masaka-Maya'!F44+'Avg Week Maya-Masaka'!F44</f>
        <v>52.428571428571431</v>
      </c>
      <c r="G44" s="49">
        <f>'Avg Week Masaka-Maya'!G44+'Avg Week Maya-Masaka'!G44</f>
        <v>2.4285714285714284</v>
      </c>
      <c r="H44" s="49">
        <f>'Avg Week Masaka-Maya'!H44+'Avg Week Maya-Masaka'!H44</f>
        <v>3</v>
      </c>
      <c r="I44" s="49">
        <f>'Avg Week Masaka-Maya'!I44+'Avg Week Maya-Masaka'!I44</f>
        <v>33.142857142857146</v>
      </c>
      <c r="J44" s="49">
        <f>'Avg Week Masaka-Maya'!J44+'Avg Week Maya-Masaka'!J44</f>
        <v>7.8571428571428568</v>
      </c>
      <c r="K44" s="49">
        <f>'Avg Week Masaka-Maya'!K44+'Avg Week Maya-Masaka'!K44</f>
        <v>1.8571428571428572</v>
      </c>
      <c r="L44" s="49">
        <f>'Avg Week Masaka-Maya'!L44+'Avg Week Maya-Masaka'!L44</f>
        <v>3.7142857142857144</v>
      </c>
      <c r="M44" s="49">
        <f>'Avg Week Masaka-Maya'!M44+'Avg Week Maya-Masaka'!M44</f>
        <v>39.571428571428569</v>
      </c>
      <c r="N44" s="49">
        <f>'Avg Week Masaka-Maya'!N44+'Avg Week Maya-Masaka'!N44</f>
        <v>0</v>
      </c>
      <c r="O44" s="15">
        <f t="shared" si="0"/>
        <v>197.28571428571428</v>
      </c>
      <c r="P44" s="15">
        <f t="shared" si="1"/>
        <v>236.85714285714283</v>
      </c>
    </row>
    <row r="45" spans="2:32" ht="23.1" customHeight="1" x14ac:dyDescent="0.25">
      <c r="B45" s="23" t="s">
        <v>72</v>
      </c>
      <c r="C45" s="49">
        <f>'Avg Week Masaka-Maya'!C45+'Avg Week Maya-Masaka'!C45</f>
        <v>68.857142857142861</v>
      </c>
      <c r="D45" s="49">
        <f>'Avg Week Masaka-Maya'!D45+'Avg Week Maya-Masaka'!D45</f>
        <v>15</v>
      </c>
      <c r="E45" s="49">
        <f>'Avg Week Masaka-Maya'!E45+'Avg Week Maya-Masaka'!E45</f>
        <v>14.285714285714285</v>
      </c>
      <c r="F45" s="49">
        <f>'Avg Week Masaka-Maya'!F45+'Avg Week Maya-Masaka'!F45</f>
        <v>48.142857142857139</v>
      </c>
      <c r="G45" s="49">
        <f>'Avg Week Masaka-Maya'!G45+'Avg Week Maya-Masaka'!G45</f>
        <v>2.1428571428571428</v>
      </c>
      <c r="H45" s="49">
        <f>'Avg Week Masaka-Maya'!H45+'Avg Week Maya-Masaka'!H45</f>
        <v>5</v>
      </c>
      <c r="I45" s="49">
        <f>'Avg Week Masaka-Maya'!I45+'Avg Week Maya-Masaka'!I45</f>
        <v>28.571428571428569</v>
      </c>
      <c r="J45" s="49">
        <f>'Avg Week Masaka-Maya'!J45+'Avg Week Maya-Masaka'!J45</f>
        <v>9.1428571428571423</v>
      </c>
      <c r="K45" s="49">
        <f>'Avg Week Masaka-Maya'!K45+'Avg Week Maya-Masaka'!K45</f>
        <v>3</v>
      </c>
      <c r="L45" s="49">
        <f>'Avg Week Masaka-Maya'!L45+'Avg Week Maya-Masaka'!L45</f>
        <v>5</v>
      </c>
      <c r="M45" s="49">
        <f>'Avg Week Masaka-Maya'!M45+'Avg Week Maya-Masaka'!M45</f>
        <v>39.571428571428569</v>
      </c>
      <c r="N45" s="49">
        <f>'Avg Week Masaka-Maya'!N45+'Avg Week Maya-Masaka'!N45</f>
        <v>0.14285714285714285</v>
      </c>
      <c r="O45" s="15">
        <f t="shared" si="0"/>
        <v>199.28571428571428</v>
      </c>
      <c r="P45" s="15">
        <f t="shared" si="1"/>
        <v>238.85714285714286</v>
      </c>
    </row>
    <row r="46" spans="2:32" ht="23.1" customHeight="1" x14ac:dyDescent="0.25">
      <c r="B46" s="24" t="s">
        <v>73</v>
      </c>
      <c r="C46" s="49">
        <f>'Avg Week Masaka-Maya'!C46+'Avg Week Maya-Masaka'!C46</f>
        <v>72.857142857142861</v>
      </c>
      <c r="D46" s="49">
        <f>'Avg Week Masaka-Maya'!D46+'Avg Week Maya-Masaka'!D46</f>
        <v>15.571428571428571</v>
      </c>
      <c r="E46" s="49">
        <f>'Avg Week Masaka-Maya'!E46+'Avg Week Maya-Masaka'!E46</f>
        <v>14.857142857142858</v>
      </c>
      <c r="F46" s="49">
        <f>'Avg Week Masaka-Maya'!F46+'Avg Week Maya-Masaka'!F46</f>
        <v>44.285714285714285</v>
      </c>
      <c r="G46" s="49">
        <f>'Avg Week Masaka-Maya'!G46+'Avg Week Maya-Masaka'!G46</f>
        <v>3.4285714285714288</v>
      </c>
      <c r="H46" s="49">
        <f>'Avg Week Masaka-Maya'!H46+'Avg Week Maya-Masaka'!H46</f>
        <v>4.4285714285714288</v>
      </c>
      <c r="I46" s="49">
        <f>'Avg Week Masaka-Maya'!I46+'Avg Week Maya-Masaka'!I46</f>
        <v>34</v>
      </c>
      <c r="J46" s="49">
        <f>'Avg Week Masaka-Maya'!J46+'Avg Week Maya-Masaka'!J46</f>
        <v>5.7142857142857144</v>
      </c>
      <c r="K46" s="49">
        <f>'Avg Week Masaka-Maya'!K46+'Avg Week Maya-Masaka'!K46</f>
        <v>4.4285714285714288</v>
      </c>
      <c r="L46" s="49">
        <f>'Avg Week Masaka-Maya'!L46+'Avg Week Maya-Masaka'!L46</f>
        <v>5.4285714285714288</v>
      </c>
      <c r="M46" s="49">
        <f>'Avg Week Masaka-Maya'!M46+'Avg Week Maya-Masaka'!M46</f>
        <v>47.857142857142861</v>
      </c>
      <c r="N46" s="49">
        <f>'Avg Week Masaka-Maya'!N46+'Avg Week Maya-Masaka'!N46</f>
        <v>0</v>
      </c>
      <c r="O46" s="15">
        <f t="shared" si="0"/>
        <v>204.99999999999997</v>
      </c>
      <c r="P46" s="15">
        <f t="shared" si="1"/>
        <v>252.85714285714283</v>
      </c>
      <c r="R46" s="8"/>
      <c r="T46"/>
    </row>
    <row r="47" spans="2:32" ht="23.1" customHeight="1" x14ac:dyDescent="0.25">
      <c r="B47" s="24" t="s">
        <v>74</v>
      </c>
      <c r="C47" s="49">
        <f>'Avg Week Masaka-Maya'!C47+'Avg Week Maya-Masaka'!C47</f>
        <v>81.142857142857139</v>
      </c>
      <c r="D47" s="49">
        <f>'Avg Week Masaka-Maya'!D47+'Avg Week Maya-Masaka'!D47</f>
        <v>14.571428571428571</v>
      </c>
      <c r="E47" s="49">
        <f>'Avg Week Masaka-Maya'!E47+'Avg Week Maya-Masaka'!E47</f>
        <v>13.571428571428573</v>
      </c>
      <c r="F47" s="49">
        <f>'Avg Week Masaka-Maya'!F47+'Avg Week Maya-Masaka'!F47</f>
        <v>52.428571428571431</v>
      </c>
      <c r="G47" s="49">
        <f>'Avg Week Masaka-Maya'!G47+'Avg Week Maya-Masaka'!G47</f>
        <v>1.8571428571428572</v>
      </c>
      <c r="H47" s="49">
        <f>'Avg Week Masaka-Maya'!H47+'Avg Week Maya-Masaka'!H47</f>
        <v>3.2857142857142856</v>
      </c>
      <c r="I47" s="49">
        <f>'Avg Week Masaka-Maya'!I47+'Avg Week Maya-Masaka'!I47</f>
        <v>37.428571428571431</v>
      </c>
      <c r="J47" s="49">
        <f>'Avg Week Masaka-Maya'!J47+'Avg Week Maya-Masaka'!J47</f>
        <v>8.4285714285714288</v>
      </c>
      <c r="K47" s="49">
        <f>'Avg Week Masaka-Maya'!K47+'Avg Week Maya-Masaka'!K47</f>
        <v>3.2857142857142856</v>
      </c>
      <c r="L47" s="49">
        <f>'Avg Week Masaka-Maya'!L47+'Avg Week Maya-Masaka'!L47</f>
        <v>5.5714285714285712</v>
      </c>
      <c r="M47" s="49">
        <f>'Avg Week Masaka-Maya'!M47+'Avg Week Maya-Masaka'!M47</f>
        <v>51</v>
      </c>
      <c r="N47" s="49">
        <f>'Avg Week Masaka-Maya'!N47+'Avg Week Maya-Masaka'!N47</f>
        <v>0</v>
      </c>
      <c r="O47" s="15">
        <f t="shared" si="0"/>
        <v>221.57142857142856</v>
      </c>
      <c r="P47" s="15">
        <f t="shared" si="1"/>
        <v>272.57142857142856</v>
      </c>
      <c r="R47" s="8"/>
      <c r="T47"/>
    </row>
    <row r="48" spans="2:32" ht="23.1" customHeight="1" x14ac:dyDescent="0.25">
      <c r="B48" s="24" t="s">
        <v>75</v>
      </c>
      <c r="C48" s="49">
        <f>'Avg Week Masaka-Maya'!C48+'Avg Week Maya-Masaka'!C48</f>
        <v>70.285714285714278</v>
      </c>
      <c r="D48" s="49">
        <f>'Avg Week Masaka-Maya'!D48+'Avg Week Maya-Masaka'!D48</f>
        <v>17.428571428571431</v>
      </c>
      <c r="E48" s="49">
        <f>'Avg Week Masaka-Maya'!E48+'Avg Week Maya-Masaka'!E48</f>
        <v>12.142857142857142</v>
      </c>
      <c r="F48" s="49">
        <f>'Avg Week Masaka-Maya'!F48+'Avg Week Maya-Masaka'!F48</f>
        <v>53.428571428571431</v>
      </c>
      <c r="G48" s="49">
        <f>'Avg Week Masaka-Maya'!G48+'Avg Week Maya-Masaka'!G48</f>
        <v>4</v>
      </c>
      <c r="H48" s="49">
        <f>'Avg Week Masaka-Maya'!H48+'Avg Week Maya-Masaka'!H48</f>
        <v>4.1428571428571423</v>
      </c>
      <c r="I48" s="49">
        <f>'Avg Week Masaka-Maya'!I48+'Avg Week Maya-Masaka'!I48</f>
        <v>37.571428571428569</v>
      </c>
      <c r="J48" s="49">
        <f>'Avg Week Masaka-Maya'!J48+'Avg Week Maya-Masaka'!J48</f>
        <v>7.4285714285714288</v>
      </c>
      <c r="K48" s="49">
        <f>'Avg Week Masaka-Maya'!K48+'Avg Week Maya-Masaka'!K48</f>
        <v>4.1428571428571423</v>
      </c>
      <c r="L48" s="49">
        <f>'Avg Week Masaka-Maya'!L48+'Avg Week Maya-Masaka'!L48</f>
        <v>6.2857142857142856</v>
      </c>
      <c r="M48" s="49">
        <f>'Avg Week Masaka-Maya'!M48+'Avg Week Maya-Masaka'!M48</f>
        <v>59.714285714285715</v>
      </c>
      <c r="N48" s="49">
        <f>'Avg Week Masaka-Maya'!N48+'Avg Week Maya-Masaka'!N48</f>
        <v>0</v>
      </c>
      <c r="O48" s="15">
        <f t="shared" si="0"/>
        <v>216.85714285714283</v>
      </c>
      <c r="P48" s="15">
        <f t="shared" si="1"/>
        <v>276.57142857142856</v>
      </c>
      <c r="R48" s="8"/>
      <c r="T48"/>
    </row>
    <row r="49" spans="2:20" ht="23.1" customHeight="1" x14ac:dyDescent="0.25">
      <c r="B49" s="23" t="s">
        <v>76</v>
      </c>
      <c r="C49" s="49">
        <f>'Avg Week Masaka-Maya'!C49+'Avg Week Maya-Masaka'!C49</f>
        <v>69.857142857142861</v>
      </c>
      <c r="D49" s="49">
        <f>'Avg Week Masaka-Maya'!D49+'Avg Week Maya-Masaka'!D49</f>
        <v>16.714285714285715</v>
      </c>
      <c r="E49" s="49">
        <f>'Avg Week Masaka-Maya'!E49+'Avg Week Maya-Masaka'!E49</f>
        <v>12.142857142857142</v>
      </c>
      <c r="F49" s="49">
        <f>'Avg Week Masaka-Maya'!F49+'Avg Week Maya-Masaka'!F49</f>
        <v>56.857142857142861</v>
      </c>
      <c r="G49" s="49">
        <f>'Avg Week Masaka-Maya'!G49+'Avg Week Maya-Masaka'!G49</f>
        <v>6</v>
      </c>
      <c r="H49" s="49">
        <f>'Avg Week Masaka-Maya'!H49+'Avg Week Maya-Masaka'!H49</f>
        <v>3.7142857142857144</v>
      </c>
      <c r="I49" s="49">
        <f>'Avg Week Masaka-Maya'!I49+'Avg Week Maya-Masaka'!I49</f>
        <v>27.714285714285715</v>
      </c>
      <c r="J49" s="49">
        <f>'Avg Week Masaka-Maya'!J49+'Avg Week Maya-Masaka'!J49</f>
        <v>7.1428571428571423</v>
      </c>
      <c r="K49" s="49">
        <f>'Avg Week Masaka-Maya'!K49+'Avg Week Maya-Masaka'!K49</f>
        <v>5.4285714285714288</v>
      </c>
      <c r="L49" s="49">
        <f>'Avg Week Masaka-Maya'!L49+'Avg Week Maya-Masaka'!L49</f>
        <v>4.4285714285714288</v>
      </c>
      <c r="M49" s="49">
        <f>'Avg Week Masaka-Maya'!M49+'Avg Week Maya-Masaka'!M49</f>
        <v>52.857142857142861</v>
      </c>
      <c r="N49" s="49">
        <f>'Avg Week Masaka-Maya'!N49+'Avg Week Maya-Masaka'!N49</f>
        <v>0</v>
      </c>
      <c r="O49" s="15">
        <f t="shared" si="0"/>
        <v>210</v>
      </c>
      <c r="P49" s="15">
        <f t="shared" si="1"/>
        <v>262.85714285714289</v>
      </c>
      <c r="R49" s="8"/>
      <c r="T49"/>
    </row>
    <row r="50" spans="2:20" ht="23.1" customHeight="1" x14ac:dyDescent="0.25">
      <c r="B50" s="24" t="s">
        <v>77</v>
      </c>
      <c r="C50" s="49">
        <f>'Avg Week Masaka-Maya'!C50+'Avg Week Maya-Masaka'!C50</f>
        <v>74.285714285714292</v>
      </c>
      <c r="D50" s="49">
        <f>'Avg Week Masaka-Maya'!D50+'Avg Week Maya-Masaka'!D50</f>
        <v>15.285714285714285</v>
      </c>
      <c r="E50" s="49">
        <f>'Avg Week Masaka-Maya'!E50+'Avg Week Maya-Masaka'!E50</f>
        <v>14</v>
      </c>
      <c r="F50" s="49">
        <f>'Avg Week Masaka-Maya'!F50+'Avg Week Maya-Masaka'!F50</f>
        <v>49.142857142857139</v>
      </c>
      <c r="G50" s="49">
        <f>'Avg Week Masaka-Maya'!G50+'Avg Week Maya-Masaka'!G50</f>
        <v>4</v>
      </c>
      <c r="H50" s="49">
        <f>'Avg Week Masaka-Maya'!H50+'Avg Week Maya-Masaka'!H50</f>
        <v>3.4285714285714288</v>
      </c>
      <c r="I50" s="49">
        <f>'Avg Week Masaka-Maya'!I50+'Avg Week Maya-Masaka'!I50</f>
        <v>30.571428571428573</v>
      </c>
      <c r="J50" s="49">
        <f>'Avg Week Masaka-Maya'!J50+'Avg Week Maya-Masaka'!J50</f>
        <v>5.2857142857142856</v>
      </c>
      <c r="K50" s="49">
        <f>'Avg Week Masaka-Maya'!K50+'Avg Week Maya-Masaka'!K50</f>
        <v>3.8571428571428572</v>
      </c>
      <c r="L50" s="49">
        <f>'Avg Week Masaka-Maya'!L50+'Avg Week Maya-Masaka'!L50</f>
        <v>5.8571428571428577</v>
      </c>
      <c r="M50" s="49">
        <f>'Avg Week Masaka-Maya'!M50+'Avg Week Maya-Masaka'!M50</f>
        <v>48.714285714285715</v>
      </c>
      <c r="N50" s="49">
        <f>'Avg Week Masaka-Maya'!N50+'Avg Week Maya-Masaka'!N50</f>
        <v>0</v>
      </c>
      <c r="O50" s="15">
        <f t="shared" si="0"/>
        <v>205.71428571428572</v>
      </c>
      <c r="P50" s="15">
        <f t="shared" si="1"/>
        <v>254.42857142857144</v>
      </c>
      <c r="R50" s="8"/>
      <c r="T50"/>
    </row>
    <row r="51" spans="2:20" ht="23.1" customHeight="1" x14ac:dyDescent="0.25">
      <c r="B51" s="24" t="s">
        <v>78</v>
      </c>
      <c r="C51" s="49">
        <f>'Avg Week Masaka-Maya'!C51+'Avg Week Maya-Masaka'!C51</f>
        <v>80.142857142857139</v>
      </c>
      <c r="D51" s="49">
        <f>'Avg Week Masaka-Maya'!D51+'Avg Week Maya-Masaka'!D51</f>
        <v>16.428571428571427</v>
      </c>
      <c r="E51" s="49">
        <f>'Avg Week Masaka-Maya'!E51+'Avg Week Maya-Masaka'!E51</f>
        <v>9.5714285714285712</v>
      </c>
      <c r="F51" s="49">
        <f>'Avg Week Masaka-Maya'!F51+'Avg Week Maya-Masaka'!F51</f>
        <v>59.571428571428569</v>
      </c>
      <c r="G51" s="49">
        <f>'Avg Week Masaka-Maya'!G51+'Avg Week Maya-Masaka'!G51</f>
        <v>4</v>
      </c>
      <c r="H51" s="49">
        <f>'Avg Week Masaka-Maya'!H51+'Avg Week Maya-Masaka'!H51</f>
        <v>4.8571428571428577</v>
      </c>
      <c r="I51" s="49">
        <f>'Avg Week Masaka-Maya'!I51+'Avg Week Maya-Masaka'!I51</f>
        <v>31.714285714285715</v>
      </c>
      <c r="J51" s="49">
        <f>'Avg Week Masaka-Maya'!J51+'Avg Week Maya-Masaka'!J51</f>
        <v>6.7142857142857135</v>
      </c>
      <c r="K51" s="49">
        <f>'Avg Week Masaka-Maya'!K51+'Avg Week Maya-Masaka'!K51</f>
        <v>4</v>
      </c>
      <c r="L51" s="49">
        <f>'Avg Week Masaka-Maya'!L51+'Avg Week Maya-Masaka'!L51</f>
        <v>4.7142857142857144</v>
      </c>
      <c r="M51" s="49">
        <f>'Avg Week Masaka-Maya'!M51+'Avg Week Maya-Masaka'!M51</f>
        <v>58.714285714285722</v>
      </c>
      <c r="N51" s="49">
        <f>'Avg Week Masaka-Maya'!N51+'Avg Week Maya-Masaka'!N51</f>
        <v>0</v>
      </c>
      <c r="O51" s="15">
        <f t="shared" si="0"/>
        <v>221.71428571428575</v>
      </c>
      <c r="P51" s="15">
        <f t="shared" si="1"/>
        <v>280.42857142857144</v>
      </c>
      <c r="R51" s="8"/>
      <c r="T51"/>
    </row>
    <row r="52" spans="2:20" ht="23.1" customHeight="1" x14ac:dyDescent="0.25">
      <c r="B52" s="24" t="s">
        <v>79</v>
      </c>
      <c r="C52" s="49">
        <f>'Avg Week Masaka-Maya'!C52+'Avg Week Maya-Masaka'!C52</f>
        <v>71.428571428571431</v>
      </c>
      <c r="D52" s="49">
        <f>'Avg Week Masaka-Maya'!D52+'Avg Week Maya-Masaka'!D52</f>
        <v>14.428571428571429</v>
      </c>
      <c r="E52" s="49">
        <f>'Avg Week Masaka-Maya'!E52+'Avg Week Maya-Masaka'!E52</f>
        <v>13.428571428571429</v>
      </c>
      <c r="F52" s="49">
        <f>'Avg Week Masaka-Maya'!F52+'Avg Week Maya-Masaka'!F52</f>
        <v>65.571428571428569</v>
      </c>
      <c r="G52" s="49">
        <f>'Avg Week Masaka-Maya'!G52+'Avg Week Maya-Masaka'!G52</f>
        <v>5.5714285714285712</v>
      </c>
      <c r="H52" s="49">
        <f>'Avg Week Masaka-Maya'!H52+'Avg Week Maya-Masaka'!H52</f>
        <v>4.1428571428571432</v>
      </c>
      <c r="I52" s="49">
        <f>'Avg Week Masaka-Maya'!I52+'Avg Week Maya-Masaka'!I52</f>
        <v>31.285714285714285</v>
      </c>
      <c r="J52" s="49">
        <f>'Avg Week Masaka-Maya'!J52+'Avg Week Maya-Masaka'!J52</f>
        <v>7.2857142857142856</v>
      </c>
      <c r="K52" s="49">
        <f>'Avg Week Masaka-Maya'!K52+'Avg Week Maya-Masaka'!K52</f>
        <v>4.1428571428571423</v>
      </c>
      <c r="L52" s="49">
        <f>'Avg Week Masaka-Maya'!L52+'Avg Week Maya-Masaka'!L52</f>
        <v>4.4285714285714288</v>
      </c>
      <c r="M52" s="49">
        <f>'Avg Week Masaka-Maya'!M52+'Avg Week Maya-Masaka'!M52</f>
        <v>58.571428571428569</v>
      </c>
      <c r="N52" s="49">
        <f>'Avg Week Masaka-Maya'!N52+'Avg Week Maya-Masaka'!N52</f>
        <v>0</v>
      </c>
      <c r="O52" s="15">
        <f t="shared" si="0"/>
        <v>221.71428571428569</v>
      </c>
      <c r="P52" s="15">
        <f t="shared" si="1"/>
        <v>280.28571428571428</v>
      </c>
      <c r="R52" s="8"/>
      <c r="T52"/>
    </row>
    <row r="53" spans="2:20" ht="23.1" customHeight="1" x14ac:dyDescent="0.25">
      <c r="B53" s="23" t="s">
        <v>80</v>
      </c>
      <c r="C53" s="49">
        <f>'Avg Week Masaka-Maya'!C53+'Avg Week Maya-Masaka'!C53</f>
        <v>72.285714285714278</v>
      </c>
      <c r="D53" s="49">
        <f>'Avg Week Masaka-Maya'!D53+'Avg Week Maya-Masaka'!D53</f>
        <v>16.857142857142858</v>
      </c>
      <c r="E53" s="49">
        <f>'Avg Week Masaka-Maya'!E53+'Avg Week Maya-Masaka'!E53</f>
        <v>10.285714285714285</v>
      </c>
      <c r="F53" s="49">
        <f>'Avg Week Masaka-Maya'!F53+'Avg Week Maya-Masaka'!F53</f>
        <v>53.428571428571431</v>
      </c>
      <c r="G53" s="49">
        <f>'Avg Week Masaka-Maya'!G53+'Avg Week Maya-Masaka'!G53</f>
        <v>5.7142857142857144</v>
      </c>
      <c r="H53" s="49">
        <f>'Avg Week Masaka-Maya'!H53+'Avg Week Maya-Masaka'!H53</f>
        <v>3.8571428571428568</v>
      </c>
      <c r="I53" s="49">
        <f>'Avg Week Masaka-Maya'!I53+'Avg Week Maya-Masaka'!I53</f>
        <v>31.571428571428569</v>
      </c>
      <c r="J53" s="49">
        <f>'Avg Week Masaka-Maya'!J53+'Avg Week Maya-Masaka'!J53</f>
        <v>7</v>
      </c>
      <c r="K53" s="49">
        <f>'Avg Week Masaka-Maya'!K53+'Avg Week Maya-Masaka'!K53</f>
        <v>3</v>
      </c>
      <c r="L53" s="49">
        <f>'Avg Week Masaka-Maya'!L53+'Avg Week Maya-Masaka'!L53</f>
        <v>3.8571428571428577</v>
      </c>
      <c r="M53" s="49">
        <f>'Avg Week Masaka-Maya'!M53+'Avg Week Maya-Masaka'!M53</f>
        <v>58.142857142857146</v>
      </c>
      <c r="N53" s="49">
        <f>'Avg Week Masaka-Maya'!N53+'Avg Week Maya-Masaka'!N53</f>
        <v>0</v>
      </c>
      <c r="O53" s="15">
        <f t="shared" si="0"/>
        <v>207.85714285714286</v>
      </c>
      <c r="P53" s="15">
        <f t="shared" si="1"/>
        <v>266</v>
      </c>
      <c r="R53" s="8"/>
      <c r="T53"/>
    </row>
    <row r="54" spans="2:20" ht="23.1" customHeight="1" x14ac:dyDescent="0.25">
      <c r="B54" s="23" t="s">
        <v>81</v>
      </c>
      <c r="C54" s="49">
        <f>'Avg Week Masaka-Maya'!C54+'Avg Week Maya-Masaka'!C54</f>
        <v>94.857142857142861</v>
      </c>
      <c r="D54" s="49">
        <f>'Avg Week Masaka-Maya'!D54+'Avg Week Maya-Masaka'!D54</f>
        <v>20.571428571428569</v>
      </c>
      <c r="E54" s="49">
        <f>'Avg Week Masaka-Maya'!E54+'Avg Week Maya-Masaka'!E54</f>
        <v>12.285714285714285</v>
      </c>
      <c r="F54" s="49">
        <f>'Avg Week Masaka-Maya'!F54+'Avg Week Maya-Masaka'!F54</f>
        <v>62.285714285714285</v>
      </c>
      <c r="G54" s="49">
        <f>'Avg Week Masaka-Maya'!G54+'Avg Week Maya-Masaka'!G54</f>
        <v>7.1428571428571423</v>
      </c>
      <c r="H54" s="49">
        <f>'Avg Week Masaka-Maya'!H54+'Avg Week Maya-Masaka'!H54</f>
        <v>4.1428571428571423</v>
      </c>
      <c r="I54" s="49">
        <f>'Avg Week Masaka-Maya'!I54+'Avg Week Maya-Masaka'!I54</f>
        <v>39.714285714285715</v>
      </c>
      <c r="J54" s="49">
        <f>'Avg Week Masaka-Maya'!J54+'Avg Week Maya-Masaka'!J54</f>
        <v>12.428571428571429</v>
      </c>
      <c r="K54" s="49">
        <f>'Avg Week Masaka-Maya'!K54+'Avg Week Maya-Masaka'!K54</f>
        <v>4.8571428571428577</v>
      </c>
      <c r="L54" s="49">
        <f>'Avg Week Masaka-Maya'!L54+'Avg Week Maya-Masaka'!L54</f>
        <v>6.1428571428571423</v>
      </c>
      <c r="M54" s="49">
        <f>'Avg Week Masaka-Maya'!M54+'Avg Week Maya-Masaka'!M54</f>
        <v>61.142857142857139</v>
      </c>
      <c r="N54" s="49">
        <f>'Avg Week Masaka-Maya'!N54+'Avg Week Maya-Masaka'!N54</f>
        <v>0</v>
      </c>
      <c r="O54" s="15">
        <f t="shared" si="0"/>
        <v>264.42857142857144</v>
      </c>
      <c r="P54" s="15">
        <f t="shared" si="1"/>
        <v>325.57142857142856</v>
      </c>
      <c r="R54" s="8"/>
      <c r="T54"/>
    </row>
    <row r="55" spans="2:20" ht="23.1" customHeight="1" x14ac:dyDescent="0.25">
      <c r="B55" s="23" t="s">
        <v>82</v>
      </c>
      <c r="C55" s="49">
        <f>'Avg Week Masaka-Maya'!C55+'Avg Week Maya-Masaka'!C55</f>
        <v>81.857142857142861</v>
      </c>
      <c r="D55" s="49">
        <f>'Avg Week Masaka-Maya'!D55+'Avg Week Maya-Masaka'!D55</f>
        <v>18.857142857142854</v>
      </c>
      <c r="E55" s="49">
        <f>'Avg Week Masaka-Maya'!E55+'Avg Week Maya-Masaka'!E55</f>
        <v>11.714285714285715</v>
      </c>
      <c r="F55" s="49">
        <f>'Avg Week Masaka-Maya'!F55+'Avg Week Maya-Masaka'!F55</f>
        <v>65.428571428571431</v>
      </c>
      <c r="G55" s="49">
        <f>'Avg Week Masaka-Maya'!G55+'Avg Week Maya-Masaka'!G55</f>
        <v>6.8571428571428577</v>
      </c>
      <c r="H55" s="49">
        <f>'Avg Week Masaka-Maya'!H55+'Avg Week Maya-Masaka'!H55</f>
        <v>2</v>
      </c>
      <c r="I55" s="49">
        <f>'Avg Week Masaka-Maya'!I55+'Avg Week Maya-Masaka'!I55</f>
        <v>35.571428571428569</v>
      </c>
      <c r="J55" s="49">
        <f>'Avg Week Masaka-Maya'!J55+'Avg Week Maya-Masaka'!J55</f>
        <v>7.5714285714285712</v>
      </c>
      <c r="K55" s="49">
        <f>'Avg Week Masaka-Maya'!K55+'Avg Week Maya-Masaka'!K55</f>
        <v>4</v>
      </c>
      <c r="L55" s="49">
        <f>'Avg Week Masaka-Maya'!L55+'Avg Week Maya-Masaka'!L55</f>
        <v>4.4285714285714288</v>
      </c>
      <c r="M55" s="49">
        <f>'Avg Week Masaka-Maya'!M55+'Avg Week Maya-Masaka'!M55</f>
        <v>59.857142857142861</v>
      </c>
      <c r="N55" s="49">
        <f>'Avg Week Masaka-Maya'!N55+'Avg Week Maya-Masaka'!N55</f>
        <v>0</v>
      </c>
      <c r="O55" s="15">
        <f t="shared" si="0"/>
        <v>238.28571428571433</v>
      </c>
      <c r="P55" s="15">
        <f t="shared" si="1"/>
        <v>298.14285714285722</v>
      </c>
      <c r="R55" s="8"/>
      <c r="T55"/>
    </row>
    <row r="56" spans="2:20" ht="23.1" customHeight="1" x14ac:dyDescent="0.25">
      <c r="B56" s="23" t="s">
        <v>83</v>
      </c>
      <c r="C56" s="49">
        <f>'Avg Week Masaka-Maya'!C56+'Avg Week Maya-Masaka'!C56</f>
        <v>83.428571428571431</v>
      </c>
      <c r="D56" s="49">
        <f>'Avg Week Masaka-Maya'!D56+'Avg Week Maya-Masaka'!D56</f>
        <v>12.428571428571429</v>
      </c>
      <c r="E56" s="49">
        <f>'Avg Week Masaka-Maya'!E56+'Avg Week Maya-Masaka'!E56</f>
        <v>12</v>
      </c>
      <c r="F56" s="49">
        <f>'Avg Week Masaka-Maya'!F56+'Avg Week Maya-Masaka'!F56</f>
        <v>57</v>
      </c>
      <c r="G56" s="49">
        <f>'Avg Week Masaka-Maya'!G56+'Avg Week Maya-Masaka'!G56</f>
        <v>4.1428571428571423</v>
      </c>
      <c r="H56" s="49">
        <f>'Avg Week Masaka-Maya'!H56+'Avg Week Maya-Masaka'!H56</f>
        <v>2.8571428571428572</v>
      </c>
      <c r="I56" s="49">
        <f>'Avg Week Masaka-Maya'!I56+'Avg Week Maya-Masaka'!I56</f>
        <v>33.857142857142861</v>
      </c>
      <c r="J56" s="49">
        <f>'Avg Week Masaka-Maya'!J56+'Avg Week Maya-Masaka'!J56</f>
        <v>8.4285714285714288</v>
      </c>
      <c r="K56" s="49">
        <f>'Avg Week Masaka-Maya'!K56+'Avg Week Maya-Masaka'!K56</f>
        <v>4.8571428571428577</v>
      </c>
      <c r="L56" s="49">
        <f>'Avg Week Masaka-Maya'!L56+'Avg Week Maya-Masaka'!L56</f>
        <v>4.7142857142857144</v>
      </c>
      <c r="M56" s="49">
        <f>'Avg Week Masaka-Maya'!M56+'Avg Week Maya-Masaka'!M56</f>
        <v>58</v>
      </c>
      <c r="N56" s="49">
        <f>'Avg Week Masaka-Maya'!N56+'Avg Week Maya-Masaka'!N56</f>
        <v>0</v>
      </c>
      <c r="O56" s="15">
        <f t="shared" si="0"/>
        <v>223.71428571428572</v>
      </c>
      <c r="P56" s="15">
        <f t="shared" si="1"/>
        <v>281.71428571428572</v>
      </c>
      <c r="R56" s="8"/>
      <c r="T56"/>
    </row>
    <row r="57" spans="2:20" ht="23.1" customHeight="1" x14ac:dyDescent="0.25">
      <c r="B57" s="23" t="s">
        <v>84</v>
      </c>
      <c r="C57" s="49">
        <f>'Avg Week Masaka-Maya'!C57+'Avg Week Maya-Masaka'!C57</f>
        <v>78.285714285714292</v>
      </c>
      <c r="D57" s="49">
        <f>'Avg Week Masaka-Maya'!D57+'Avg Week Maya-Masaka'!D57</f>
        <v>15.428571428571431</v>
      </c>
      <c r="E57" s="49">
        <f>'Avg Week Masaka-Maya'!E57+'Avg Week Maya-Masaka'!E57</f>
        <v>11.285714285714285</v>
      </c>
      <c r="F57" s="49">
        <f>'Avg Week Masaka-Maya'!F57+'Avg Week Maya-Masaka'!F57</f>
        <v>55.285714285714292</v>
      </c>
      <c r="G57" s="49">
        <f>'Avg Week Masaka-Maya'!G57+'Avg Week Maya-Masaka'!G57</f>
        <v>5.2857142857142856</v>
      </c>
      <c r="H57" s="49">
        <f>'Avg Week Masaka-Maya'!H57+'Avg Week Maya-Masaka'!H57</f>
        <v>2.5714285714285712</v>
      </c>
      <c r="I57" s="49">
        <f>'Avg Week Masaka-Maya'!I57+'Avg Week Maya-Masaka'!I57</f>
        <v>31.428571428571431</v>
      </c>
      <c r="J57" s="49">
        <f>'Avg Week Masaka-Maya'!J57+'Avg Week Maya-Masaka'!J57</f>
        <v>8.2857142857142865</v>
      </c>
      <c r="K57" s="49">
        <f>'Avg Week Masaka-Maya'!K57+'Avg Week Maya-Masaka'!K57</f>
        <v>5.2857142857142856</v>
      </c>
      <c r="L57" s="49">
        <f>'Avg Week Masaka-Maya'!L57+'Avg Week Maya-Masaka'!L57</f>
        <v>4.7142857142857144</v>
      </c>
      <c r="M57" s="49">
        <f>'Avg Week Masaka-Maya'!M57+'Avg Week Maya-Masaka'!M57</f>
        <v>53.571428571428569</v>
      </c>
      <c r="N57" s="49">
        <f>'Avg Week Masaka-Maya'!N57+'Avg Week Maya-Masaka'!N57</f>
        <v>0</v>
      </c>
      <c r="O57" s="15">
        <f t="shared" si="0"/>
        <v>217.85714285714283</v>
      </c>
      <c r="P57" s="15">
        <f t="shared" si="1"/>
        <v>271.42857142857139</v>
      </c>
      <c r="R57" s="8"/>
      <c r="T57"/>
    </row>
    <row r="58" spans="2:20" ht="23.1" customHeight="1" x14ac:dyDescent="0.25">
      <c r="B58" s="23" t="s">
        <v>99</v>
      </c>
      <c r="C58" s="49">
        <v>20</v>
      </c>
      <c r="D58" s="49">
        <f>'Avg Week Masaka-Maya'!D58+'Avg Week Maya-Masaka'!D58</f>
        <v>12.5</v>
      </c>
      <c r="E58" s="49">
        <f>'Avg Week Masaka-Maya'!E58+'Avg Week Maya-Masaka'!E58</f>
        <v>10</v>
      </c>
      <c r="F58" s="49">
        <f>'Avg Week Masaka-Maya'!F58+'Avg Week Maya-Masaka'!F58</f>
        <v>34.5</v>
      </c>
      <c r="G58" s="49">
        <f>'Avg Week Masaka-Maya'!G58+'Avg Week Maya-Masaka'!G58</f>
        <v>2.5</v>
      </c>
      <c r="H58" s="49">
        <f>'Avg Week Masaka-Maya'!H58+'Avg Week Maya-Masaka'!H58</f>
        <v>3.5</v>
      </c>
      <c r="I58" s="49">
        <f>'Avg Week Masaka-Maya'!I58+'Avg Week Maya-Masaka'!I58</f>
        <v>14.5</v>
      </c>
      <c r="J58" s="49">
        <f>'Avg Week Masaka-Maya'!J58+'Avg Week Maya-Masaka'!J58</f>
        <v>4</v>
      </c>
      <c r="K58" s="49">
        <f>'Avg Week Masaka-Maya'!K58+'Avg Week Maya-Masaka'!K58</f>
        <v>4</v>
      </c>
      <c r="L58" s="49">
        <f>'Avg Week Masaka-Maya'!L58+'Avg Week Maya-Masaka'!L58</f>
        <v>1</v>
      </c>
      <c r="M58" s="49">
        <f>'Avg Week Masaka-Maya'!M58+'Avg Week Maya-Masaka'!M58</f>
        <v>28</v>
      </c>
      <c r="N58" s="49">
        <f>'Avg Week Masaka-Maya'!N58+'Avg Week Maya-Masaka'!N58</f>
        <v>0</v>
      </c>
      <c r="O58" s="15">
        <f t="shared" si="0"/>
        <v>106.5</v>
      </c>
      <c r="P58" s="15">
        <f t="shared" si="1"/>
        <v>134.5</v>
      </c>
      <c r="R58" s="8"/>
      <c r="T58"/>
    </row>
    <row r="59" spans="2:20" ht="23.1" customHeight="1" x14ac:dyDescent="0.25">
      <c r="B59" s="23" t="s">
        <v>100</v>
      </c>
      <c r="C59" s="49">
        <f>'Avg Week Masaka-Maya'!C59+'Avg Week Maya-Masaka'!C59</f>
        <v>56</v>
      </c>
      <c r="D59" s="49">
        <f>'Avg Week Masaka-Maya'!D59+'Avg Week Maya-Masaka'!D59</f>
        <v>11</v>
      </c>
      <c r="E59" s="49">
        <f>'Avg Week Masaka-Maya'!E59+'Avg Week Maya-Masaka'!E59</f>
        <v>6</v>
      </c>
      <c r="F59" s="49">
        <f>'Avg Week Masaka-Maya'!F59+'Avg Week Maya-Masaka'!F59</f>
        <v>56.5</v>
      </c>
      <c r="G59" s="49">
        <f>'Avg Week Masaka-Maya'!G59+'Avg Week Maya-Masaka'!G59</f>
        <v>7</v>
      </c>
      <c r="H59" s="49">
        <f>'Avg Week Masaka-Maya'!H59+'Avg Week Maya-Masaka'!H59</f>
        <v>4.5</v>
      </c>
      <c r="I59" s="49">
        <f>'Avg Week Masaka-Maya'!I59+'Avg Week Maya-Masaka'!I59</f>
        <v>31</v>
      </c>
      <c r="J59" s="49">
        <f>'Avg Week Masaka-Maya'!J59+'Avg Week Maya-Masaka'!J59</f>
        <v>11</v>
      </c>
      <c r="K59" s="49">
        <f>'Avg Week Masaka-Maya'!K59+'Avg Week Maya-Masaka'!K59</f>
        <v>7.5</v>
      </c>
      <c r="L59" s="49">
        <f>'Avg Week Masaka-Maya'!L59+'Avg Week Maya-Masaka'!L59</f>
        <v>10.5</v>
      </c>
      <c r="M59" s="49">
        <f>'Avg Week Masaka-Maya'!M59+'Avg Week Maya-Masaka'!M59</f>
        <v>39</v>
      </c>
      <c r="N59" s="49">
        <f>'Avg Week Masaka-Maya'!N59+'Avg Week Maya-Masaka'!N59</f>
        <v>0</v>
      </c>
      <c r="O59" s="15">
        <f t="shared" si="0"/>
        <v>201</v>
      </c>
      <c r="P59" s="15">
        <f t="shared" si="1"/>
        <v>240</v>
      </c>
      <c r="R59" s="8"/>
      <c r="T59"/>
    </row>
    <row r="60" spans="2:20" ht="23.1" customHeight="1" x14ac:dyDescent="0.25">
      <c r="B60" s="23" t="s">
        <v>101</v>
      </c>
      <c r="C60" s="49">
        <f>'Avg Week Masaka-Maya'!C60+'Avg Week Maya-Masaka'!C60</f>
        <v>41.5</v>
      </c>
      <c r="D60" s="49">
        <f>'Avg Week Masaka-Maya'!D60+'Avg Week Maya-Masaka'!D60</f>
        <v>13</v>
      </c>
      <c r="E60" s="49">
        <f>'Avg Week Masaka-Maya'!E60+'Avg Week Maya-Masaka'!E60</f>
        <v>14</v>
      </c>
      <c r="F60" s="49">
        <f>'Avg Week Masaka-Maya'!F60+'Avg Week Maya-Masaka'!F60</f>
        <v>64.5</v>
      </c>
      <c r="G60" s="49">
        <f>'Avg Week Masaka-Maya'!G60+'Avg Week Maya-Masaka'!G60</f>
        <v>6</v>
      </c>
      <c r="H60" s="49">
        <f>'Avg Week Masaka-Maya'!H60+'Avg Week Maya-Masaka'!H60</f>
        <v>8.5</v>
      </c>
      <c r="I60" s="49">
        <f>'Avg Week Masaka-Maya'!I60+'Avg Week Maya-Masaka'!I60</f>
        <v>23.5</v>
      </c>
      <c r="J60" s="49">
        <f>'Avg Week Masaka-Maya'!J60+'Avg Week Maya-Masaka'!J60</f>
        <v>7</v>
      </c>
      <c r="K60" s="49">
        <f>'Avg Week Masaka-Maya'!K60+'Avg Week Maya-Masaka'!K60</f>
        <v>9</v>
      </c>
      <c r="L60" s="49">
        <f>'Avg Week Masaka-Maya'!L60+'Avg Week Maya-Masaka'!L60</f>
        <v>3.5</v>
      </c>
      <c r="M60" s="49">
        <f>'Avg Week Masaka-Maya'!M60+'Avg Week Maya-Masaka'!M60</f>
        <v>32.5</v>
      </c>
      <c r="N60" s="49">
        <f>'Avg Week Masaka-Maya'!N60+'Avg Week Maya-Masaka'!N60</f>
        <v>0</v>
      </c>
      <c r="O60" s="15">
        <f t="shared" si="0"/>
        <v>190.5</v>
      </c>
      <c r="P60" s="15">
        <f t="shared" si="1"/>
        <v>223</v>
      </c>
      <c r="R60" s="8"/>
      <c r="T60"/>
    </row>
    <row r="61" spans="2:20" ht="23.1" customHeight="1" x14ac:dyDescent="0.25">
      <c r="B61" s="23" t="s">
        <v>102</v>
      </c>
      <c r="C61" s="49">
        <f>'Avg Week Masaka-Maya'!C61+'Avg Week Maya-Masaka'!C61</f>
        <v>38</v>
      </c>
      <c r="D61" s="49">
        <f>'Avg Week Masaka-Maya'!D61+'Avg Week Maya-Masaka'!D61</f>
        <v>17.5</v>
      </c>
      <c r="E61" s="49">
        <f>'Avg Week Masaka-Maya'!E61+'Avg Week Maya-Masaka'!E61</f>
        <v>12.5</v>
      </c>
      <c r="F61" s="49">
        <f>'Avg Week Masaka-Maya'!F61+'Avg Week Maya-Masaka'!F61</f>
        <v>66.5</v>
      </c>
      <c r="G61" s="49">
        <f>'Avg Week Masaka-Maya'!G61+'Avg Week Maya-Masaka'!G61</f>
        <v>9.5</v>
      </c>
      <c r="H61" s="49">
        <f>'Avg Week Masaka-Maya'!H61+'Avg Week Maya-Masaka'!H61</f>
        <v>5</v>
      </c>
      <c r="I61" s="49">
        <f>'Avg Week Masaka-Maya'!I61+'Avg Week Maya-Masaka'!I61</f>
        <v>41.5</v>
      </c>
      <c r="J61" s="49">
        <f>'Avg Week Masaka-Maya'!J61+'Avg Week Maya-Masaka'!J61</f>
        <v>10.5</v>
      </c>
      <c r="K61" s="49">
        <f>'Avg Week Masaka-Maya'!K61+'Avg Week Maya-Masaka'!K61</f>
        <v>13</v>
      </c>
      <c r="L61" s="49">
        <f>'Avg Week Masaka-Maya'!L61+'Avg Week Maya-Masaka'!L61</f>
        <v>16.5</v>
      </c>
      <c r="M61" s="49">
        <f>'Avg Week Masaka-Maya'!M61+'Avg Week Maya-Masaka'!M61</f>
        <v>43</v>
      </c>
      <c r="N61" s="49">
        <f>'Avg Week Masaka-Maya'!N61+'Avg Week Maya-Masaka'!N61</f>
        <v>0</v>
      </c>
      <c r="O61" s="15">
        <f t="shared" si="0"/>
        <v>230.5</v>
      </c>
      <c r="P61" s="15">
        <f t="shared" si="1"/>
        <v>273.5</v>
      </c>
      <c r="R61" s="8"/>
      <c r="T61"/>
    </row>
    <row r="62" spans="2:20" ht="23.1" customHeight="1" x14ac:dyDescent="0.25">
      <c r="B62" s="23" t="s">
        <v>107</v>
      </c>
      <c r="C62" s="49">
        <f>'Avg Week Masaka-Maya'!C62+'Avg Week Maya-Masaka'!C62</f>
        <v>35</v>
      </c>
      <c r="D62" s="49">
        <f>'Avg Week Masaka-Maya'!D62+'Avg Week Maya-Masaka'!D62</f>
        <v>15</v>
      </c>
      <c r="E62" s="49">
        <f>'Avg Week Masaka-Maya'!E62+'Avg Week Maya-Masaka'!E62</f>
        <v>6</v>
      </c>
      <c r="F62" s="49">
        <f>'Avg Week Masaka-Maya'!F62+'Avg Week Maya-Masaka'!F62</f>
        <v>46</v>
      </c>
      <c r="G62" s="49">
        <f>'Avg Week Masaka-Maya'!G62+'Avg Week Maya-Masaka'!G62</f>
        <v>3</v>
      </c>
      <c r="H62" s="49">
        <f>'Avg Week Masaka-Maya'!H62+'Avg Week Maya-Masaka'!H62</f>
        <v>3</v>
      </c>
      <c r="I62" s="49">
        <f>'Avg Week Masaka-Maya'!I62+'Avg Week Maya-Masaka'!I62</f>
        <v>26</v>
      </c>
      <c r="J62" s="49">
        <f>'Avg Week Masaka-Maya'!J62+'Avg Week Maya-Masaka'!J62</f>
        <v>9.5</v>
      </c>
      <c r="K62" s="49">
        <f>'Avg Week Masaka-Maya'!K62+'Avg Week Maya-Masaka'!K62</f>
        <v>8.5</v>
      </c>
      <c r="L62" s="49">
        <f>'Avg Week Masaka-Maya'!L62+'Avg Week Maya-Masaka'!L62</f>
        <v>3.5</v>
      </c>
      <c r="M62" s="49">
        <f>'Avg Week Masaka-Maya'!M62+'Avg Week Maya-Masaka'!M62</f>
        <v>32</v>
      </c>
      <c r="N62" s="49">
        <f>'Avg Week Masaka-Maya'!N62+'Avg Week Maya-Masaka'!N62</f>
        <v>0</v>
      </c>
      <c r="O62" s="15">
        <f t="shared" si="0"/>
        <v>155.5</v>
      </c>
      <c r="P62" s="15">
        <f t="shared" si="1"/>
        <v>187.5</v>
      </c>
      <c r="R62" s="8"/>
      <c r="T62"/>
    </row>
    <row r="63" spans="2:20" ht="23.1" customHeight="1" x14ac:dyDescent="0.25">
      <c r="B63" s="23" t="s">
        <v>108</v>
      </c>
      <c r="C63" s="49">
        <f>'Avg Week Masaka-Maya'!C63+'Avg Week Maya-Masaka'!C63</f>
        <v>39</v>
      </c>
      <c r="D63" s="49">
        <f>'Avg Week Masaka-Maya'!D63+'Avg Week Maya-Masaka'!D63</f>
        <v>18</v>
      </c>
      <c r="E63" s="49">
        <f>'Avg Week Masaka-Maya'!E63+'Avg Week Maya-Masaka'!E63</f>
        <v>9</v>
      </c>
      <c r="F63" s="49">
        <f>'Avg Week Masaka-Maya'!F63+'Avg Week Maya-Masaka'!F63</f>
        <v>43.5</v>
      </c>
      <c r="G63" s="49">
        <f>'Avg Week Masaka-Maya'!G63+'Avg Week Maya-Masaka'!G63</f>
        <v>4</v>
      </c>
      <c r="H63" s="49">
        <f>'Avg Week Masaka-Maya'!H63+'Avg Week Maya-Masaka'!H63</f>
        <v>6</v>
      </c>
      <c r="I63" s="49">
        <f>'Avg Week Masaka-Maya'!I63+'Avg Week Maya-Masaka'!I63</f>
        <v>28</v>
      </c>
      <c r="J63" s="49">
        <f>'Avg Week Masaka-Maya'!J63+'Avg Week Maya-Masaka'!J63</f>
        <v>7.5</v>
      </c>
      <c r="K63" s="49">
        <f>'Avg Week Masaka-Maya'!K63+'Avg Week Maya-Masaka'!K63</f>
        <v>9</v>
      </c>
      <c r="L63" s="49">
        <f>'Avg Week Masaka-Maya'!L63+'Avg Week Maya-Masaka'!L63</f>
        <v>3</v>
      </c>
      <c r="M63" s="49">
        <f>'Avg Week Masaka-Maya'!M63+'Avg Week Maya-Masaka'!M63</f>
        <v>38</v>
      </c>
      <c r="N63" s="49">
        <f>'Avg Week Masaka-Maya'!N63+'Avg Week Maya-Masaka'!N63</f>
        <v>0</v>
      </c>
      <c r="O63" s="15">
        <f t="shared" si="0"/>
        <v>167</v>
      </c>
      <c r="P63" s="15">
        <f t="shared" si="1"/>
        <v>205</v>
      </c>
      <c r="R63" s="8"/>
      <c r="T63"/>
    </row>
    <row r="64" spans="2:20" ht="23.1" customHeight="1" x14ac:dyDescent="0.25">
      <c r="B64" s="23" t="s">
        <v>109</v>
      </c>
      <c r="C64" s="49">
        <f>'Avg Week Masaka-Maya'!C64+'Avg Week Maya-Masaka'!C64</f>
        <v>46</v>
      </c>
      <c r="D64" s="49">
        <f>'Avg Week Masaka-Maya'!D64+'Avg Week Maya-Masaka'!D64</f>
        <v>11</v>
      </c>
      <c r="E64" s="49">
        <f>'Avg Week Masaka-Maya'!E64+'Avg Week Maya-Masaka'!E64</f>
        <v>12</v>
      </c>
      <c r="F64" s="49">
        <f>'Avg Week Masaka-Maya'!F64+'Avg Week Maya-Masaka'!F64</f>
        <v>44.5</v>
      </c>
      <c r="G64" s="49">
        <f>'Avg Week Masaka-Maya'!G64+'Avg Week Maya-Masaka'!G64</f>
        <v>3</v>
      </c>
      <c r="H64" s="49">
        <f>'Avg Week Masaka-Maya'!H64+'Avg Week Maya-Masaka'!H64</f>
        <v>2.5</v>
      </c>
      <c r="I64" s="49">
        <f>'Avg Week Masaka-Maya'!I64+'Avg Week Maya-Masaka'!I64</f>
        <v>24.5</v>
      </c>
      <c r="J64" s="49">
        <f>'Avg Week Masaka-Maya'!J64+'Avg Week Maya-Masaka'!J64</f>
        <v>4.5</v>
      </c>
      <c r="K64" s="49">
        <f>'Avg Week Masaka-Maya'!K64+'Avg Week Maya-Masaka'!K64</f>
        <v>9</v>
      </c>
      <c r="L64" s="49">
        <f>'Avg Week Masaka-Maya'!L64+'Avg Week Maya-Masaka'!L64</f>
        <v>3.5</v>
      </c>
      <c r="M64" s="49">
        <f>'Avg Week Masaka-Maya'!M64+'Avg Week Maya-Masaka'!M64</f>
        <v>43</v>
      </c>
      <c r="N64" s="49">
        <f>'Avg Week Masaka-Maya'!N64+'Avg Week Maya-Masaka'!N64</f>
        <v>0</v>
      </c>
      <c r="O64" s="15">
        <f t="shared" si="0"/>
        <v>160.5</v>
      </c>
      <c r="P64" s="15">
        <f t="shared" si="1"/>
        <v>203.5</v>
      </c>
      <c r="R64" s="8"/>
      <c r="T64"/>
    </row>
    <row r="65" spans="2:20" ht="23.1" customHeight="1" x14ac:dyDescent="0.25">
      <c r="B65" s="23" t="s">
        <v>158</v>
      </c>
      <c r="C65" s="49">
        <f>'Avg Week Masaka-Maya'!C65+'Avg Week Maya-Masaka'!C65</f>
        <v>46</v>
      </c>
      <c r="D65" s="49">
        <f>'Avg Week Masaka-Maya'!D65+'Avg Week Maya-Masaka'!D65</f>
        <v>16</v>
      </c>
      <c r="E65" s="49">
        <f>'Avg Week Masaka-Maya'!E65+'Avg Week Maya-Masaka'!E65</f>
        <v>9</v>
      </c>
      <c r="F65" s="49">
        <f>'Avg Week Masaka-Maya'!F65+'Avg Week Maya-Masaka'!F65</f>
        <v>37.5</v>
      </c>
      <c r="G65" s="49">
        <f>'Avg Week Masaka-Maya'!G65+'Avg Week Maya-Masaka'!G65</f>
        <v>5</v>
      </c>
      <c r="H65" s="49">
        <f>'Avg Week Masaka-Maya'!H65+'Avg Week Maya-Masaka'!H65</f>
        <v>3</v>
      </c>
      <c r="I65" s="49">
        <f>'Avg Week Masaka-Maya'!I65+'Avg Week Maya-Masaka'!I65</f>
        <v>37</v>
      </c>
      <c r="J65" s="49">
        <f>'Avg Week Masaka-Maya'!J65+'Avg Week Maya-Masaka'!J65</f>
        <v>8.5</v>
      </c>
      <c r="K65" s="49">
        <f>'Avg Week Masaka-Maya'!K65+'Avg Week Maya-Masaka'!K65</f>
        <v>6</v>
      </c>
      <c r="L65" s="49">
        <f>'Avg Week Masaka-Maya'!L65+'Avg Week Maya-Masaka'!L65</f>
        <v>4</v>
      </c>
      <c r="M65" s="49">
        <f>'Avg Week Masaka-Maya'!M65+'Avg Week Maya-Masaka'!M65</f>
        <v>37</v>
      </c>
      <c r="N65" s="49">
        <f>'Avg Week Masaka-Maya'!N65+'Avg Week Maya-Masaka'!N65</f>
        <v>0</v>
      </c>
      <c r="O65" s="15">
        <f t="shared" si="0"/>
        <v>172</v>
      </c>
      <c r="P65" s="15">
        <f t="shared" si="1"/>
        <v>209</v>
      </c>
      <c r="R65" s="8"/>
      <c r="T65"/>
    </row>
    <row r="66" spans="2:20" ht="23.1" customHeight="1" x14ac:dyDescent="0.25">
      <c r="B66" s="23" t="s">
        <v>103</v>
      </c>
      <c r="C66" s="49">
        <f>'Avg Week Masaka-Maya'!C66+'Avg Week Maya-Masaka'!C66</f>
        <v>54.5</v>
      </c>
      <c r="D66" s="49">
        <f>'Avg Week Masaka-Maya'!D66+'Avg Week Maya-Masaka'!D66</f>
        <v>10.5</v>
      </c>
      <c r="E66" s="49">
        <f>'Avg Week Masaka-Maya'!E66+'Avg Week Maya-Masaka'!E66</f>
        <v>5.5</v>
      </c>
      <c r="F66" s="49">
        <f>'Avg Week Masaka-Maya'!F66+'Avg Week Maya-Masaka'!F66</f>
        <v>39</v>
      </c>
      <c r="G66" s="49">
        <f>'Avg Week Masaka-Maya'!G66+'Avg Week Maya-Masaka'!G66</f>
        <v>2.5</v>
      </c>
      <c r="H66" s="49">
        <f>'Avg Week Masaka-Maya'!H66+'Avg Week Maya-Masaka'!H66</f>
        <v>2.5</v>
      </c>
      <c r="I66" s="49">
        <f>'Avg Week Masaka-Maya'!I66+'Avg Week Maya-Masaka'!I66</f>
        <v>25.5</v>
      </c>
      <c r="J66" s="49">
        <f>'Avg Week Masaka-Maya'!J66+'Avg Week Maya-Masaka'!J66</f>
        <v>9</v>
      </c>
      <c r="K66" s="49">
        <f>'Avg Week Masaka-Maya'!K66+'Avg Week Maya-Masaka'!K66</f>
        <v>4.5</v>
      </c>
      <c r="L66" s="49">
        <f>'Avg Week Masaka-Maya'!L66+'Avg Week Maya-Masaka'!L66</f>
        <v>4</v>
      </c>
      <c r="M66" s="49">
        <f>'Avg Week Masaka-Maya'!M66+'Avg Week Maya-Masaka'!M66</f>
        <v>25.5</v>
      </c>
      <c r="N66" s="49">
        <f>'Avg Week Masaka-Maya'!N66+'Avg Week Maya-Masaka'!N66</f>
        <v>0</v>
      </c>
      <c r="O66" s="15">
        <f t="shared" si="0"/>
        <v>157.5</v>
      </c>
      <c r="P66" s="15">
        <f t="shared" si="1"/>
        <v>183</v>
      </c>
      <c r="R66" s="8"/>
      <c r="T66"/>
    </row>
    <row r="67" spans="2:20" ht="23.1" customHeight="1" x14ac:dyDescent="0.25">
      <c r="B67" s="23" t="s">
        <v>104</v>
      </c>
      <c r="C67" s="49">
        <f>'Avg Week Masaka-Maya'!C67+'Avg Week Maya-Masaka'!C67</f>
        <v>50</v>
      </c>
      <c r="D67" s="49">
        <f>'Avg Week Masaka-Maya'!D67+'Avg Week Maya-Masaka'!D67</f>
        <v>13.5</v>
      </c>
      <c r="E67" s="49">
        <f>'Avg Week Masaka-Maya'!E67+'Avg Week Maya-Masaka'!E67</f>
        <v>7</v>
      </c>
      <c r="F67" s="49">
        <f>'Avg Week Masaka-Maya'!F67+'Avg Week Maya-Masaka'!F67</f>
        <v>45</v>
      </c>
      <c r="G67" s="49">
        <f>'Avg Week Masaka-Maya'!G67+'Avg Week Maya-Masaka'!G67</f>
        <v>5</v>
      </c>
      <c r="H67" s="49">
        <f>'Avg Week Masaka-Maya'!H67+'Avg Week Maya-Masaka'!H67</f>
        <v>3.5</v>
      </c>
      <c r="I67" s="49">
        <f>'Avg Week Masaka-Maya'!I67+'Avg Week Maya-Masaka'!I67</f>
        <v>26.5</v>
      </c>
      <c r="J67" s="49">
        <f>'Avg Week Masaka-Maya'!J67+'Avg Week Maya-Masaka'!J67</f>
        <v>7.5</v>
      </c>
      <c r="K67" s="49">
        <f>'Avg Week Masaka-Maya'!K67+'Avg Week Maya-Masaka'!K67</f>
        <v>7.5</v>
      </c>
      <c r="L67" s="49">
        <f>'Avg Week Masaka-Maya'!L67+'Avg Week Maya-Masaka'!L67</f>
        <v>6</v>
      </c>
      <c r="M67" s="49">
        <f>'Avg Week Masaka-Maya'!M67+'Avg Week Maya-Masaka'!M67</f>
        <v>26</v>
      </c>
      <c r="N67" s="49">
        <f>'Avg Week Masaka-Maya'!N67+'Avg Week Maya-Masaka'!N67</f>
        <v>0</v>
      </c>
      <c r="O67" s="15">
        <f t="shared" si="0"/>
        <v>171.5</v>
      </c>
      <c r="P67" s="15">
        <f t="shared" si="1"/>
        <v>197.5</v>
      </c>
      <c r="R67" s="8"/>
      <c r="T67"/>
    </row>
    <row r="68" spans="2:20" ht="23.1" customHeight="1" x14ac:dyDescent="0.25">
      <c r="B68" s="23" t="s">
        <v>105</v>
      </c>
      <c r="C68" s="49">
        <f>'Avg Week Masaka-Maya'!C68+'Avg Week Maya-Masaka'!C68</f>
        <v>48</v>
      </c>
      <c r="D68" s="49">
        <f>'Avg Week Masaka-Maya'!D68+'Avg Week Maya-Masaka'!D68</f>
        <v>15</v>
      </c>
      <c r="E68" s="49">
        <f>'Avg Week Masaka-Maya'!E68+'Avg Week Maya-Masaka'!E68</f>
        <v>12.5</v>
      </c>
      <c r="F68" s="49">
        <f>'Avg Week Masaka-Maya'!F68+'Avg Week Maya-Masaka'!F68</f>
        <v>38</v>
      </c>
      <c r="G68" s="49">
        <f>'Avg Week Masaka-Maya'!G68+'Avg Week Maya-Masaka'!G68</f>
        <v>4</v>
      </c>
      <c r="H68" s="49">
        <f>'Avg Week Masaka-Maya'!H68+'Avg Week Maya-Masaka'!H68</f>
        <v>4.5</v>
      </c>
      <c r="I68" s="49">
        <f>'Avg Week Masaka-Maya'!I68+'Avg Week Maya-Masaka'!I68</f>
        <v>26</v>
      </c>
      <c r="J68" s="49">
        <f>'Avg Week Masaka-Maya'!J68+'Avg Week Maya-Masaka'!J68</f>
        <v>8</v>
      </c>
      <c r="K68" s="49">
        <f>'Avg Week Masaka-Maya'!K68+'Avg Week Maya-Masaka'!K68</f>
        <v>13</v>
      </c>
      <c r="L68" s="49">
        <f>'Avg Week Masaka-Maya'!L68+'Avg Week Maya-Masaka'!L68</f>
        <v>4.5</v>
      </c>
      <c r="M68" s="49">
        <f>'Avg Week Masaka-Maya'!M68+'Avg Week Maya-Masaka'!M68</f>
        <v>26</v>
      </c>
      <c r="N68" s="49">
        <f>'Avg Week Masaka-Maya'!N68+'Avg Week Maya-Masaka'!N68</f>
        <v>0</v>
      </c>
      <c r="O68" s="15">
        <f t="shared" si="0"/>
        <v>173.5</v>
      </c>
      <c r="P68" s="15">
        <f t="shared" si="1"/>
        <v>199.5</v>
      </c>
      <c r="R68" s="8"/>
      <c r="T68"/>
    </row>
    <row r="69" spans="2:20" ht="23.1" customHeight="1" x14ac:dyDescent="0.25">
      <c r="B69" s="23" t="s">
        <v>106</v>
      </c>
      <c r="C69" s="49">
        <f>'Avg Week Masaka-Maya'!C69+'Avg Week Maya-Masaka'!C69</f>
        <v>45</v>
      </c>
      <c r="D69" s="49">
        <f>'Avg Week Masaka-Maya'!D69+'Avg Week Maya-Masaka'!D69</f>
        <v>12.5</v>
      </c>
      <c r="E69" s="49">
        <f>'Avg Week Masaka-Maya'!E69+'Avg Week Maya-Masaka'!E69</f>
        <v>7.5</v>
      </c>
      <c r="F69" s="49">
        <f>'Avg Week Masaka-Maya'!F69+'Avg Week Maya-Masaka'!F69</f>
        <v>37.5</v>
      </c>
      <c r="G69" s="49">
        <f>'Avg Week Masaka-Maya'!G69+'Avg Week Maya-Masaka'!G69</f>
        <v>3.5</v>
      </c>
      <c r="H69" s="49">
        <f>'Avg Week Masaka-Maya'!H69+'Avg Week Maya-Masaka'!H69</f>
        <v>4</v>
      </c>
      <c r="I69" s="49">
        <f>'Avg Week Masaka-Maya'!I69+'Avg Week Maya-Masaka'!I69</f>
        <v>36</v>
      </c>
      <c r="J69" s="49">
        <f>'Avg Week Masaka-Maya'!J69+'Avg Week Maya-Masaka'!J69</f>
        <v>11.5</v>
      </c>
      <c r="K69" s="49">
        <f>'Avg Week Masaka-Maya'!K69+'Avg Week Maya-Masaka'!K69</f>
        <v>12</v>
      </c>
      <c r="L69" s="49">
        <f>'Avg Week Masaka-Maya'!L69+'Avg Week Maya-Masaka'!L69</f>
        <v>2.5</v>
      </c>
      <c r="M69" s="49">
        <f>'Avg Week Masaka-Maya'!M69+'Avg Week Maya-Masaka'!M69</f>
        <v>25</v>
      </c>
      <c r="N69" s="49">
        <f>'Avg Week Masaka-Maya'!N69+'Avg Week Maya-Masaka'!N69</f>
        <v>0</v>
      </c>
      <c r="O69" s="15">
        <f t="shared" si="0"/>
        <v>172</v>
      </c>
      <c r="P69" s="15">
        <f t="shared" si="1"/>
        <v>197</v>
      </c>
      <c r="R69" s="8"/>
      <c r="T69"/>
    </row>
    <row r="70" spans="2:20" ht="23.1" customHeight="1" x14ac:dyDescent="0.25">
      <c r="B70" s="23" t="s">
        <v>110</v>
      </c>
      <c r="C70" s="49">
        <f>'Avg Week Masaka-Maya'!C70+'Avg Week Maya-Masaka'!C70</f>
        <v>33</v>
      </c>
      <c r="D70" s="49">
        <f>'Avg Week Masaka-Maya'!D70+'Avg Week Maya-Masaka'!D70</f>
        <v>7.5</v>
      </c>
      <c r="E70" s="49">
        <f>'Avg Week Masaka-Maya'!E70+'Avg Week Maya-Masaka'!E70</f>
        <v>7</v>
      </c>
      <c r="F70" s="49">
        <f>'Avg Week Masaka-Maya'!F70+'Avg Week Maya-Masaka'!F70</f>
        <v>30</v>
      </c>
      <c r="G70" s="49">
        <f>'Avg Week Masaka-Maya'!G70+'Avg Week Maya-Masaka'!G70</f>
        <v>2</v>
      </c>
      <c r="H70" s="49">
        <f>'Avg Week Masaka-Maya'!H70+'Avg Week Maya-Masaka'!H70</f>
        <v>3.5</v>
      </c>
      <c r="I70" s="49">
        <f>'Avg Week Masaka-Maya'!I70+'Avg Week Maya-Masaka'!I70</f>
        <v>19.5</v>
      </c>
      <c r="J70" s="49">
        <f>'Avg Week Masaka-Maya'!J70+'Avg Week Maya-Masaka'!J70</f>
        <v>9.5</v>
      </c>
      <c r="K70" s="49">
        <f>'Avg Week Masaka-Maya'!K70+'Avg Week Maya-Masaka'!K70</f>
        <v>10</v>
      </c>
      <c r="L70" s="49">
        <f>'Avg Week Masaka-Maya'!L70+'Avg Week Maya-Masaka'!L70</f>
        <v>9</v>
      </c>
      <c r="M70" s="49">
        <f>'Avg Week Masaka-Maya'!M70+'Avg Week Maya-Masaka'!M70</f>
        <v>17.5</v>
      </c>
      <c r="N70" s="49">
        <f>'Avg Week Masaka-Maya'!N70+'Avg Week Maya-Masaka'!N70</f>
        <v>0</v>
      </c>
      <c r="O70" s="15">
        <f t="shared" si="0"/>
        <v>131</v>
      </c>
      <c r="P70" s="15">
        <f t="shared" si="1"/>
        <v>148.5</v>
      </c>
      <c r="R70" s="8"/>
      <c r="T70"/>
    </row>
    <row r="71" spans="2:20" ht="23.1" customHeight="1" x14ac:dyDescent="0.25">
      <c r="B71" s="23" t="s">
        <v>111</v>
      </c>
      <c r="C71" s="49">
        <f>'Avg Week Masaka-Maya'!C71+'Avg Week Maya-Masaka'!C71</f>
        <v>27.5</v>
      </c>
      <c r="D71" s="49">
        <f>'Avg Week Masaka-Maya'!D71+'Avg Week Maya-Masaka'!D71</f>
        <v>8</v>
      </c>
      <c r="E71" s="49">
        <f>'Avg Week Masaka-Maya'!E71+'Avg Week Maya-Masaka'!E71</f>
        <v>7</v>
      </c>
      <c r="F71" s="49">
        <f>'Avg Week Masaka-Maya'!F71+'Avg Week Maya-Masaka'!F71</f>
        <v>35.5</v>
      </c>
      <c r="G71" s="49">
        <f>'Avg Week Masaka-Maya'!G71+'Avg Week Maya-Masaka'!G71</f>
        <v>3.5</v>
      </c>
      <c r="H71" s="49">
        <f>'Avg Week Masaka-Maya'!H71+'Avg Week Maya-Masaka'!H71</f>
        <v>3.5</v>
      </c>
      <c r="I71" s="49">
        <f>'Avg Week Masaka-Maya'!I71+'Avg Week Maya-Masaka'!I71</f>
        <v>24.5</v>
      </c>
      <c r="J71" s="49">
        <f>'Avg Week Masaka-Maya'!J71+'Avg Week Maya-Masaka'!J71</f>
        <v>17</v>
      </c>
      <c r="K71" s="49">
        <f>'Avg Week Masaka-Maya'!K71+'Avg Week Maya-Masaka'!K71</f>
        <v>13.5</v>
      </c>
      <c r="L71" s="49">
        <f>'Avg Week Masaka-Maya'!L71+'Avg Week Maya-Masaka'!L71</f>
        <v>5.5</v>
      </c>
      <c r="M71" s="49">
        <f>'Avg Week Masaka-Maya'!M71+'Avg Week Maya-Masaka'!M71</f>
        <v>20</v>
      </c>
      <c r="N71" s="49">
        <f>'Avg Week Masaka-Maya'!N71+'Avg Week Maya-Masaka'!N71</f>
        <v>0</v>
      </c>
      <c r="O71" s="15">
        <f t="shared" si="0"/>
        <v>145.5</v>
      </c>
      <c r="P71" s="15">
        <f t="shared" si="1"/>
        <v>165.5</v>
      </c>
      <c r="R71" s="8"/>
      <c r="T71"/>
    </row>
    <row r="72" spans="2:20" ht="23.1" customHeight="1" x14ac:dyDescent="0.25">
      <c r="B72" s="23" t="s">
        <v>112</v>
      </c>
      <c r="C72" s="49">
        <f>'Avg Week Masaka-Maya'!C72+'Avg Week Maya-Masaka'!C72</f>
        <v>35</v>
      </c>
      <c r="D72" s="49">
        <f>'Avg Week Masaka-Maya'!D72+'Avg Week Maya-Masaka'!D72</f>
        <v>11.5</v>
      </c>
      <c r="E72" s="49">
        <f>'Avg Week Masaka-Maya'!E72+'Avg Week Maya-Masaka'!E72</f>
        <v>6</v>
      </c>
      <c r="F72" s="49">
        <f>'Avg Week Masaka-Maya'!F72+'Avg Week Maya-Masaka'!F72</f>
        <v>29</v>
      </c>
      <c r="G72" s="49">
        <f>'Avg Week Masaka-Maya'!G72+'Avg Week Maya-Masaka'!G72</f>
        <v>5</v>
      </c>
      <c r="H72" s="49">
        <f>'Avg Week Masaka-Maya'!H72+'Avg Week Maya-Masaka'!H72</f>
        <v>5.5</v>
      </c>
      <c r="I72" s="49">
        <f>'Avg Week Masaka-Maya'!I72+'Avg Week Maya-Masaka'!I72</f>
        <v>20</v>
      </c>
      <c r="J72" s="49">
        <f>'Avg Week Masaka-Maya'!J72+'Avg Week Maya-Masaka'!J72</f>
        <v>8.5</v>
      </c>
      <c r="K72" s="49">
        <f>'Avg Week Masaka-Maya'!K72+'Avg Week Maya-Masaka'!K72</f>
        <v>8</v>
      </c>
      <c r="L72" s="49">
        <f>'Avg Week Masaka-Maya'!L72+'Avg Week Maya-Masaka'!L72</f>
        <v>6.5</v>
      </c>
      <c r="M72" s="49">
        <f>'Avg Week Masaka-Maya'!M72+'Avg Week Maya-Masaka'!M72</f>
        <v>22</v>
      </c>
      <c r="N72" s="49">
        <f>'Avg Week Masaka-Maya'!N72+'Avg Week Maya-Masaka'!N72</f>
        <v>0</v>
      </c>
      <c r="O72" s="15">
        <f t="shared" si="0"/>
        <v>135</v>
      </c>
      <c r="P72" s="15">
        <f t="shared" si="1"/>
        <v>157</v>
      </c>
      <c r="R72" s="8"/>
      <c r="T72"/>
    </row>
    <row r="73" spans="2:20" ht="23.1" customHeight="1" x14ac:dyDescent="0.25">
      <c r="B73" s="23" t="s">
        <v>113</v>
      </c>
      <c r="C73" s="49">
        <f>'Avg Week Masaka-Maya'!C73+'Avg Week Maya-Masaka'!C73</f>
        <v>24.5</v>
      </c>
      <c r="D73" s="49">
        <f>'Avg Week Masaka-Maya'!D73+'Avg Week Maya-Masaka'!D73</f>
        <v>11</v>
      </c>
      <c r="E73" s="49">
        <f>'Avg Week Masaka-Maya'!E73+'Avg Week Maya-Masaka'!E73</f>
        <v>4.5</v>
      </c>
      <c r="F73" s="49">
        <f>'Avg Week Masaka-Maya'!F73+'Avg Week Maya-Masaka'!F73</f>
        <v>19</v>
      </c>
      <c r="G73" s="49">
        <f>'Avg Week Masaka-Maya'!G73+'Avg Week Maya-Masaka'!G73</f>
        <v>0.5</v>
      </c>
      <c r="H73" s="49">
        <f>'Avg Week Masaka-Maya'!H73+'Avg Week Maya-Masaka'!H73</f>
        <v>3.5</v>
      </c>
      <c r="I73" s="49">
        <f>'Avg Week Masaka-Maya'!I73+'Avg Week Maya-Masaka'!I73</f>
        <v>18.5</v>
      </c>
      <c r="J73" s="49">
        <f>'Avg Week Masaka-Maya'!J73+'Avg Week Maya-Masaka'!J73</f>
        <v>8.5</v>
      </c>
      <c r="K73" s="49">
        <f>'Avg Week Masaka-Maya'!K73+'Avg Week Maya-Masaka'!K73</f>
        <v>6.5</v>
      </c>
      <c r="L73" s="49">
        <f>'Avg Week Masaka-Maya'!L73+'Avg Week Maya-Masaka'!L73</f>
        <v>4.5</v>
      </c>
      <c r="M73" s="49">
        <f>'Avg Week Masaka-Maya'!M73+'Avg Week Maya-Masaka'!M73</f>
        <v>18</v>
      </c>
      <c r="N73" s="49">
        <f>'Avg Week Masaka-Maya'!N73+'Avg Week Maya-Masaka'!N73</f>
        <v>0</v>
      </c>
      <c r="O73" s="15">
        <f t="shared" si="0"/>
        <v>101</v>
      </c>
      <c r="P73" s="15">
        <f t="shared" si="1"/>
        <v>119</v>
      </c>
      <c r="R73" s="8"/>
      <c r="T73"/>
    </row>
    <row r="74" spans="2:20" ht="23.1" customHeight="1" x14ac:dyDescent="0.25">
      <c r="B74" s="23" t="s">
        <v>114</v>
      </c>
      <c r="C74" s="49">
        <f>'Avg Week Masaka-Maya'!C74+'Avg Week Maya-Masaka'!C74</f>
        <v>33</v>
      </c>
      <c r="D74" s="49">
        <f>'Avg Week Masaka-Maya'!D74+'Avg Week Maya-Masaka'!D74</f>
        <v>10.5</v>
      </c>
      <c r="E74" s="49">
        <f>'Avg Week Masaka-Maya'!E74+'Avg Week Maya-Masaka'!E74</f>
        <v>4.5</v>
      </c>
      <c r="F74" s="49">
        <f>'Avg Week Masaka-Maya'!F74+'Avg Week Maya-Masaka'!F74</f>
        <v>24</v>
      </c>
      <c r="G74" s="49">
        <f>'Avg Week Masaka-Maya'!G74+'Avg Week Maya-Masaka'!G74</f>
        <v>1.5</v>
      </c>
      <c r="H74" s="49">
        <f>'Avg Week Masaka-Maya'!H74+'Avg Week Maya-Masaka'!H74</f>
        <v>5.5</v>
      </c>
      <c r="I74" s="49">
        <f>'Avg Week Masaka-Maya'!I74+'Avg Week Maya-Masaka'!I74</f>
        <v>21.5</v>
      </c>
      <c r="J74" s="49">
        <f>'Avg Week Masaka-Maya'!J74+'Avg Week Maya-Masaka'!J74</f>
        <v>15</v>
      </c>
      <c r="K74" s="49">
        <f>'Avg Week Masaka-Maya'!K74+'Avg Week Maya-Masaka'!K74</f>
        <v>10</v>
      </c>
      <c r="L74" s="49">
        <f>'Avg Week Masaka-Maya'!L74+'Avg Week Maya-Masaka'!L74</f>
        <v>4.5</v>
      </c>
      <c r="M74" s="49">
        <f>'Avg Week Masaka-Maya'!M74+'Avg Week Maya-Masaka'!M74</f>
        <v>12</v>
      </c>
      <c r="N74" s="49">
        <f>'Avg Week Masaka-Maya'!N74+'Avg Week Maya-Masaka'!N74</f>
        <v>0</v>
      </c>
      <c r="O74" s="15">
        <f t="shared" ref="O74:O105" si="35">SUM(C74:L74,N74)</f>
        <v>130</v>
      </c>
      <c r="P74" s="15">
        <f t="shared" ref="P74:P105" si="36">SUM(C74:N74)</f>
        <v>142</v>
      </c>
      <c r="R74" s="8"/>
      <c r="T74"/>
    </row>
    <row r="75" spans="2:20" ht="23.1" customHeight="1" x14ac:dyDescent="0.25">
      <c r="B75" s="23" t="s">
        <v>115</v>
      </c>
      <c r="C75" s="49">
        <f>'Avg Week Masaka-Maya'!C75+'Avg Week Maya-Masaka'!C75</f>
        <v>35.5</v>
      </c>
      <c r="D75" s="49">
        <f>'Avg Week Masaka-Maya'!D75+'Avg Week Maya-Masaka'!D75</f>
        <v>12</v>
      </c>
      <c r="E75" s="49">
        <f>'Avg Week Masaka-Maya'!E75+'Avg Week Maya-Masaka'!E75</f>
        <v>6</v>
      </c>
      <c r="F75" s="49">
        <f>'Avg Week Masaka-Maya'!F75+'Avg Week Maya-Masaka'!F75</f>
        <v>22</v>
      </c>
      <c r="G75" s="49">
        <f>'Avg Week Masaka-Maya'!G75+'Avg Week Maya-Masaka'!G75</f>
        <v>5</v>
      </c>
      <c r="H75" s="49">
        <f>'Avg Week Masaka-Maya'!H75+'Avg Week Maya-Masaka'!H75</f>
        <v>2</v>
      </c>
      <c r="I75" s="49">
        <f>'Avg Week Masaka-Maya'!I75+'Avg Week Maya-Masaka'!I75</f>
        <v>21.5</v>
      </c>
      <c r="J75" s="49">
        <f>'Avg Week Masaka-Maya'!J75+'Avg Week Maya-Masaka'!J75</f>
        <v>13</v>
      </c>
      <c r="K75" s="49">
        <f>'Avg Week Masaka-Maya'!K75+'Avg Week Maya-Masaka'!K75</f>
        <v>7.5</v>
      </c>
      <c r="L75" s="49">
        <f>'Avg Week Masaka-Maya'!L75+'Avg Week Maya-Masaka'!L75</f>
        <v>3</v>
      </c>
      <c r="M75" s="49">
        <f>'Avg Week Masaka-Maya'!M75+'Avg Week Maya-Masaka'!M75</f>
        <v>9.5</v>
      </c>
      <c r="N75" s="49">
        <f>'Avg Week Masaka-Maya'!N75+'Avg Week Maya-Masaka'!N75</f>
        <v>0</v>
      </c>
      <c r="O75" s="15">
        <f t="shared" si="35"/>
        <v>127.5</v>
      </c>
      <c r="P75" s="15">
        <f t="shared" si="36"/>
        <v>137</v>
      </c>
      <c r="R75" s="8"/>
      <c r="T75"/>
    </row>
    <row r="76" spans="2:20" ht="23.1" customHeight="1" x14ac:dyDescent="0.25">
      <c r="B76" s="23" t="s">
        <v>116</v>
      </c>
      <c r="C76" s="49">
        <f>'Avg Week Masaka-Maya'!C76+'Avg Week Maya-Masaka'!C76</f>
        <v>22</v>
      </c>
      <c r="D76" s="49">
        <f>'Avg Week Masaka-Maya'!D76+'Avg Week Maya-Masaka'!D76</f>
        <v>6.5</v>
      </c>
      <c r="E76" s="49">
        <f>'Avg Week Masaka-Maya'!E76+'Avg Week Maya-Masaka'!E76</f>
        <v>6.5</v>
      </c>
      <c r="F76" s="49">
        <f>'Avg Week Masaka-Maya'!F76+'Avg Week Maya-Masaka'!F76</f>
        <v>15.5</v>
      </c>
      <c r="G76" s="49">
        <f>'Avg Week Masaka-Maya'!G76+'Avg Week Maya-Masaka'!G76</f>
        <v>2.5</v>
      </c>
      <c r="H76" s="49">
        <f>'Avg Week Masaka-Maya'!H76+'Avg Week Maya-Masaka'!H76</f>
        <v>4.5</v>
      </c>
      <c r="I76" s="49">
        <f>'Avg Week Masaka-Maya'!I76+'Avg Week Maya-Masaka'!I76</f>
        <v>29</v>
      </c>
      <c r="J76" s="49">
        <f>'Avg Week Masaka-Maya'!J76+'Avg Week Maya-Masaka'!J76</f>
        <v>13.5</v>
      </c>
      <c r="K76" s="49">
        <f>'Avg Week Masaka-Maya'!K76+'Avg Week Maya-Masaka'!K76</f>
        <v>11</v>
      </c>
      <c r="L76" s="49">
        <f>'Avg Week Masaka-Maya'!L76+'Avg Week Maya-Masaka'!L76</f>
        <v>2</v>
      </c>
      <c r="M76" s="49">
        <f>'Avg Week Masaka-Maya'!M76+'Avg Week Maya-Masaka'!M76</f>
        <v>13</v>
      </c>
      <c r="N76" s="49">
        <f>'Avg Week Masaka-Maya'!N76+'Avg Week Maya-Masaka'!N76</f>
        <v>0</v>
      </c>
      <c r="O76" s="15">
        <f t="shared" si="35"/>
        <v>113</v>
      </c>
      <c r="P76" s="15">
        <f t="shared" si="36"/>
        <v>126</v>
      </c>
      <c r="R76" s="8"/>
      <c r="T76"/>
    </row>
    <row r="77" spans="2:20" ht="23.1" customHeight="1" x14ac:dyDescent="0.25">
      <c r="B77" s="23" t="s">
        <v>117</v>
      </c>
      <c r="C77" s="49">
        <f>'Avg Week Masaka-Maya'!C77+'Avg Week Maya-Masaka'!C77</f>
        <v>30</v>
      </c>
      <c r="D77" s="49">
        <f>'Avg Week Masaka-Maya'!D77+'Avg Week Maya-Masaka'!D77</f>
        <v>7.5</v>
      </c>
      <c r="E77" s="49">
        <f>'Avg Week Masaka-Maya'!E77+'Avg Week Maya-Masaka'!E77</f>
        <v>5.5</v>
      </c>
      <c r="F77" s="49">
        <f>'Avg Week Masaka-Maya'!F77+'Avg Week Maya-Masaka'!F77</f>
        <v>22</v>
      </c>
      <c r="G77" s="49">
        <f>'Avg Week Masaka-Maya'!G77+'Avg Week Maya-Masaka'!G77</f>
        <v>3</v>
      </c>
      <c r="H77" s="49">
        <f>'Avg Week Masaka-Maya'!H77+'Avg Week Maya-Masaka'!H77</f>
        <v>4.5</v>
      </c>
      <c r="I77" s="49">
        <f>'Avg Week Masaka-Maya'!I77+'Avg Week Maya-Masaka'!I77</f>
        <v>25</v>
      </c>
      <c r="J77" s="49">
        <f>'Avg Week Masaka-Maya'!J77+'Avg Week Maya-Masaka'!J77</f>
        <v>13.5</v>
      </c>
      <c r="K77" s="49">
        <f>'Avg Week Masaka-Maya'!K77+'Avg Week Maya-Masaka'!K77</f>
        <v>9.5</v>
      </c>
      <c r="L77" s="49">
        <f>'Avg Week Masaka-Maya'!L77+'Avg Week Maya-Masaka'!L77</f>
        <v>4</v>
      </c>
      <c r="M77" s="49">
        <f>'Avg Week Masaka-Maya'!M77+'Avg Week Maya-Masaka'!M77</f>
        <v>12.5</v>
      </c>
      <c r="N77" s="49">
        <f>'Avg Week Masaka-Maya'!N77+'Avg Week Maya-Masaka'!N77</f>
        <v>0</v>
      </c>
      <c r="O77" s="15">
        <f t="shared" si="35"/>
        <v>124.5</v>
      </c>
      <c r="P77" s="15">
        <f t="shared" si="36"/>
        <v>137</v>
      </c>
      <c r="R77" s="8"/>
      <c r="T77"/>
    </row>
    <row r="78" spans="2:20" ht="23.1" customHeight="1" x14ac:dyDescent="0.25">
      <c r="B78" s="24" t="s">
        <v>118</v>
      </c>
      <c r="C78" s="49">
        <f>'Avg Week Masaka-Maya'!C78+'Avg Week Maya-Masaka'!C78</f>
        <v>20.5</v>
      </c>
      <c r="D78" s="49">
        <f>'Avg Week Masaka-Maya'!D78+'Avg Week Maya-Masaka'!D78</f>
        <v>5.5</v>
      </c>
      <c r="E78" s="49">
        <f>'Avg Week Masaka-Maya'!E78+'Avg Week Maya-Masaka'!E78</f>
        <v>1</v>
      </c>
      <c r="F78" s="49">
        <f>'Avg Week Masaka-Maya'!F78+'Avg Week Maya-Masaka'!F78</f>
        <v>12.5</v>
      </c>
      <c r="G78" s="49">
        <f>'Avg Week Masaka-Maya'!G78+'Avg Week Maya-Masaka'!G78</f>
        <v>1.5</v>
      </c>
      <c r="H78" s="49">
        <f>'Avg Week Masaka-Maya'!H78+'Avg Week Maya-Masaka'!H78</f>
        <v>4.5</v>
      </c>
      <c r="I78" s="49">
        <f>'Avg Week Masaka-Maya'!I78+'Avg Week Maya-Masaka'!I78</f>
        <v>20</v>
      </c>
      <c r="J78" s="49">
        <f>'Avg Week Masaka-Maya'!J78+'Avg Week Maya-Masaka'!J78</f>
        <v>10</v>
      </c>
      <c r="K78" s="49">
        <f>'Avg Week Masaka-Maya'!K78+'Avg Week Maya-Masaka'!K78</f>
        <v>7.5</v>
      </c>
      <c r="L78" s="49">
        <f>'Avg Week Masaka-Maya'!L78+'Avg Week Maya-Masaka'!L78</f>
        <v>5</v>
      </c>
      <c r="M78" s="49">
        <f>'Avg Week Masaka-Maya'!M78+'Avg Week Maya-Masaka'!M78</f>
        <v>10</v>
      </c>
      <c r="N78" s="49">
        <f>'Avg Week Masaka-Maya'!N78+'Avg Week Maya-Masaka'!N78</f>
        <v>0</v>
      </c>
      <c r="O78" s="15">
        <f t="shared" si="35"/>
        <v>88</v>
      </c>
      <c r="P78" s="15">
        <f t="shared" si="36"/>
        <v>98</v>
      </c>
      <c r="R78" s="8"/>
      <c r="T78"/>
    </row>
    <row r="79" spans="2:20" ht="23.1" customHeight="1" x14ac:dyDescent="0.25">
      <c r="B79" s="23" t="s">
        <v>119</v>
      </c>
      <c r="C79" s="49">
        <f>'Avg Week Masaka-Maya'!C79+'Avg Week Maya-Masaka'!C79</f>
        <v>13</v>
      </c>
      <c r="D79" s="49">
        <f>'Avg Week Masaka-Maya'!D79+'Avg Week Maya-Masaka'!D79</f>
        <v>6</v>
      </c>
      <c r="E79" s="49">
        <f>'Avg Week Masaka-Maya'!E79+'Avg Week Maya-Masaka'!E79</f>
        <v>5</v>
      </c>
      <c r="F79" s="49">
        <f>'Avg Week Masaka-Maya'!F79+'Avg Week Maya-Masaka'!F79</f>
        <v>10.5</v>
      </c>
      <c r="G79" s="49">
        <f>'Avg Week Masaka-Maya'!G79+'Avg Week Maya-Masaka'!G79</f>
        <v>1</v>
      </c>
      <c r="H79" s="49">
        <f>'Avg Week Masaka-Maya'!H79+'Avg Week Maya-Masaka'!H79</f>
        <v>4</v>
      </c>
      <c r="I79" s="49">
        <f>'Avg Week Masaka-Maya'!I79+'Avg Week Maya-Masaka'!I79</f>
        <v>20.5</v>
      </c>
      <c r="J79" s="49">
        <f>'Avg Week Masaka-Maya'!J79+'Avg Week Maya-Masaka'!J79</f>
        <v>11</v>
      </c>
      <c r="K79" s="49">
        <f>'Avg Week Masaka-Maya'!K79+'Avg Week Maya-Masaka'!K79</f>
        <v>5.5</v>
      </c>
      <c r="L79" s="49">
        <f>'Avg Week Masaka-Maya'!L79+'Avg Week Maya-Masaka'!L79</f>
        <v>5</v>
      </c>
      <c r="M79" s="49">
        <f>'Avg Week Masaka-Maya'!M79+'Avg Week Maya-Masaka'!M79</f>
        <v>7.5</v>
      </c>
      <c r="N79" s="49">
        <f>'Avg Week Masaka-Maya'!N79+'Avg Week Maya-Masaka'!N79</f>
        <v>0</v>
      </c>
      <c r="O79" s="15">
        <f t="shared" si="35"/>
        <v>81.5</v>
      </c>
      <c r="P79" s="15">
        <f t="shared" si="36"/>
        <v>89</v>
      </c>
      <c r="R79" s="8"/>
      <c r="T79"/>
    </row>
    <row r="80" spans="2:20" ht="23.1" customHeight="1" x14ac:dyDescent="0.25">
      <c r="B80" s="25" t="s">
        <v>120</v>
      </c>
      <c r="C80" s="49">
        <f>'Avg Week Masaka-Maya'!C80+'Avg Week Maya-Masaka'!C80</f>
        <v>17</v>
      </c>
      <c r="D80" s="49">
        <f>'Avg Week Masaka-Maya'!D80+'Avg Week Maya-Masaka'!D80</f>
        <v>3.5</v>
      </c>
      <c r="E80" s="49">
        <f>'Avg Week Masaka-Maya'!E80+'Avg Week Maya-Masaka'!E80</f>
        <v>2</v>
      </c>
      <c r="F80" s="49">
        <f>'Avg Week Masaka-Maya'!F80+'Avg Week Maya-Masaka'!F80</f>
        <v>6.5</v>
      </c>
      <c r="G80" s="49">
        <f>'Avg Week Masaka-Maya'!G80+'Avg Week Maya-Masaka'!G80</f>
        <v>0.5</v>
      </c>
      <c r="H80" s="49">
        <f>'Avg Week Masaka-Maya'!H80+'Avg Week Maya-Masaka'!H80</f>
        <v>4</v>
      </c>
      <c r="I80" s="49">
        <f>'Avg Week Masaka-Maya'!I80+'Avg Week Maya-Masaka'!I80</f>
        <v>16.5</v>
      </c>
      <c r="J80" s="49">
        <f>'Avg Week Masaka-Maya'!J80+'Avg Week Maya-Masaka'!J80</f>
        <v>10</v>
      </c>
      <c r="K80" s="49">
        <f>'Avg Week Masaka-Maya'!K80+'Avg Week Maya-Masaka'!K80</f>
        <v>5</v>
      </c>
      <c r="L80" s="49">
        <f>'Avg Week Masaka-Maya'!L80+'Avg Week Maya-Masaka'!L80</f>
        <v>5.5</v>
      </c>
      <c r="M80" s="49">
        <f>'Avg Week Masaka-Maya'!M80+'Avg Week Maya-Masaka'!M80</f>
        <v>4</v>
      </c>
      <c r="N80" s="49">
        <f>'Avg Week Masaka-Maya'!N80+'Avg Week Maya-Masaka'!N80</f>
        <v>0</v>
      </c>
      <c r="O80" s="15">
        <f t="shared" si="35"/>
        <v>70.5</v>
      </c>
      <c r="P80" s="15">
        <f t="shared" si="36"/>
        <v>74.5</v>
      </c>
      <c r="R80" s="8"/>
      <c r="T80"/>
    </row>
    <row r="81" spans="2:20" ht="23.1" customHeight="1" x14ac:dyDescent="0.25">
      <c r="B81" s="23" t="s">
        <v>121</v>
      </c>
      <c r="C81" s="49">
        <f>'Avg Week Masaka-Maya'!C81+'Avg Week Maya-Masaka'!C81</f>
        <v>14</v>
      </c>
      <c r="D81" s="49">
        <f>'Avg Week Masaka-Maya'!D81+'Avg Week Maya-Masaka'!D81</f>
        <v>7</v>
      </c>
      <c r="E81" s="49">
        <f>'Avg Week Masaka-Maya'!E81+'Avg Week Maya-Masaka'!E81</f>
        <v>1</v>
      </c>
      <c r="F81" s="49">
        <f>'Avg Week Masaka-Maya'!F81+'Avg Week Maya-Masaka'!F81</f>
        <v>9</v>
      </c>
      <c r="G81" s="49">
        <f>'Avg Week Masaka-Maya'!G81+'Avg Week Maya-Masaka'!G81</f>
        <v>0.5</v>
      </c>
      <c r="H81" s="49">
        <f>'Avg Week Masaka-Maya'!H81+'Avg Week Maya-Masaka'!H81</f>
        <v>3.5</v>
      </c>
      <c r="I81" s="49">
        <f>'Avg Week Masaka-Maya'!I81+'Avg Week Maya-Masaka'!I81</f>
        <v>22.5</v>
      </c>
      <c r="J81" s="49">
        <f>'Avg Week Masaka-Maya'!J81+'Avg Week Maya-Masaka'!J81</f>
        <v>7.5</v>
      </c>
      <c r="K81" s="49">
        <f>'Avg Week Masaka-Maya'!K81+'Avg Week Maya-Masaka'!K81</f>
        <v>6</v>
      </c>
      <c r="L81" s="49">
        <f>'Avg Week Masaka-Maya'!L81+'Avg Week Maya-Masaka'!L81</f>
        <v>2</v>
      </c>
      <c r="M81" s="49">
        <f>'Avg Week Masaka-Maya'!M81+'Avg Week Maya-Masaka'!M81</f>
        <v>2</v>
      </c>
      <c r="N81" s="49">
        <f>'Avg Week Masaka-Maya'!N81+'Avg Week Maya-Masaka'!N81</f>
        <v>0</v>
      </c>
      <c r="O81" s="15">
        <f t="shared" si="35"/>
        <v>73</v>
      </c>
      <c r="P81" s="15">
        <f t="shared" si="36"/>
        <v>75</v>
      </c>
      <c r="R81" s="8"/>
      <c r="T81"/>
    </row>
    <row r="82" spans="2:20" ht="23.1" customHeight="1" x14ac:dyDescent="0.25">
      <c r="B82" s="24" t="s">
        <v>122</v>
      </c>
      <c r="C82" s="49">
        <f>'Avg Week Masaka-Maya'!C82+'Avg Week Maya-Masaka'!C82</f>
        <v>10.5</v>
      </c>
      <c r="D82" s="49">
        <f>'Avg Week Masaka-Maya'!D82+'Avg Week Maya-Masaka'!D82</f>
        <v>3</v>
      </c>
      <c r="E82" s="49">
        <f>'Avg Week Masaka-Maya'!E82+'Avg Week Maya-Masaka'!E82</f>
        <v>1.5</v>
      </c>
      <c r="F82" s="49">
        <f>'Avg Week Masaka-Maya'!F82+'Avg Week Maya-Masaka'!F82</f>
        <v>2.5</v>
      </c>
      <c r="G82" s="49">
        <f>'Avg Week Masaka-Maya'!G82+'Avg Week Maya-Masaka'!G82</f>
        <v>0.5</v>
      </c>
      <c r="H82" s="49">
        <f>'Avg Week Masaka-Maya'!H82+'Avg Week Maya-Masaka'!H82</f>
        <v>0</v>
      </c>
      <c r="I82" s="49">
        <f>'Avg Week Masaka-Maya'!I82+'Avg Week Maya-Masaka'!I82</f>
        <v>18.5</v>
      </c>
      <c r="J82" s="49">
        <f>'Avg Week Masaka-Maya'!J82+'Avg Week Maya-Masaka'!J82</f>
        <v>13.5</v>
      </c>
      <c r="K82" s="49">
        <f>'Avg Week Masaka-Maya'!K82+'Avg Week Maya-Masaka'!K82</f>
        <v>9</v>
      </c>
      <c r="L82" s="49">
        <f>'Avg Week Masaka-Maya'!L82+'Avg Week Maya-Masaka'!L82</f>
        <v>6.5</v>
      </c>
      <c r="M82" s="49">
        <f>'Avg Week Masaka-Maya'!M82+'Avg Week Maya-Masaka'!M82</f>
        <v>2</v>
      </c>
      <c r="N82" s="49">
        <f>'Avg Week Masaka-Maya'!N82+'Avg Week Maya-Masaka'!N82</f>
        <v>0</v>
      </c>
      <c r="O82" s="15">
        <f t="shared" si="35"/>
        <v>65.5</v>
      </c>
      <c r="P82" s="15">
        <f t="shared" si="36"/>
        <v>67.5</v>
      </c>
      <c r="R82" s="8"/>
      <c r="T82"/>
    </row>
    <row r="83" spans="2:20" ht="23.1" customHeight="1" x14ac:dyDescent="0.25">
      <c r="B83" s="23" t="s">
        <v>123</v>
      </c>
      <c r="C83" s="49">
        <f>'Avg Week Masaka-Maya'!C83+'Avg Week Maya-Masaka'!C83</f>
        <v>9.5</v>
      </c>
      <c r="D83" s="49">
        <f>'Avg Week Masaka-Maya'!D83+'Avg Week Maya-Masaka'!D83</f>
        <v>1</v>
      </c>
      <c r="E83" s="49">
        <f>'Avg Week Masaka-Maya'!E83+'Avg Week Maya-Masaka'!E83</f>
        <v>0.5</v>
      </c>
      <c r="F83" s="49">
        <f>'Avg Week Masaka-Maya'!F83+'Avg Week Maya-Masaka'!F83</f>
        <v>3</v>
      </c>
      <c r="G83" s="49">
        <f>'Avg Week Masaka-Maya'!G83+'Avg Week Maya-Masaka'!G83</f>
        <v>0.5</v>
      </c>
      <c r="H83" s="49">
        <f>'Avg Week Masaka-Maya'!H83+'Avg Week Maya-Masaka'!H83</f>
        <v>0.5</v>
      </c>
      <c r="I83" s="49">
        <f>'Avg Week Masaka-Maya'!I83+'Avg Week Maya-Masaka'!I83</f>
        <v>27</v>
      </c>
      <c r="J83" s="49">
        <f>'Avg Week Masaka-Maya'!J83+'Avg Week Maya-Masaka'!J83</f>
        <v>19.5</v>
      </c>
      <c r="K83" s="49">
        <f>'Avg Week Masaka-Maya'!K83+'Avg Week Maya-Masaka'!K83</f>
        <v>8</v>
      </c>
      <c r="L83" s="49">
        <f>'Avg Week Masaka-Maya'!L83+'Avg Week Maya-Masaka'!L83</f>
        <v>9</v>
      </c>
      <c r="M83" s="49">
        <f>'Avg Week Masaka-Maya'!M83+'Avg Week Maya-Masaka'!M83</f>
        <v>2.5</v>
      </c>
      <c r="N83" s="49">
        <f>'Avg Week Masaka-Maya'!N83+'Avg Week Maya-Masaka'!N83</f>
        <v>0</v>
      </c>
      <c r="O83" s="15">
        <f t="shared" si="35"/>
        <v>78.5</v>
      </c>
      <c r="P83" s="15">
        <f t="shared" si="36"/>
        <v>81</v>
      </c>
      <c r="R83" s="8"/>
      <c r="T83"/>
    </row>
    <row r="84" spans="2:20" ht="23.1" customHeight="1" x14ac:dyDescent="0.25">
      <c r="B84" s="25" t="s">
        <v>124</v>
      </c>
      <c r="C84" s="49">
        <f>'Avg Week Masaka-Maya'!C84+'Avg Week Maya-Masaka'!C84</f>
        <v>10</v>
      </c>
      <c r="D84" s="49">
        <f>'Avg Week Masaka-Maya'!D84+'Avg Week Maya-Masaka'!D84</f>
        <v>1.5</v>
      </c>
      <c r="E84" s="49">
        <f>'Avg Week Masaka-Maya'!E84+'Avg Week Maya-Masaka'!E84</f>
        <v>1</v>
      </c>
      <c r="F84" s="49">
        <f>'Avg Week Masaka-Maya'!F84+'Avg Week Maya-Masaka'!F84</f>
        <v>2</v>
      </c>
      <c r="G84" s="49">
        <f>'Avg Week Masaka-Maya'!G84+'Avg Week Maya-Masaka'!G84</f>
        <v>0</v>
      </c>
      <c r="H84" s="49">
        <f>'Avg Week Masaka-Maya'!H84+'Avg Week Maya-Masaka'!H84</f>
        <v>3</v>
      </c>
      <c r="I84" s="49">
        <f>'Avg Week Masaka-Maya'!I84+'Avg Week Maya-Masaka'!I84</f>
        <v>20</v>
      </c>
      <c r="J84" s="49">
        <f>'Avg Week Masaka-Maya'!J84+'Avg Week Maya-Masaka'!J84</f>
        <v>9.5</v>
      </c>
      <c r="K84" s="49">
        <f>'Avg Week Masaka-Maya'!K84+'Avg Week Maya-Masaka'!K84</f>
        <v>4.5</v>
      </c>
      <c r="L84" s="49">
        <f>'Avg Week Masaka-Maya'!L84+'Avg Week Maya-Masaka'!L84</f>
        <v>2</v>
      </c>
      <c r="M84" s="49">
        <f>'Avg Week Masaka-Maya'!M84+'Avg Week Maya-Masaka'!M84</f>
        <v>0.5</v>
      </c>
      <c r="N84" s="49">
        <f>'Avg Week Masaka-Maya'!N84+'Avg Week Maya-Masaka'!N84</f>
        <v>0</v>
      </c>
      <c r="O84" s="15">
        <f t="shared" si="35"/>
        <v>53.5</v>
      </c>
      <c r="P84" s="15">
        <f t="shared" si="36"/>
        <v>54</v>
      </c>
      <c r="R84" s="8"/>
      <c r="T84"/>
    </row>
    <row r="85" spans="2:20" ht="23.1" customHeight="1" x14ac:dyDescent="0.25">
      <c r="B85" s="23" t="s">
        <v>125</v>
      </c>
      <c r="C85" s="49">
        <f>'Avg Week Masaka-Maya'!C85+'Avg Week Maya-Masaka'!C85</f>
        <v>6</v>
      </c>
      <c r="D85" s="49">
        <f>'Avg Week Masaka-Maya'!D85+'Avg Week Maya-Masaka'!D85</f>
        <v>1</v>
      </c>
      <c r="E85" s="49">
        <f>'Avg Week Masaka-Maya'!E85+'Avg Week Maya-Masaka'!E85</f>
        <v>0.5</v>
      </c>
      <c r="F85" s="49">
        <f>'Avg Week Masaka-Maya'!F85+'Avg Week Maya-Masaka'!F85</f>
        <v>1</v>
      </c>
      <c r="G85" s="49">
        <f>'Avg Week Masaka-Maya'!G85+'Avg Week Maya-Masaka'!G85</f>
        <v>0</v>
      </c>
      <c r="H85" s="49">
        <f>'Avg Week Masaka-Maya'!H85+'Avg Week Maya-Masaka'!H85</f>
        <v>1.5</v>
      </c>
      <c r="I85" s="49">
        <f>'Avg Week Masaka-Maya'!I85+'Avg Week Maya-Masaka'!I85</f>
        <v>14</v>
      </c>
      <c r="J85" s="49">
        <f>'Avg Week Masaka-Maya'!J85+'Avg Week Maya-Masaka'!J85</f>
        <v>6.5</v>
      </c>
      <c r="K85" s="49">
        <f>'Avg Week Masaka-Maya'!K85+'Avg Week Maya-Masaka'!K85</f>
        <v>6.5</v>
      </c>
      <c r="L85" s="49">
        <f>'Avg Week Masaka-Maya'!L85+'Avg Week Maya-Masaka'!L85</f>
        <v>4</v>
      </c>
      <c r="M85" s="49">
        <f>'Avg Week Masaka-Maya'!M85+'Avg Week Maya-Masaka'!M85</f>
        <v>4.5</v>
      </c>
      <c r="N85" s="49">
        <f>'Avg Week Masaka-Maya'!N85+'Avg Week Maya-Masaka'!N85</f>
        <v>0</v>
      </c>
      <c r="O85" s="15">
        <f t="shared" si="35"/>
        <v>41</v>
      </c>
      <c r="P85" s="15">
        <f t="shared" si="36"/>
        <v>45.5</v>
      </c>
      <c r="R85" s="8"/>
      <c r="T85"/>
    </row>
    <row r="86" spans="2:20" ht="23.1" customHeight="1" x14ac:dyDescent="0.25">
      <c r="B86" s="24" t="s">
        <v>126</v>
      </c>
      <c r="C86" s="49">
        <f>'Avg Week Masaka-Maya'!C86+'Avg Week Maya-Masaka'!C86</f>
        <v>6</v>
      </c>
      <c r="D86" s="49">
        <f>'Avg Week Masaka-Maya'!D86+'Avg Week Maya-Masaka'!D86</f>
        <v>0.5</v>
      </c>
      <c r="E86" s="49">
        <f>'Avg Week Masaka-Maya'!E86+'Avg Week Maya-Masaka'!E86</f>
        <v>2.5</v>
      </c>
      <c r="F86" s="49">
        <f>'Avg Week Masaka-Maya'!F86+'Avg Week Maya-Masaka'!F86</f>
        <v>1</v>
      </c>
      <c r="G86" s="49">
        <f>'Avg Week Masaka-Maya'!G86+'Avg Week Maya-Masaka'!G86</f>
        <v>0</v>
      </c>
      <c r="H86" s="49">
        <f>'Avg Week Masaka-Maya'!H86+'Avg Week Maya-Masaka'!H86</f>
        <v>3</v>
      </c>
      <c r="I86" s="49">
        <f>'Avg Week Masaka-Maya'!I86+'Avg Week Maya-Masaka'!I86</f>
        <v>18.5</v>
      </c>
      <c r="J86" s="49">
        <f>'Avg Week Masaka-Maya'!J86+'Avg Week Maya-Masaka'!J86</f>
        <v>14</v>
      </c>
      <c r="K86" s="49">
        <f>'Avg Week Masaka-Maya'!K86+'Avg Week Maya-Masaka'!K86</f>
        <v>10.5</v>
      </c>
      <c r="L86" s="49">
        <f>'Avg Week Masaka-Maya'!L86+'Avg Week Maya-Masaka'!L86</f>
        <v>5</v>
      </c>
      <c r="M86" s="49">
        <f>'Avg Week Masaka-Maya'!M86+'Avg Week Maya-Masaka'!M86</f>
        <v>3</v>
      </c>
      <c r="N86" s="49">
        <f>'Avg Week Masaka-Maya'!N86+'Avg Week Maya-Masaka'!N86</f>
        <v>0</v>
      </c>
      <c r="O86" s="15">
        <f t="shared" si="35"/>
        <v>61</v>
      </c>
      <c r="P86" s="15">
        <f t="shared" si="36"/>
        <v>64</v>
      </c>
      <c r="R86" s="8"/>
      <c r="T86"/>
    </row>
    <row r="87" spans="2:20" ht="23.1" customHeight="1" x14ac:dyDescent="0.25">
      <c r="B87" s="23" t="s">
        <v>127</v>
      </c>
      <c r="C87" s="49">
        <f>'Avg Week Masaka-Maya'!C87+'Avg Week Maya-Masaka'!C87</f>
        <v>9</v>
      </c>
      <c r="D87" s="49">
        <f>'Avg Week Masaka-Maya'!D87+'Avg Week Maya-Masaka'!D87</f>
        <v>1.5</v>
      </c>
      <c r="E87" s="49">
        <f>'Avg Week Masaka-Maya'!E87+'Avg Week Maya-Masaka'!E87</f>
        <v>2.5</v>
      </c>
      <c r="F87" s="49">
        <f>'Avg Week Masaka-Maya'!F87+'Avg Week Maya-Masaka'!F87</f>
        <v>3</v>
      </c>
      <c r="G87" s="49">
        <f>'Avg Week Masaka-Maya'!G87+'Avg Week Maya-Masaka'!G87</f>
        <v>0</v>
      </c>
      <c r="H87" s="49">
        <f>'Avg Week Masaka-Maya'!H87+'Avg Week Maya-Masaka'!H87</f>
        <v>2</v>
      </c>
      <c r="I87" s="49">
        <f>'Avg Week Masaka-Maya'!I87+'Avg Week Maya-Masaka'!I87</f>
        <v>19.5</v>
      </c>
      <c r="J87" s="49">
        <f>'Avg Week Masaka-Maya'!J87+'Avg Week Maya-Masaka'!J87</f>
        <v>14.5</v>
      </c>
      <c r="K87" s="49">
        <f>'Avg Week Masaka-Maya'!K87+'Avg Week Maya-Masaka'!K87</f>
        <v>13.5</v>
      </c>
      <c r="L87" s="49">
        <f>'Avg Week Masaka-Maya'!L87+'Avg Week Maya-Masaka'!L87</f>
        <v>16.5</v>
      </c>
      <c r="M87" s="49">
        <f>'Avg Week Masaka-Maya'!M87+'Avg Week Maya-Masaka'!M87</f>
        <v>2</v>
      </c>
      <c r="N87" s="49">
        <f>'Avg Week Masaka-Maya'!N87+'Avg Week Maya-Masaka'!N87</f>
        <v>0</v>
      </c>
      <c r="O87" s="15">
        <f t="shared" si="35"/>
        <v>82</v>
      </c>
      <c r="P87" s="15">
        <f t="shared" si="36"/>
        <v>84</v>
      </c>
      <c r="R87" s="8"/>
      <c r="T87"/>
    </row>
    <row r="88" spans="2:20" ht="23.1" customHeight="1" x14ac:dyDescent="0.25">
      <c r="B88" s="25" t="s">
        <v>128</v>
      </c>
      <c r="C88" s="49">
        <f>'Avg Week Masaka-Maya'!C88+'Avg Week Maya-Masaka'!C88</f>
        <v>4</v>
      </c>
      <c r="D88" s="49">
        <f>'Avg Week Masaka-Maya'!D88+'Avg Week Maya-Masaka'!D88</f>
        <v>0.5</v>
      </c>
      <c r="E88" s="49">
        <f>'Avg Week Masaka-Maya'!E88+'Avg Week Maya-Masaka'!E88</f>
        <v>0</v>
      </c>
      <c r="F88" s="49">
        <f>'Avg Week Masaka-Maya'!F88+'Avg Week Maya-Masaka'!F88</f>
        <v>1</v>
      </c>
      <c r="G88" s="49">
        <f>'Avg Week Masaka-Maya'!G88+'Avg Week Maya-Masaka'!G88</f>
        <v>0</v>
      </c>
      <c r="H88" s="49">
        <f>'Avg Week Masaka-Maya'!H88+'Avg Week Maya-Masaka'!H88</f>
        <v>3.5</v>
      </c>
      <c r="I88" s="49">
        <f>'Avg Week Masaka-Maya'!I88+'Avg Week Maya-Masaka'!I88</f>
        <v>11.5</v>
      </c>
      <c r="J88" s="49">
        <f>'Avg Week Masaka-Maya'!J88+'Avg Week Maya-Masaka'!J88</f>
        <v>6</v>
      </c>
      <c r="K88" s="49">
        <f>'Avg Week Masaka-Maya'!K88+'Avg Week Maya-Masaka'!K88</f>
        <v>3</v>
      </c>
      <c r="L88" s="49">
        <f>'Avg Week Masaka-Maya'!L88+'Avg Week Maya-Masaka'!L88</f>
        <v>9.5</v>
      </c>
      <c r="M88" s="49">
        <f>'Avg Week Masaka-Maya'!M88+'Avg Week Maya-Masaka'!M88</f>
        <v>0.5</v>
      </c>
      <c r="N88" s="49">
        <f>'Avg Week Masaka-Maya'!N88+'Avg Week Maya-Masaka'!N88</f>
        <v>0</v>
      </c>
      <c r="O88" s="15">
        <f t="shared" si="35"/>
        <v>39</v>
      </c>
      <c r="P88" s="15">
        <f t="shared" si="36"/>
        <v>39.5</v>
      </c>
      <c r="R88" s="8"/>
      <c r="T88"/>
    </row>
    <row r="89" spans="2:20" ht="23.1" customHeight="1" x14ac:dyDescent="0.25">
      <c r="B89" s="23" t="s">
        <v>129</v>
      </c>
      <c r="C89" s="49">
        <f>'Avg Week Masaka-Maya'!C89+'Avg Week Maya-Masaka'!C89</f>
        <v>5</v>
      </c>
      <c r="D89" s="49">
        <f>'Avg Week Masaka-Maya'!D89+'Avg Week Maya-Masaka'!D89</f>
        <v>1</v>
      </c>
      <c r="E89" s="49">
        <f>'Avg Week Masaka-Maya'!E89+'Avg Week Maya-Masaka'!E89</f>
        <v>0</v>
      </c>
      <c r="F89" s="49">
        <f>'Avg Week Masaka-Maya'!F89+'Avg Week Maya-Masaka'!F89</f>
        <v>0</v>
      </c>
      <c r="G89" s="49">
        <f>'Avg Week Masaka-Maya'!G89+'Avg Week Maya-Masaka'!G89</f>
        <v>0.5</v>
      </c>
      <c r="H89" s="49">
        <f>'Avg Week Masaka-Maya'!H89+'Avg Week Maya-Masaka'!H89</f>
        <v>1</v>
      </c>
      <c r="I89" s="49">
        <f>'Avg Week Masaka-Maya'!I89+'Avg Week Maya-Masaka'!I89</f>
        <v>15</v>
      </c>
      <c r="J89" s="49">
        <f>'Avg Week Masaka-Maya'!J89+'Avg Week Maya-Masaka'!J89</f>
        <v>8</v>
      </c>
      <c r="K89" s="49">
        <f>'Avg Week Masaka-Maya'!K89+'Avg Week Maya-Masaka'!K89</f>
        <v>6.5</v>
      </c>
      <c r="L89" s="49">
        <f>'Avg Week Masaka-Maya'!L89+'Avg Week Maya-Masaka'!L89</f>
        <v>5</v>
      </c>
      <c r="M89" s="49">
        <f>'Avg Week Masaka-Maya'!M89+'Avg Week Maya-Masaka'!M89</f>
        <v>2</v>
      </c>
      <c r="N89" s="49">
        <f>'Avg Week Masaka-Maya'!N89+'Avg Week Maya-Masaka'!N89</f>
        <v>0</v>
      </c>
      <c r="O89" s="15">
        <f t="shared" si="35"/>
        <v>42</v>
      </c>
      <c r="P89" s="15">
        <f t="shared" si="36"/>
        <v>44</v>
      </c>
      <c r="R89" s="8"/>
      <c r="T89"/>
    </row>
    <row r="90" spans="2:20" ht="23.1" customHeight="1" x14ac:dyDescent="0.25">
      <c r="B90" s="24" t="s">
        <v>130</v>
      </c>
      <c r="C90" s="49">
        <f>'Avg Week Masaka-Maya'!C90+'Avg Week Maya-Masaka'!C90</f>
        <v>3.5</v>
      </c>
      <c r="D90" s="49">
        <f>'Avg Week Masaka-Maya'!D90+'Avg Week Maya-Masaka'!D90</f>
        <v>1.5</v>
      </c>
      <c r="E90" s="49">
        <f>'Avg Week Masaka-Maya'!E90+'Avg Week Maya-Masaka'!E90</f>
        <v>0</v>
      </c>
      <c r="F90" s="49">
        <f>'Avg Week Masaka-Maya'!F90+'Avg Week Maya-Masaka'!F90</f>
        <v>0</v>
      </c>
      <c r="G90" s="49">
        <f>'Avg Week Masaka-Maya'!G90+'Avg Week Maya-Masaka'!G90</f>
        <v>1</v>
      </c>
      <c r="H90" s="49">
        <f>'Avg Week Masaka-Maya'!H90+'Avg Week Maya-Masaka'!H90</f>
        <v>2</v>
      </c>
      <c r="I90" s="49">
        <f>'Avg Week Masaka-Maya'!I90+'Avg Week Maya-Masaka'!I90</f>
        <v>12</v>
      </c>
      <c r="J90" s="49">
        <f>'Avg Week Masaka-Maya'!J90+'Avg Week Maya-Masaka'!J90</f>
        <v>9</v>
      </c>
      <c r="K90" s="49">
        <f>'Avg Week Masaka-Maya'!K90+'Avg Week Maya-Masaka'!K90</f>
        <v>6.5</v>
      </c>
      <c r="L90" s="49">
        <f>'Avg Week Masaka-Maya'!L90+'Avg Week Maya-Masaka'!L90</f>
        <v>7</v>
      </c>
      <c r="M90" s="49">
        <f>'Avg Week Masaka-Maya'!M90+'Avg Week Maya-Masaka'!M90</f>
        <v>1.5</v>
      </c>
      <c r="N90" s="49">
        <f>'Avg Week Masaka-Maya'!N90+'Avg Week Maya-Masaka'!N90</f>
        <v>0</v>
      </c>
      <c r="O90" s="15">
        <f t="shared" si="35"/>
        <v>42.5</v>
      </c>
      <c r="P90" s="15">
        <f t="shared" si="36"/>
        <v>44</v>
      </c>
      <c r="R90" s="8"/>
      <c r="T90"/>
    </row>
    <row r="91" spans="2:20" ht="23.1" customHeight="1" x14ac:dyDescent="0.25">
      <c r="B91" s="23" t="s">
        <v>131</v>
      </c>
      <c r="C91" s="49">
        <f>'Avg Week Masaka-Maya'!C91+'Avg Week Maya-Masaka'!C91</f>
        <v>2.5</v>
      </c>
      <c r="D91" s="49">
        <f>'Avg Week Masaka-Maya'!D91+'Avg Week Maya-Masaka'!D91</f>
        <v>0</v>
      </c>
      <c r="E91" s="49">
        <f>'Avg Week Masaka-Maya'!E91+'Avg Week Maya-Masaka'!E91</f>
        <v>0.5</v>
      </c>
      <c r="F91" s="49">
        <f>'Avg Week Masaka-Maya'!F91+'Avg Week Maya-Masaka'!F91</f>
        <v>0.5</v>
      </c>
      <c r="G91" s="49">
        <f>'Avg Week Masaka-Maya'!G91+'Avg Week Maya-Masaka'!G91</f>
        <v>0.5</v>
      </c>
      <c r="H91" s="49">
        <f>'Avg Week Masaka-Maya'!H91+'Avg Week Maya-Masaka'!H91</f>
        <v>2.5</v>
      </c>
      <c r="I91" s="49">
        <f>'Avg Week Masaka-Maya'!I91+'Avg Week Maya-Masaka'!I91</f>
        <v>12</v>
      </c>
      <c r="J91" s="49">
        <f>'Avg Week Masaka-Maya'!J91+'Avg Week Maya-Masaka'!J91</f>
        <v>5.5</v>
      </c>
      <c r="K91" s="49">
        <f>'Avg Week Masaka-Maya'!K91+'Avg Week Maya-Masaka'!K91</f>
        <v>4.5</v>
      </c>
      <c r="L91" s="49">
        <f>'Avg Week Masaka-Maya'!L91+'Avg Week Maya-Masaka'!L91</f>
        <v>6</v>
      </c>
      <c r="M91" s="49">
        <f>'Avg Week Masaka-Maya'!M91+'Avg Week Maya-Masaka'!M91</f>
        <v>4</v>
      </c>
      <c r="N91" s="49">
        <f>'Avg Week Masaka-Maya'!N91+'Avg Week Maya-Masaka'!N91</f>
        <v>0</v>
      </c>
      <c r="O91" s="15">
        <f t="shared" si="35"/>
        <v>34.5</v>
      </c>
      <c r="P91" s="15">
        <f t="shared" si="36"/>
        <v>38.5</v>
      </c>
      <c r="R91" s="8"/>
      <c r="T91"/>
    </row>
    <row r="92" spans="2:20" ht="23.1" customHeight="1" x14ac:dyDescent="0.25">
      <c r="B92" s="25" t="s">
        <v>132</v>
      </c>
      <c r="C92" s="49">
        <f>'Avg Week Masaka-Maya'!C92+'Avg Week Maya-Masaka'!C92</f>
        <v>2.5</v>
      </c>
      <c r="D92" s="49">
        <f>'Avg Week Masaka-Maya'!D92+'Avg Week Maya-Masaka'!D92</f>
        <v>1</v>
      </c>
      <c r="E92" s="49">
        <f>'Avg Week Masaka-Maya'!E92+'Avg Week Maya-Masaka'!E92</f>
        <v>0.5</v>
      </c>
      <c r="F92" s="49">
        <f>'Avg Week Masaka-Maya'!F92+'Avg Week Maya-Masaka'!F92</f>
        <v>0.5</v>
      </c>
      <c r="G92" s="49">
        <f>'Avg Week Masaka-Maya'!G92+'Avg Week Maya-Masaka'!G92</f>
        <v>1</v>
      </c>
      <c r="H92" s="49">
        <f>'Avg Week Masaka-Maya'!H92+'Avg Week Maya-Masaka'!H92</f>
        <v>5.5</v>
      </c>
      <c r="I92" s="49">
        <f>'Avg Week Masaka-Maya'!I92+'Avg Week Maya-Masaka'!I92</f>
        <v>13</v>
      </c>
      <c r="J92" s="49">
        <f>'Avg Week Masaka-Maya'!J92+'Avg Week Maya-Masaka'!J92</f>
        <v>7.5</v>
      </c>
      <c r="K92" s="49">
        <f>'Avg Week Masaka-Maya'!K92+'Avg Week Maya-Masaka'!K92</f>
        <v>8.5</v>
      </c>
      <c r="L92" s="49">
        <f>'Avg Week Masaka-Maya'!L92+'Avg Week Maya-Masaka'!L92</f>
        <v>8.5</v>
      </c>
      <c r="M92" s="49">
        <f>'Avg Week Masaka-Maya'!M92+'Avg Week Maya-Masaka'!M92</f>
        <v>2.5</v>
      </c>
      <c r="N92" s="49">
        <f>'Avg Week Masaka-Maya'!N92+'Avg Week Maya-Masaka'!N92</f>
        <v>0</v>
      </c>
      <c r="O92" s="15">
        <f t="shared" si="35"/>
        <v>48.5</v>
      </c>
      <c r="P92" s="15">
        <f t="shared" si="36"/>
        <v>51</v>
      </c>
      <c r="R92" s="8"/>
      <c r="T92"/>
    </row>
    <row r="93" spans="2:20" ht="23.1" customHeight="1" x14ac:dyDescent="0.25">
      <c r="B93" s="23" t="s">
        <v>133</v>
      </c>
      <c r="C93" s="49">
        <f>'Avg Week Masaka-Maya'!C93+'Avg Week Maya-Masaka'!C93</f>
        <v>3</v>
      </c>
      <c r="D93" s="49">
        <f>'Avg Week Masaka-Maya'!D93+'Avg Week Maya-Masaka'!D93</f>
        <v>0</v>
      </c>
      <c r="E93" s="49">
        <f>'Avg Week Masaka-Maya'!E93+'Avg Week Maya-Masaka'!E93</f>
        <v>1</v>
      </c>
      <c r="F93" s="49">
        <f>'Avg Week Masaka-Maya'!F93+'Avg Week Maya-Masaka'!F93</f>
        <v>1.5</v>
      </c>
      <c r="G93" s="49">
        <f>'Avg Week Masaka-Maya'!G93+'Avg Week Maya-Masaka'!G93</f>
        <v>0</v>
      </c>
      <c r="H93" s="49">
        <f>'Avg Week Masaka-Maya'!H93+'Avg Week Maya-Masaka'!H93</f>
        <v>4.5</v>
      </c>
      <c r="I93" s="49">
        <f>'Avg Week Masaka-Maya'!I93+'Avg Week Maya-Masaka'!I93</f>
        <v>15.5</v>
      </c>
      <c r="J93" s="49">
        <f>'Avg Week Masaka-Maya'!J93+'Avg Week Maya-Masaka'!J93</f>
        <v>12.5</v>
      </c>
      <c r="K93" s="49">
        <f>'Avg Week Masaka-Maya'!K93+'Avg Week Maya-Masaka'!K93</f>
        <v>7.5</v>
      </c>
      <c r="L93" s="49">
        <f>'Avg Week Masaka-Maya'!L93+'Avg Week Maya-Masaka'!L93</f>
        <v>7</v>
      </c>
      <c r="M93" s="49">
        <f>'Avg Week Masaka-Maya'!M93+'Avg Week Maya-Masaka'!M93</f>
        <v>2</v>
      </c>
      <c r="N93" s="49">
        <f>'Avg Week Masaka-Maya'!N93+'Avg Week Maya-Masaka'!N93</f>
        <v>0</v>
      </c>
      <c r="O93" s="15">
        <f t="shared" si="35"/>
        <v>52.5</v>
      </c>
      <c r="P93" s="15">
        <f t="shared" si="36"/>
        <v>54.5</v>
      </c>
      <c r="R93" s="8"/>
      <c r="T93"/>
    </row>
    <row r="94" spans="2:20" ht="23.1" customHeight="1" x14ac:dyDescent="0.25">
      <c r="B94" s="24" t="s">
        <v>134</v>
      </c>
      <c r="C94" s="49">
        <f>'Avg Week Masaka-Maya'!C94+'Avg Week Maya-Masaka'!C94</f>
        <v>3</v>
      </c>
      <c r="D94" s="49">
        <f>'Avg Week Masaka-Maya'!D94+'Avg Week Maya-Masaka'!D94</f>
        <v>2</v>
      </c>
      <c r="E94" s="49">
        <f>'Avg Week Masaka-Maya'!E94+'Avg Week Maya-Masaka'!E94</f>
        <v>0</v>
      </c>
      <c r="F94" s="49">
        <f>'Avg Week Masaka-Maya'!F94+'Avg Week Maya-Masaka'!F94</f>
        <v>0.5</v>
      </c>
      <c r="G94" s="49">
        <f>'Avg Week Masaka-Maya'!G94+'Avg Week Maya-Masaka'!G94</f>
        <v>1</v>
      </c>
      <c r="H94" s="49">
        <f>'Avg Week Masaka-Maya'!H94+'Avg Week Maya-Masaka'!H94</f>
        <v>3</v>
      </c>
      <c r="I94" s="49">
        <f>'Avg Week Masaka-Maya'!I94+'Avg Week Maya-Masaka'!I94</f>
        <v>13</v>
      </c>
      <c r="J94" s="49">
        <f>'Avg Week Masaka-Maya'!J94+'Avg Week Maya-Masaka'!J94</f>
        <v>7</v>
      </c>
      <c r="K94" s="49">
        <f>'Avg Week Masaka-Maya'!K94+'Avg Week Maya-Masaka'!K94</f>
        <v>3</v>
      </c>
      <c r="L94" s="49">
        <f>'Avg Week Masaka-Maya'!L94+'Avg Week Maya-Masaka'!L94</f>
        <v>2.5</v>
      </c>
      <c r="M94" s="49">
        <f>'Avg Week Masaka-Maya'!M94+'Avg Week Maya-Masaka'!M94</f>
        <v>0</v>
      </c>
      <c r="N94" s="49">
        <f>'Avg Week Masaka-Maya'!N94+'Avg Week Maya-Masaka'!N94</f>
        <v>0</v>
      </c>
      <c r="O94" s="15">
        <f t="shared" si="35"/>
        <v>35</v>
      </c>
      <c r="P94" s="15">
        <f t="shared" si="36"/>
        <v>35</v>
      </c>
      <c r="R94" s="8"/>
      <c r="T94"/>
    </row>
    <row r="95" spans="2:20" ht="23.1" customHeight="1" x14ac:dyDescent="0.25">
      <c r="B95" s="23" t="s">
        <v>135</v>
      </c>
      <c r="C95" s="49">
        <f>'Avg Week Masaka-Maya'!C95+'Avg Week Maya-Masaka'!C95</f>
        <v>3.5</v>
      </c>
      <c r="D95" s="49">
        <f>'Avg Week Masaka-Maya'!D95+'Avg Week Maya-Masaka'!D95</f>
        <v>1</v>
      </c>
      <c r="E95" s="49">
        <f>'Avg Week Masaka-Maya'!E95+'Avg Week Maya-Masaka'!E95</f>
        <v>1.5</v>
      </c>
      <c r="F95" s="49">
        <f>'Avg Week Masaka-Maya'!F95+'Avg Week Maya-Masaka'!F95</f>
        <v>3</v>
      </c>
      <c r="G95" s="49">
        <f>'Avg Week Masaka-Maya'!G95+'Avg Week Maya-Masaka'!G95</f>
        <v>1.5</v>
      </c>
      <c r="H95" s="49">
        <f>'Avg Week Masaka-Maya'!H95+'Avg Week Maya-Masaka'!H95</f>
        <v>3.5</v>
      </c>
      <c r="I95" s="49">
        <f>'Avg Week Masaka-Maya'!I95+'Avg Week Maya-Masaka'!I95</f>
        <v>10.5</v>
      </c>
      <c r="J95" s="49">
        <f>'Avg Week Masaka-Maya'!J95+'Avg Week Maya-Masaka'!J95</f>
        <v>7</v>
      </c>
      <c r="K95" s="49">
        <f>'Avg Week Masaka-Maya'!K95+'Avg Week Maya-Masaka'!K95</f>
        <v>4</v>
      </c>
      <c r="L95" s="49">
        <f>'Avg Week Masaka-Maya'!L95+'Avg Week Maya-Masaka'!L95</f>
        <v>5</v>
      </c>
      <c r="M95" s="49">
        <f>'Avg Week Masaka-Maya'!M95+'Avg Week Maya-Masaka'!M95</f>
        <v>0</v>
      </c>
      <c r="N95" s="49">
        <f>'Avg Week Masaka-Maya'!N95+'Avg Week Maya-Masaka'!N95</f>
        <v>0</v>
      </c>
      <c r="O95" s="15">
        <f t="shared" si="35"/>
        <v>40.5</v>
      </c>
      <c r="P95" s="15">
        <f t="shared" si="36"/>
        <v>40.5</v>
      </c>
      <c r="R95" s="8"/>
      <c r="T95"/>
    </row>
    <row r="96" spans="2:20" ht="23.1" customHeight="1" x14ac:dyDescent="0.25">
      <c r="B96" s="25" t="s">
        <v>136</v>
      </c>
      <c r="C96" s="49">
        <f>'Avg Week Masaka-Maya'!C96+'Avg Week Maya-Masaka'!C96</f>
        <v>8</v>
      </c>
      <c r="D96" s="49">
        <f>'Avg Week Masaka-Maya'!D96+'Avg Week Maya-Masaka'!D96</f>
        <v>1</v>
      </c>
      <c r="E96" s="49">
        <f>'Avg Week Masaka-Maya'!E96+'Avg Week Maya-Masaka'!E96</f>
        <v>0</v>
      </c>
      <c r="F96" s="49">
        <f>'Avg Week Masaka-Maya'!F96+'Avg Week Maya-Masaka'!F96</f>
        <v>3</v>
      </c>
      <c r="G96" s="49">
        <f>'Avg Week Masaka-Maya'!G96+'Avg Week Maya-Masaka'!G96</f>
        <v>0.5</v>
      </c>
      <c r="H96" s="49">
        <f>'Avg Week Masaka-Maya'!H96+'Avg Week Maya-Masaka'!H96</f>
        <v>3</v>
      </c>
      <c r="I96" s="49">
        <f>'Avg Week Masaka-Maya'!I96+'Avg Week Maya-Masaka'!I96</f>
        <v>15.5</v>
      </c>
      <c r="J96" s="49">
        <f>'Avg Week Masaka-Maya'!J96+'Avg Week Maya-Masaka'!J96</f>
        <v>7</v>
      </c>
      <c r="K96" s="49">
        <f>'Avg Week Masaka-Maya'!K96+'Avg Week Maya-Masaka'!K96</f>
        <v>4</v>
      </c>
      <c r="L96" s="49">
        <f>'Avg Week Masaka-Maya'!L96+'Avg Week Maya-Masaka'!L96</f>
        <v>6.5</v>
      </c>
      <c r="M96" s="49">
        <f>'Avg Week Masaka-Maya'!M96+'Avg Week Maya-Masaka'!M96</f>
        <v>1</v>
      </c>
      <c r="N96" s="49">
        <f>'Avg Week Masaka-Maya'!N96+'Avg Week Maya-Masaka'!N96</f>
        <v>0</v>
      </c>
      <c r="O96" s="15">
        <f t="shared" si="35"/>
        <v>48.5</v>
      </c>
      <c r="P96" s="15">
        <f t="shared" si="36"/>
        <v>49.5</v>
      </c>
      <c r="R96" s="8"/>
      <c r="T96"/>
    </row>
    <row r="97" spans="2:20" ht="23.1" customHeight="1" x14ac:dyDescent="0.25">
      <c r="B97" s="23" t="s">
        <v>137</v>
      </c>
      <c r="C97" s="49">
        <f>'Avg Week Masaka-Maya'!C97+'Avg Week Maya-Masaka'!C97</f>
        <v>4.5</v>
      </c>
      <c r="D97" s="49">
        <f>'Avg Week Masaka-Maya'!D97+'Avg Week Maya-Masaka'!D97</f>
        <v>1.5</v>
      </c>
      <c r="E97" s="49">
        <f>'Avg Week Masaka-Maya'!E97+'Avg Week Maya-Masaka'!E97</f>
        <v>1.5</v>
      </c>
      <c r="F97" s="49">
        <f>'Avg Week Masaka-Maya'!F97+'Avg Week Maya-Masaka'!F97</f>
        <v>5.5</v>
      </c>
      <c r="G97" s="49">
        <f>'Avg Week Masaka-Maya'!G97+'Avg Week Maya-Masaka'!G97</f>
        <v>1</v>
      </c>
      <c r="H97" s="49">
        <f>'Avg Week Masaka-Maya'!H97+'Avg Week Maya-Masaka'!H97</f>
        <v>2.5</v>
      </c>
      <c r="I97" s="49">
        <f>'Avg Week Masaka-Maya'!I97+'Avg Week Maya-Masaka'!I97</f>
        <v>16</v>
      </c>
      <c r="J97" s="49">
        <f>'Avg Week Masaka-Maya'!J97+'Avg Week Maya-Masaka'!J97</f>
        <v>10</v>
      </c>
      <c r="K97" s="49">
        <f>'Avg Week Masaka-Maya'!K97+'Avg Week Maya-Masaka'!K97</f>
        <v>2.5</v>
      </c>
      <c r="L97" s="49">
        <f>'Avg Week Masaka-Maya'!L97+'Avg Week Maya-Masaka'!L97</f>
        <v>5.5</v>
      </c>
      <c r="M97" s="49">
        <f>'Avg Week Masaka-Maya'!M97+'Avg Week Maya-Masaka'!M97</f>
        <v>3</v>
      </c>
      <c r="N97" s="49">
        <f>'Avg Week Masaka-Maya'!N97+'Avg Week Maya-Masaka'!N97</f>
        <v>0</v>
      </c>
      <c r="O97" s="15">
        <f t="shared" si="35"/>
        <v>50.5</v>
      </c>
      <c r="P97" s="15">
        <f t="shared" si="36"/>
        <v>53.5</v>
      </c>
      <c r="R97" s="8"/>
      <c r="T97"/>
    </row>
    <row r="98" spans="2:20" ht="23.1" customHeight="1" x14ac:dyDescent="0.25">
      <c r="B98" s="24" t="s">
        <v>138</v>
      </c>
      <c r="C98" s="49">
        <f>'Avg Week Masaka-Maya'!C98+'Avg Week Maya-Masaka'!C98</f>
        <v>9.5</v>
      </c>
      <c r="D98" s="49">
        <f>'Avg Week Masaka-Maya'!D98+'Avg Week Maya-Masaka'!D98</f>
        <v>0.5</v>
      </c>
      <c r="E98" s="49">
        <f>'Avg Week Masaka-Maya'!E98+'Avg Week Maya-Masaka'!E98</f>
        <v>2</v>
      </c>
      <c r="F98" s="49">
        <f>'Avg Week Masaka-Maya'!F98+'Avg Week Maya-Masaka'!F98</f>
        <v>7.5</v>
      </c>
      <c r="G98" s="49">
        <f>'Avg Week Masaka-Maya'!G98+'Avg Week Maya-Masaka'!G98</f>
        <v>0.5</v>
      </c>
      <c r="H98" s="49">
        <f>'Avg Week Masaka-Maya'!H98+'Avg Week Maya-Masaka'!H98</f>
        <v>1</v>
      </c>
      <c r="I98" s="49">
        <f>'Avg Week Masaka-Maya'!I98+'Avg Week Maya-Masaka'!I98</f>
        <v>20.5</v>
      </c>
      <c r="J98" s="49">
        <f>'Avg Week Masaka-Maya'!J98+'Avg Week Maya-Masaka'!J98</f>
        <v>9.5</v>
      </c>
      <c r="K98" s="49">
        <f>'Avg Week Masaka-Maya'!K98+'Avg Week Maya-Masaka'!K98</f>
        <v>3</v>
      </c>
      <c r="L98" s="49">
        <f>'Avg Week Masaka-Maya'!L98+'Avg Week Maya-Masaka'!L98</f>
        <v>3</v>
      </c>
      <c r="M98" s="49">
        <f>'Avg Week Masaka-Maya'!M98+'Avg Week Maya-Masaka'!M98</f>
        <v>3.5</v>
      </c>
      <c r="N98" s="49">
        <f>'Avg Week Masaka-Maya'!N98+'Avg Week Maya-Masaka'!N98</f>
        <v>0</v>
      </c>
      <c r="O98" s="15">
        <f t="shared" si="35"/>
        <v>57</v>
      </c>
      <c r="P98" s="15">
        <f t="shared" si="36"/>
        <v>60.5</v>
      </c>
      <c r="R98" s="8"/>
      <c r="T98"/>
    </row>
    <row r="99" spans="2:20" ht="23.1" customHeight="1" x14ac:dyDescent="0.25">
      <c r="B99" s="23" t="s">
        <v>139</v>
      </c>
      <c r="C99" s="49">
        <f>'Avg Week Masaka-Maya'!C99+'Avg Week Maya-Masaka'!C99</f>
        <v>7.5</v>
      </c>
      <c r="D99" s="49">
        <f>'Avg Week Masaka-Maya'!D99+'Avg Week Maya-Masaka'!D99</f>
        <v>4</v>
      </c>
      <c r="E99" s="49">
        <f>'Avg Week Masaka-Maya'!E99+'Avg Week Maya-Masaka'!E99</f>
        <v>2</v>
      </c>
      <c r="F99" s="49">
        <f>'Avg Week Masaka-Maya'!F99+'Avg Week Maya-Masaka'!F99</f>
        <v>12.5</v>
      </c>
      <c r="G99" s="49">
        <f>'Avg Week Masaka-Maya'!G99+'Avg Week Maya-Masaka'!G99</f>
        <v>0</v>
      </c>
      <c r="H99" s="49">
        <f>'Avg Week Masaka-Maya'!H99+'Avg Week Maya-Masaka'!H99</f>
        <v>1</v>
      </c>
      <c r="I99" s="49">
        <f>'Avg Week Masaka-Maya'!I99+'Avg Week Maya-Masaka'!I99</f>
        <v>14.5</v>
      </c>
      <c r="J99" s="49">
        <f>'Avg Week Masaka-Maya'!J99+'Avg Week Maya-Masaka'!J99</f>
        <v>8.5</v>
      </c>
      <c r="K99" s="49">
        <f>'Avg Week Masaka-Maya'!K99+'Avg Week Maya-Masaka'!K99</f>
        <v>3</v>
      </c>
      <c r="L99" s="49">
        <f>'Avg Week Masaka-Maya'!L99+'Avg Week Maya-Masaka'!L99</f>
        <v>4.5</v>
      </c>
      <c r="M99" s="49">
        <f>'Avg Week Masaka-Maya'!M99+'Avg Week Maya-Masaka'!M99</f>
        <v>5.5</v>
      </c>
      <c r="N99" s="49">
        <f>'Avg Week Masaka-Maya'!N99+'Avg Week Maya-Masaka'!N99</f>
        <v>0</v>
      </c>
      <c r="O99" s="15">
        <f t="shared" si="35"/>
        <v>57.5</v>
      </c>
      <c r="P99" s="15">
        <f t="shared" si="36"/>
        <v>63</v>
      </c>
      <c r="R99" s="8"/>
      <c r="T99"/>
    </row>
    <row r="100" spans="2:20" ht="23.1" customHeight="1" x14ac:dyDescent="0.25">
      <c r="B100" s="25" t="s">
        <v>140</v>
      </c>
      <c r="C100" s="49">
        <f>'Avg Week Masaka-Maya'!C100+'Avg Week Maya-Masaka'!C100</f>
        <v>12</v>
      </c>
      <c r="D100" s="49">
        <f>'Avg Week Masaka-Maya'!D100+'Avg Week Maya-Masaka'!D100</f>
        <v>2.5</v>
      </c>
      <c r="E100" s="49">
        <f>'Avg Week Masaka-Maya'!E100+'Avg Week Maya-Masaka'!E100</f>
        <v>0.5</v>
      </c>
      <c r="F100" s="49">
        <f>'Avg Week Masaka-Maya'!F100+'Avg Week Maya-Masaka'!F100</f>
        <v>13</v>
      </c>
      <c r="G100" s="49">
        <f>'Avg Week Masaka-Maya'!G100+'Avg Week Maya-Masaka'!G100</f>
        <v>1</v>
      </c>
      <c r="H100" s="49">
        <f>'Avg Week Masaka-Maya'!H100+'Avg Week Maya-Masaka'!H100</f>
        <v>2.5</v>
      </c>
      <c r="I100" s="49">
        <f>'Avg Week Masaka-Maya'!I100+'Avg Week Maya-Masaka'!I100</f>
        <v>20</v>
      </c>
      <c r="J100" s="49">
        <f>'Avg Week Masaka-Maya'!J100+'Avg Week Maya-Masaka'!J100</f>
        <v>6.5</v>
      </c>
      <c r="K100" s="49">
        <f>'Avg Week Masaka-Maya'!K100+'Avg Week Maya-Masaka'!K100</f>
        <v>5</v>
      </c>
      <c r="L100" s="49">
        <f>'Avg Week Masaka-Maya'!L100+'Avg Week Maya-Masaka'!L100</f>
        <v>6.5</v>
      </c>
      <c r="M100" s="49">
        <f>'Avg Week Masaka-Maya'!M100+'Avg Week Maya-Masaka'!M100</f>
        <v>7.5</v>
      </c>
      <c r="N100" s="49">
        <f>'Avg Week Masaka-Maya'!N100+'Avg Week Maya-Masaka'!N100</f>
        <v>0</v>
      </c>
      <c r="O100" s="15">
        <f t="shared" si="35"/>
        <v>69.5</v>
      </c>
      <c r="P100" s="15">
        <f t="shared" si="36"/>
        <v>77</v>
      </c>
      <c r="R100" s="8"/>
      <c r="T100"/>
    </row>
    <row r="101" spans="2:20" ht="23.1" customHeight="1" x14ac:dyDescent="0.25">
      <c r="B101" s="23" t="s">
        <v>141</v>
      </c>
      <c r="C101" s="49">
        <f>'Avg Week Masaka-Maya'!C101+'Avg Week Maya-Masaka'!C101</f>
        <v>18</v>
      </c>
      <c r="D101" s="49">
        <f>'Avg Week Masaka-Maya'!D101+'Avg Week Maya-Masaka'!D101</f>
        <v>1.5</v>
      </c>
      <c r="E101" s="49">
        <f>'Avg Week Masaka-Maya'!E101+'Avg Week Maya-Masaka'!E101</f>
        <v>2</v>
      </c>
      <c r="F101" s="49">
        <f>'Avg Week Masaka-Maya'!F101+'Avg Week Maya-Masaka'!F101</f>
        <v>20</v>
      </c>
      <c r="G101" s="49">
        <f>'Avg Week Masaka-Maya'!G101+'Avg Week Maya-Masaka'!G101</f>
        <v>1</v>
      </c>
      <c r="H101" s="49">
        <f>'Avg Week Masaka-Maya'!H101+'Avg Week Maya-Masaka'!H101</f>
        <v>6</v>
      </c>
      <c r="I101" s="49">
        <f>'Avg Week Masaka-Maya'!I101+'Avg Week Maya-Masaka'!I101</f>
        <v>14</v>
      </c>
      <c r="J101" s="49">
        <f>'Avg Week Masaka-Maya'!J101+'Avg Week Maya-Masaka'!J101</f>
        <v>8.5</v>
      </c>
      <c r="K101" s="49">
        <f>'Avg Week Masaka-Maya'!K101+'Avg Week Maya-Masaka'!K101</f>
        <v>3.5</v>
      </c>
      <c r="L101" s="49">
        <f>'Avg Week Masaka-Maya'!L101+'Avg Week Maya-Masaka'!L101</f>
        <v>2.5</v>
      </c>
      <c r="M101" s="49">
        <f>'Avg Week Masaka-Maya'!M101+'Avg Week Maya-Masaka'!M101</f>
        <v>10.5</v>
      </c>
      <c r="N101" s="49">
        <f>'Avg Week Masaka-Maya'!N101+'Avg Week Maya-Masaka'!N101</f>
        <v>0</v>
      </c>
      <c r="O101" s="15">
        <f t="shared" si="35"/>
        <v>77</v>
      </c>
      <c r="P101" s="15">
        <f t="shared" si="36"/>
        <v>87.5</v>
      </c>
      <c r="R101" s="8"/>
      <c r="T101"/>
    </row>
    <row r="102" spans="2:20" ht="23.1" customHeight="1" x14ac:dyDescent="0.25">
      <c r="B102" s="24" t="s">
        <v>142</v>
      </c>
      <c r="C102" s="49">
        <f>'Avg Week Masaka-Maya'!C102+'Avg Week Maya-Masaka'!C102</f>
        <v>20</v>
      </c>
      <c r="D102" s="49">
        <f>'Avg Week Masaka-Maya'!D102+'Avg Week Maya-Masaka'!D102</f>
        <v>5</v>
      </c>
      <c r="E102" s="49">
        <f>'Avg Week Masaka-Maya'!E102+'Avg Week Maya-Masaka'!E102</f>
        <v>2</v>
      </c>
      <c r="F102" s="49">
        <f>'Avg Week Masaka-Maya'!F102+'Avg Week Maya-Masaka'!F102</f>
        <v>16.5</v>
      </c>
      <c r="G102" s="49">
        <f>'Avg Week Masaka-Maya'!G102+'Avg Week Maya-Masaka'!G102</f>
        <v>2.5</v>
      </c>
      <c r="H102" s="49">
        <f>'Avg Week Masaka-Maya'!H102+'Avg Week Maya-Masaka'!H102</f>
        <v>0.5</v>
      </c>
      <c r="I102" s="49">
        <f>'Avg Week Masaka-Maya'!I102+'Avg Week Maya-Masaka'!I102</f>
        <v>20</v>
      </c>
      <c r="J102" s="49">
        <f>'Avg Week Masaka-Maya'!J102+'Avg Week Maya-Masaka'!J102</f>
        <v>4.5</v>
      </c>
      <c r="K102" s="49">
        <f>'Avg Week Masaka-Maya'!K102+'Avg Week Maya-Masaka'!K102</f>
        <v>4.5</v>
      </c>
      <c r="L102" s="49">
        <f>'Avg Week Masaka-Maya'!L102+'Avg Week Maya-Masaka'!L102</f>
        <v>7.5</v>
      </c>
      <c r="M102" s="49">
        <f>'Avg Week Masaka-Maya'!M102+'Avg Week Maya-Masaka'!M102</f>
        <v>8.5</v>
      </c>
      <c r="N102" s="49">
        <f>'Avg Week Masaka-Maya'!N102+'Avg Week Maya-Masaka'!N102</f>
        <v>0</v>
      </c>
      <c r="O102" s="15">
        <f t="shared" si="35"/>
        <v>83</v>
      </c>
      <c r="P102" s="15">
        <f t="shared" si="36"/>
        <v>91.5</v>
      </c>
      <c r="R102" s="8"/>
      <c r="T102"/>
    </row>
    <row r="103" spans="2:20" ht="23.1" customHeight="1" x14ac:dyDescent="0.25">
      <c r="B103" s="23" t="s">
        <v>143</v>
      </c>
      <c r="C103" s="49">
        <f>'Avg Week Masaka-Maya'!C103+'Avg Week Maya-Masaka'!C103</f>
        <v>17</v>
      </c>
      <c r="D103" s="49">
        <f>'Avg Week Masaka-Maya'!D103+'Avg Week Maya-Masaka'!D103</f>
        <v>9</v>
      </c>
      <c r="E103" s="49">
        <f>'Avg Week Masaka-Maya'!E103+'Avg Week Maya-Masaka'!E103</f>
        <v>4.5</v>
      </c>
      <c r="F103" s="49">
        <f>'Avg Week Masaka-Maya'!F103+'Avg Week Maya-Masaka'!F103</f>
        <v>18.5</v>
      </c>
      <c r="G103" s="49">
        <f>'Avg Week Masaka-Maya'!G103+'Avg Week Maya-Masaka'!G103</f>
        <v>1</v>
      </c>
      <c r="H103" s="49">
        <f>'Avg Week Masaka-Maya'!H103+'Avg Week Maya-Masaka'!H103</f>
        <v>4.5</v>
      </c>
      <c r="I103" s="49">
        <f>'Avg Week Masaka-Maya'!I103+'Avg Week Maya-Masaka'!I103</f>
        <v>23</v>
      </c>
      <c r="J103" s="49">
        <f>'Avg Week Masaka-Maya'!J103+'Avg Week Maya-Masaka'!J103</f>
        <v>9</v>
      </c>
      <c r="K103" s="49">
        <f>'Avg Week Masaka-Maya'!K103+'Avg Week Maya-Masaka'!K103</f>
        <v>3.5</v>
      </c>
      <c r="L103" s="49">
        <f>'Avg Week Masaka-Maya'!L103+'Avg Week Maya-Masaka'!L103</f>
        <v>3</v>
      </c>
      <c r="M103" s="49">
        <f>'Avg Week Masaka-Maya'!M103+'Avg Week Maya-Masaka'!M103</f>
        <v>14</v>
      </c>
      <c r="N103" s="49">
        <f>'Avg Week Masaka-Maya'!N103+'Avg Week Maya-Masaka'!N103</f>
        <v>0</v>
      </c>
      <c r="O103" s="15">
        <f t="shared" si="35"/>
        <v>93</v>
      </c>
      <c r="P103" s="15">
        <f t="shared" si="36"/>
        <v>107</v>
      </c>
      <c r="R103" s="8"/>
      <c r="T103"/>
    </row>
    <row r="104" spans="2:20" ht="23.1" customHeight="1" x14ac:dyDescent="0.25">
      <c r="B104" s="25" t="s">
        <v>144</v>
      </c>
      <c r="C104" s="49">
        <f>'Avg Week Masaka-Maya'!C104+'Avg Week Maya-Masaka'!C104</f>
        <v>17.5</v>
      </c>
      <c r="D104" s="49">
        <f>'Avg Week Masaka-Maya'!D104+'Avg Week Maya-Masaka'!D104</f>
        <v>12.5</v>
      </c>
      <c r="E104" s="49">
        <f>'Avg Week Masaka-Maya'!E104+'Avg Week Maya-Masaka'!E104</f>
        <v>3.5</v>
      </c>
      <c r="F104" s="49">
        <f>'Avg Week Masaka-Maya'!F104+'Avg Week Maya-Masaka'!F104</f>
        <v>28.5</v>
      </c>
      <c r="G104" s="49">
        <f>'Avg Week Masaka-Maya'!G104+'Avg Week Maya-Masaka'!G104</f>
        <v>1.5</v>
      </c>
      <c r="H104" s="49">
        <f>'Avg Week Masaka-Maya'!H104+'Avg Week Maya-Masaka'!H104</f>
        <v>3</v>
      </c>
      <c r="I104" s="49">
        <f>'Avg Week Masaka-Maya'!I104+'Avg Week Maya-Masaka'!I104</f>
        <v>13</v>
      </c>
      <c r="J104" s="49">
        <f>'Avg Week Masaka-Maya'!J104+'Avg Week Maya-Masaka'!J104</f>
        <v>12.5</v>
      </c>
      <c r="K104" s="49">
        <f>'Avg Week Masaka-Maya'!K104+'Avg Week Maya-Masaka'!K104</f>
        <v>4</v>
      </c>
      <c r="L104" s="49">
        <f>'Avg Week Masaka-Maya'!L104+'Avg Week Maya-Masaka'!L104</f>
        <v>7</v>
      </c>
      <c r="M104" s="49">
        <f>'Avg Week Masaka-Maya'!M104+'Avg Week Maya-Masaka'!M104</f>
        <v>20.5</v>
      </c>
      <c r="N104" s="49">
        <f>'Avg Week Masaka-Maya'!N104+'Avg Week Maya-Masaka'!N104</f>
        <v>0</v>
      </c>
      <c r="O104" s="15">
        <f t="shared" si="35"/>
        <v>103</v>
      </c>
      <c r="P104" s="15">
        <f t="shared" si="36"/>
        <v>123.5</v>
      </c>
      <c r="R104" s="8"/>
      <c r="T104"/>
    </row>
    <row r="105" spans="2:20" ht="23.1" customHeight="1" x14ac:dyDescent="0.25">
      <c r="B105" s="23" t="s">
        <v>145</v>
      </c>
      <c r="C105" s="49">
        <f>'Avg Week Masaka-Maya'!C105+'Avg Week Maya-Masaka'!C105</f>
        <v>27.5</v>
      </c>
      <c r="D105" s="49">
        <f>'Avg Week Masaka-Maya'!D105+'Avg Week Maya-Masaka'!D105</f>
        <v>18</v>
      </c>
      <c r="E105" s="49">
        <f>'Avg Week Masaka-Maya'!E105+'Avg Week Maya-Masaka'!E105</f>
        <v>3.5</v>
      </c>
      <c r="F105" s="49">
        <f>'Avg Week Masaka-Maya'!F105+'Avg Week Maya-Masaka'!F105</f>
        <v>36.5</v>
      </c>
      <c r="G105" s="49">
        <f>'Avg Week Masaka-Maya'!G105+'Avg Week Maya-Masaka'!G105</f>
        <v>3</v>
      </c>
      <c r="H105" s="49">
        <f>'Avg Week Masaka-Maya'!H105+'Avg Week Maya-Masaka'!H105</f>
        <v>1.5</v>
      </c>
      <c r="I105" s="49">
        <f>'Avg Week Masaka-Maya'!I105+'Avg Week Maya-Masaka'!I105</f>
        <v>22.5</v>
      </c>
      <c r="J105" s="49">
        <f>'Avg Week Masaka-Maya'!J105+'Avg Week Maya-Masaka'!J105</f>
        <v>6.5</v>
      </c>
      <c r="K105" s="49">
        <f>'Avg Week Masaka-Maya'!K105+'Avg Week Maya-Masaka'!K105</f>
        <v>6</v>
      </c>
      <c r="L105" s="49">
        <f>'Avg Week Masaka-Maya'!L105+'Avg Week Maya-Masaka'!L105</f>
        <v>5</v>
      </c>
      <c r="M105" s="49">
        <f>'Avg Week Masaka-Maya'!M105+'Avg Week Maya-Masaka'!M105</f>
        <v>24.5</v>
      </c>
      <c r="N105" s="49">
        <f>'Avg Week Masaka-Maya'!N105+'Avg Week Maya-Masaka'!N105</f>
        <v>0</v>
      </c>
      <c r="O105" s="15">
        <f t="shared" si="35"/>
        <v>130</v>
      </c>
      <c r="P105" s="15">
        <f t="shared" si="36"/>
        <v>154.5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4017.7857142857138</v>
      </c>
      <c r="D106" s="16">
        <f t="shared" ref="D106:Q106" si="37">SUM(D10:D105)</f>
        <v>991.14285714285722</v>
      </c>
      <c r="E106" s="16">
        <f t="shared" ref="E106" si="38">SUM(E10:E105)</f>
        <v>696.21428571428578</v>
      </c>
      <c r="F106" s="16">
        <f t="shared" ref="F106" si="39">SUM(F10:F105)</f>
        <v>3360.7857142857142</v>
      </c>
      <c r="G106" s="16">
        <f t="shared" ref="G106" si="40">SUM(G10:G105)</f>
        <v>242.57142857142856</v>
      </c>
      <c r="H106" s="16">
        <f t="shared" ref="H106" si="41">SUM(H10:H105)</f>
        <v>296</v>
      </c>
      <c r="I106" s="16">
        <f t="shared" ref="I106" si="42">SUM(I10:I105)</f>
        <v>2305.4285714285716</v>
      </c>
      <c r="J106" s="16">
        <f t="shared" ref="J106" si="43">SUM(J10:J105)</f>
        <v>755.71428571428578</v>
      </c>
      <c r="K106" s="16">
        <f t="shared" ref="K106" si="44">SUM(K10:K105)</f>
        <v>491.35714285714289</v>
      </c>
      <c r="L106" s="16">
        <f t="shared" ref="L106" si="45">SUM(L10:L105)</f>
        <v>473.21428571428572</v>
      </c>
      <c r="M106" s="16">
        <f t="shared" ref="M106" si="46">SUM(M10:M105)</f>
        <v>3001.6428571428573</v>
      </c>
      <c r="N106" s="16">
        <f t="shared" ref="N106" si="47">SUM(N10:N105)</f>
        <v>0.5714285714285714</v>
      </c>
      <c r="O106" s="16">
        <f t="shared" ref="O106" si="48">SUM(O10:O105)</f>
        <v>13630.785714285714</v>
      </c>
      <c r="P106" s="16">
        <f>SUM(P10:P105)</f>
        <v>16632.428571428572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9">C106/$P$106</f>
        <v>0.24156338306406586</v>
      </c>
      <c r="D107" s="43">
        <f t="shared" si="49"/>
        <v>5.9590988344627963E-2</v>
      </c>
      <c r="E107" s="43">
        <f t="shared" si="49"/>
        <v>4.1858847174624444E-2</v>
      </c>
      <c r="F107" s="43">
        <f t="shared" si="49"/>
        <v>0.20206223642282287</v>
      </c>
      <c r="G107" s="43">
        <f t="shared" si="49"/>
        <v>1.45842459223376E-2</v>
      </c>
      <c r="H107" s="43">
        <f t="shared" si="49"/>
        <v>1.7796559217363669E-2</v>
      </c>
      <c r="I107" s="43">
        <f t="shared" si="49"/>
        <v>0.13861045977307668</v>
      </c>
      <c r="J107" s="43">
        <f t="shared" si="49"/>
        <v>4.5436196071358022E-2</v>
      </c>
      <c r="K107" s="43">
        <f t="shared" si="49"/>
        <v>2.9542116519364066E-2</v>
      </c>
      <c r="L107" s="43">
        <f t="shared" si="49"/>
        <v>2.8451304250732216E-2</v>
      </c>
      <c r="M107" s="43">
        <f t="shared" si="49"/>
        <v>0.18046930694770114</v>
      </c>
      <c r="N107" s="43">
        <f t="shared" si="49"/>
        <v>3.4356291925412488E-5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0.29475818918309915</v>
      </c>
      <c r="D108" s="44">
        <f t="shared" ref="D108:N108" si="50">D106/$O$106</f>
        <v>7.2713552829466913E-2</v>
      </c>
      <c r="E108" s="44">
        <f t="shared" si="50"/>
        <v>5.1076607050217215E-2</v>
      </c>
      <c r="F108" s="44">
        <f t="shared" si="50"/>
        <v>0.24655847320403917</v>
      </c>
      <c r="G108" s="44">
        <f t="shared" si="50"/>
        <v>1.7795850778961488E-2</v>
      </c>
      <c r="H108" s="44">
        <f t="shared" si="50"/>
        <v>2.1715549360428861E-2</v>
      </c>
      <c r="I108" s="44">
        <f t="shared" si="50"/>
        <v>0.16913394574256804</v>
      </c>
      <c r="J108" s="44">
        <f t="shared" si="50"/>
        <v>5.5441725925033152E-2</v>
      </c>
      <c r="K108" s="44">
        <f t="shared" si="50"/>
        <v>3.6047602328762099E-2</v>
      </c>
      <c r="L108" s="44">
        <f t="shared" si="50"/>
        <v>3.4716581687461681E-2</v>
      </c>
      <c r="M108" s="44"/>
      <c r="N108" s="44">
        <f t="shared" si="50"/>
        <v>4.1921909962217875E-5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28.10 Masaka-Maya</vt:lpstr>
      <vt:lpstr>28.10 Maya-Masaka</vt:lpstr>
      <vt:lpstr>29.10 Masaka-Maya</vt:lpstr>
      <vt:lpstr>29.10 Maya-Masaka</vt:lpstr>
      <vt:lpstr>30.10 Masaka-Maya</vt:lpstr>
      <vt:lpstr>30.10 Maya-Masaka</vt:lpstr>
      <vt:lpstr>31.10 Masaka-Maya-24h</vt:lpstr>
      <vt:lpstr>31.10 Maya-Masaka-24h</vt:lpstr>
      <vt:lpstr>01.11 Masaka-Maya</vt:lpstr>
      <vt:lpstr>01.11 Maya-Masaka</vt:lpstr>
      <vt:lpstr>02.11 Masaka-Maya-24h</vt:lpstr>
      <vt:lpstr>02.11 Maya-Masaka-24h</vt:lpstr>
      <vt:lpstr>03.11 Masaka-Maya</vt:lpstr>
      <vt:lpstr>03.11 Maya-Masaka</vt:lpstr>
      <vt:lpstr>Avg Week Masaka-Maya</vt:lpstr>
      <vt:lpstr>Avg Week Maya-Masaka</vt:lpstr>
      <vt:lpstr>Avg Week Masaka-Maya-2Dir</vt:lpstr>
      <vt:lpstr>'01.11 Masaka-Maya'!Print_Area</vt:lpstr>
      <vt:lpstr>'01.11 Maya-Masaka'!Print_Area</vt:lpstr>
      <vt:lpstr>'02.11 Masaka-Maya-24h'!Print_Area</vt:lpstr>
      <vt:lpstr>'02.11 Maya-Masaka-24h'!Print_Area</vt:lpstr>
      <vt:lpstr>'03.11 Masaka-Maya'!Print_Area</vt:lpstr>
      <vt:lpstr>'03.11 Maya-Masaka'!Print_Area</vt:lpstr>
      <vt:lpstr>'28.10 Masaka-Maya'!Print_Area</vt:lpstr>
      <vt:lpstr>'28.10 Maya-Masaka'!Print_Area</vt:lpstr>
      <vt:lpstr>'29.10 Masaka-Maya'!Print_Area</vt:lpstr>
      <vt:lpstr>'29.10 Maya-Masaka'!Print_Area</vt:lpstr>
      <vt:lpstr>'30.10 Masaka-Maya'!Print_Area</vt:lpstr>
      <vt:lpstr>'30.10 Maya-Masaka'!Print_Area</vt:lpstr>
      <vt:lpstr>'31.10 Masaka-Maya-24h'!Print_Area</vt:lpstr>
      <vt:lpstr>'31.10 Maya-Masaka-24h'!Print_Area</vt:lpstr>
      <vt:lpstr>'Avg Week Masaka-Maya'!Print_Area</vt:lpstr>
      <vt:lpstr>'Avg Week Masaka-Maya-2Dir'!Print_Area</vt:lpstr>
      <vt:lpstr>'Avg Week Maya-Masaka'!Print_Area</vt:lpstr>
      <vt:lpstr>'01.11 Masaka-Maya'!Print_Titles</vt:lpstr>
      <vt:lpstr>'01.11 Maya-Masaka'!Print_Titles</vt:lpstr>
      <vt:lpstr>'02.11 Masaka-Maya-24h'!Print_Titles</vt:lpstr>
      <vt:lpstr>'02.11 Maya-Masaka-24h'!Print_Titles</vt:lpstr>
      <vt:lpstr>'03.11 Masaka-Maya'!Print_Titles</vt:lpstr>
      <vt:lpstr>'03.11 Maya-Masaka'!Print_Titles</vt:lpstr>
      <vt:lpstr>'28.10 Masaka-Maya'!Print_Titles</vt:lpstr>
      <vt:lpstr>'28.10 Maya-Masaka'!Print_Titles</vt:lpstr>
      <vt:lpstr>'29.10 Masaka-Maya'!Print_Titles</vt:lpstr>
      <vt:lpstr>'29.10 Maya-Masaka'!Print_Titles</vt:lpstr>
      <vt:lpstr>'30.10 Masaka-Maya'!Print_Titles</vt:lpstr>
      <vt:lpstr>'30.10 Maya-Masaka'!Print_Titles</vt:lpstr>
      <vt:lpstr>'31.10 Masaka-Maya-24h'!Print_Titles</vt:lpstr>
      <vt:lpstr>'31.10 Maya-Masaka-24h'!Print_Titles</vt:lpstr>
      <vt:lpstr>'Avg Week Masaka-Maya'!Print_Titles</vt:lpstr>
      <vt:lpstr>'Avg Week Masaka-Maya-2Dir'!Print_Titles</vt:lpstr>
      <vt:lpstr>'Avg Week Maya-Masaka'!Print_Titles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2020-01-16T11:29:37Z</dcterms:modified>
</cp:coreProperties>
</file>