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13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14.xml" ContentType="application/vnd.openxmlformats-officedocument.drawing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drawings/drawing15.xml" ContentType="application/vnd.openxmlformats-officedocument.drawing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drawings/drawing16.xml" ContentType="application/vnd.openxmlformats-officedocument.drawing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drawings/drawing17.xml" ContentType="application/vnd.openxmlformats-officedocument.drawing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68-MATUGGA-KASANGATI ROAD\MCC\"/>
    </mc:Choice>
  </mc:AlternateContent>
  <xr:revisionPtr revIDLastSave="0" documentId="13_ncr:1_{F9B5D8C9-F6A6-4D9E-8DFA-B58C442A22B7}" xr6:coauthVersionLast="45" xr6:coauthVersionMax="45" xr10:uidLastSave="{00000000-0000-0000-0000-000000000000}"/>
  <bookViews>
    <workbookView xWindow="-120" yWindow="-120" windowWidth="20730" windowHeight="11160" tabRatio="940" firstSheet="14" activeTab="16" xr2:uid="{00000000-000D-0000-FFFF-FFFF00000000}"/>
  </bookViews>
  <sheets>
    <sheet name="23.09- Kasangati-Matuga" sheetId="93" r:id="rId1"/>
    <sheet name="23.09- Matuga -Kasangati" sheetId="94" r:id="rId2"/>
    <sheet name="24.09 Kasangati-Matugga" sheetId="95" r:id="rId3"/>
    <sheet name="24.09 Matugga-Kasangati" sheetId="96" r:id="rId4"/>
    <sheet name="25.09 Kasangati-Matugga" sheetId="97" r:id="rId5"/>
    <sheet name="25.09 Matugga-Kasangati" sheetId="98" r:id="rId6"/>
    <sheet name="26.09 Kasangati-Matugga-24h" sheetId="101" r:id="rId7"/>
    <sheet name="26.09 Matugga-Kasangati-24h" sheetId="109" r:id="rId8"/>
    <sheet name="27.09 Kasangati-Matugga" sheetId="100" r:id="rId9"/>
    <sheet name="27.09 Matugga-Kasangati" sheetId="99" r:id="rId10"/>
    <sheet name="28.09 Kasangati-Matugga-24h" sheetId="105" r:id="rId11"/>
    <sheet name="28.09 Matugga-Kasangati-24h" sheetId="110" r:id="rId12"/>
    <sheet name="29.09 Kasangati-Matugga" sheetId="103" r:id="rId13"/>
    <sheet name="29.09 Matugga-Kasangati" sheetId="104" r:id="rId14"/>
    <sheet name="Avg Week Kaasangati-Matugga" sheetId="107" r:id="rId15"/>
    <sheet name="Avg Week Matugga-Kasangati" sheetId="108" r:id="rId16"/>
    <sheet name="Avg Week Kasangati-Matugga-2Dir" sheetId="111" r:id="rId17"/>
  </sheets>
  <externalReferences>
    <externalReference r:id="rId18"/>
  </externalReferences>
  <definedNames>
    <definedName name="_xlnm.Print_Area" localSheetId="0">'23.09- Kasangati-Matuga'!$A$1:$AF$60</definedName>
    <definedName name="_xlnm.Print_Area" localSheetId="1">'23.09- Matuga -Kasangati'!$A$1:$AF$60</definedName>
    <definedName name="_xlnm.Print_Area" localSheetId="2">'24.09 Kasangati-Matugga'!$A$1:$AF$60</definedName>
    <definedName name="_xlnm.Print_Area" localSheetId="3">'24.09 Matugga-Kasangati'!$A$1:$AF$60</definedName>
    <definedName name="_xlnm.Print_Area" localSheetId="4">'25.09 Kasangati-Matugga'!$A$1:$AF$60</definedName>
    <definedName name="_xlnm.Print_Area" localSheetId="5">'25.09 Matugga-Kasangati'!$A$1:$AF$60</definedName>
    <definedName name="_xlnm.Print_Area" localSheetId="6">'26.09 Kasangati-Matugga-24h'!$A$1:$AF$108</definedName>
    <definedName name="_xlnm.Print_Area" localSheetId="7">'26.09 Matugga-Kasangati-24h'!$A$1:$AF$108</definedName>
    <definedName name="_xlnm.Print_Area" localSheetId="8">'27.09 Kasangati-Matugga'!$A$1:$AF$60</definedName>
    <definedName name="_xlnm.Print_Area" localSheetId="9">'27.09 Matugga-Kasangati'!$A$1:$AF$60</definedName>
    <definedName name="_xlnm.Print_Area" localSheetId="10">'28.09 Kasangati-Matugga-24h'!$A$1:$AF$108</definedName>
    <definedName name="_xlnm.Print_Area" localSheetId="11">'28.09 Matugga-Kasangati-24h'!$A$1:$AF$108</definedName>
    <definedName name="_xlnm.Print_Area" localSheetId="12">'29.09 Kasangati-Matugga'!$A$1:$AF$60</definedName>
    <definedName name="_xlnm.Print_Area" localSheetId="13">'29.09 Matugga-Kasangati'!$A$1:$AF$60</definedName>
    <definedName name="_xlnm.Print_Area" localSheetId="14">'Avg Week Kaasangati-Matugga'!$A$1:$AF$108</definedName>
    <definedName name="_xlnm.Print_Area" localSheetId="16">'Avg Week Kasangati-Matugga-2Dir'!$A$1:$AF$108</definedName>
    <definedName name="_xlnm.Print_Area" localSheetId="15">'Avg Week Matugga-Kasangati'!$A$1:$AF$108</definedName>
    <definedName name="_xlnm.Print_Titles" localSheetId="0">'23.09- Kasangati-Matuga'!$1:$8</definedName>
    <definedName name="_xlnm.Print_Titles" localSheetId="1">'23.09- Matuga -Kasangati'!$1:$8</definedName>
    <definedName name="_xlnm.Print_Titles" localSheetId="2">'24.09 Kasangati-Matugga'!$1:$8</definedName>
    <definedName name="_xlnm.Print_Titles" localSheetId="3">'24.09 Matugga-Kasangati'!$1:$8</definedName>
    <definedName name="_xlnm.Print_Titles" localSheetId="4">'25.09 Kasangati-Matugga'!$1:$8</definedName>
    <definedName name="_xlnm.Print_Titles" localSheetId="5">'25.09 Matugga-Kasangati'!$1:$8</definedName>
    <definedName name="_xlnm.Print_Titles" localSheetId="6">'26.09 Kasangati-Matugga-24h'!$1:$8</definedName>
    <definedName name="_xlnm.Print_Titles" localSheetId="7">'26.09 Matugga-Kasangati-24h'!$1:$8</definedName>
    <definedName name="_xlnm.Print_Titles" localSheetId="8">'27.09 Kasangati-Matugga'!$1:$8</definedName>
    <definedName name="_xlnm.Print_Titles" localSheetId="9">'27.09 Matugga-Kasangati'!$1:$8</definedName>
    <definedName name="_xlnm.Print_Titles" localSheetId="10">'28.09 Kasangati-Matugga-24h'!$1:$8</definedName>
    <definedName name="_xlnm.Print_Titles" localSheetId="11">'28.09 Matugga-Kasangati-24h'!$1:$8</definedName>
    <definedName name="_xlnm.Print_Titles" localSheetId="12">'29.09 Kasangati-Matugga'!$1:$8</definedName>
    <definedName name="_xlnm.Print_Titles" localSheetId="13">'29.09 Matugga-Kasangati'!$1:$8</definedName>
    <definedName name="_xlnm.Print_Titles" localSheetId="14">'Avg Week Kaasangati-Matugga'!$1:$8</definedName>
    <definedName name="_xlnm.Print_Titles" localSheetId="16">'Avg Week Kasangati-Matugga-2Dir'!$1:$8</definedName>
    <definedName name="_xlnm.Print_Titles" localSheetId="15">'Avg Week Matugga-Kasangati'!$1:$8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8" i="108" l="1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W26" i="108" s="1"/>
  <c r="H74" i="108"/>
  <c r="X26" i="108" s="1"/>
  <c r="I74" i="108"/>
  <c r="Y26" i="108" s="1"/>
  <c r="J74" i="108"/>
  <c r="Z26" i="108" s="1"/>
  <c r="K74" i="108"/>
  <c r="AA26" i="108" s="1"/>
  <c r="L74" i="108"/>
  <c r="AB26" i="108" s="1"/>
  <c r="M74" i="108"/>
  <c r="AC26" i="108" s="1"/>
  <c r="N74" i="108"/>
  <c r="AD26" i="108" s="1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T27" i="108" s="1"/>
  <c r="E78" i="108"/>
  <c r="U27" i="108" s="1"/>
  <c r="F78" i="108"/>
  <c r="V27" i="108" s="1"/>
  <c r="G78" i="108"/>
  <c r="W27" i="108" s="1"/>
  <c r="H78" i="108"/>
  <c r="X27" i="108" s="1"/>
  <c r="I78" i="108"/>
  <c r="Y27" i="108" s="1"/>
  <c r="J78" i="108"/>
  <c r="Z27" i="108" s="1"/>
  <c r="K78" i="108"/>
  <c r="AA27" i="108" s="1"/>
  <c r="L78" i="108"/>
  <c r="AB27" i="108" s="1"/>
  <c r="M78" i="108"/>
  <c r="AC27" i="108" s="1"/>
  <c r="N78" i="108"/>
  <c r="AD27" i="108" s="1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T28" i="108" s="1"/>
  <c r="E82" i="108"/>
  <c r="U28" i="108" s="1"/>
  <c r="F82" i="108"/>
  <c r="V28" i="108" s="1"/>
  <c r="G82" i="108"/>
  <c r="W28" i="108" s="1"/>
  <c r="H82" i="108"/>
  <c r="X28" i="108" s="1"/>
  <c r="I82" i="108"/>
  <c r="Y28" i="108" s="1"/>
  <c r="J82" i="108"/>
  <c r="Z28" i="108" s="1"/>
  <c r="K82" i="108"/>
  <c r="AA28" i="108" s="1"/>
  <c r="L82" i="108"/>
  <c r="AB28" i="108" s="1"/>
  <c r="M82" i="108"/>
  <c r="AC28" i="108" s="1"/>
  <c r="N82" i="108"/>
  <c r="AD28" i="108" s="1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T29" i="108" s="1"/>
  <c r="E86" i="108"/>
  <c r="U29" i="108" s="1"/>
  <c r="F86" i="108"/>
  <c r="V29" i="108" s="1"/>
  <c r="G86" i="108"/>
  <c r="W29" i="108" s="1"/>
  <c r="H86" i="108"/>
  <c r="X29" i="108" s="1"/>
  <c r="I86" i="108"/>
  <c r="Y29" i="108" s="1"/>
  <c r="J86" i="108"/>
  <c r="Z29" i="108" s="1"/>
  <c r="K86" i="108"/>
  <c r="AA29" i="108" s="1"/>
  <c r="L86" i="108"/>
  <c r="AB29" i="108" s="1"/>
  <c r="M86" i="108"/>
  <c r="AC29" i="108" s="1"/>
  <c r="N86" i="108"/>
  <c r="AD29" i="108" s="1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T30" i="108" s="1"/>
  <c r="E90" i="108"/>
  <c r="U30" i="108" s="1"/>
  <c r="F90" i="108"/>
  <c r="V30" i="108" s="1"/>
  <c r="G90" i="108"/>
  <c r="W30" i="108" s="1"/>
  <c r="H90" i="108"/>
  <c r="X30" i="108" s="1"/>
  <c r="I90" i="108"/>
  <c r="Y30" i="108" s="1"/>
  <c r="J90" i="108"/>
  <c r="Z30" i="108" s="1"/>
  <c r="K90" i="108"/>
  <c r="AA30" i="108" s="1"/>
  <c r="L90" i="108"/>
  <c r="AB30" i="108" s="1"/>
  <c r="M90" i="108"/>
  <c r="AC30" i="108" s="1"/>
  <c r="N90" i="108"/>
  <c r="AD30" i="108" s="1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T31" i="108" s="1"/>
  <c r="E94" i="108"/>
  <c r="U31" i="108" s="1"/>
  <c r="F94" i="108"/>
  <c r="V31" i="108" s="1"/>
  <c r="G94" i="108"/>
  <c r="W31" i="108" s="1"/>
  <c r="H94" i="108"/>
  <c r="X31" i="108" s="1"/>
  <c r="I94" i="108"/>
  <c r="Y31" i="108" s="1"/>
  <c r="J94" i="108"/>
  <c r="Z31" i="108" s="1"/>
  <c r="K94" i="108"/>
  <c r="AA31" i="108" s="1"/>
  <c r="L94" i="108"/>
  <c r="AB31" i="108" s="1"/>
  <c r="M94" i="108"/>
  <c r="AC31" i="108" s="1"/>
  <c r="N94" i="108"/>
  <c r="AD31" i="108" s="1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T32" i="108" s="1"/>
  <c r="E98" i="108"/>
  <c r="U32" i="108" s="1"/>
  <c r="F98" i="108"/>
  <c r="V32" i="108" s="1"/>
  <c r="G98" i="108"/>
  <c r="W32" i="108" s="1"/>
  <c r="H98" i="108"/>
  <c r="X32" i="108" s="1"/>
  <c r="I98" i="108"/>
  <c r="Y32" i="108" s="1"/>
  <c r="J98" i="108"/>
  <c r="Z32" i="108" s="1"/>
  <c r="K98" i="108"/>
  <c r="AA32" i="108" s="1"/>
  <c r="L98" i="108"/>
  <c r="AB32" i="108" s="1"/>
  <c r="M98" i="108"/>
  <c r="AC32" i="108" s="1"/>
  <c r="N98" i="108"/>
  <c r="AD32" i="108" s="1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T33" i="108" s="1"/>
  <c r="E102" i="108"/>
  <c r="U33" i="108" s="1"/>
  <c r="F102" i="108"/>
  <c r="V33" i="108" s="1"/>
  <c r="G102" i="108"/>
  <c r="W33" i="108" s="1"/>
  <c r="H102" i="108"/>
  <c r="X33" i="108" s="1"/>
  <c r="I102" i="108"/>
  <c r="Y33" i="108" s="1"/>
  <c r="J102" i="108"/>
  <c r="Z33" i="108" s="1"/>
  <c r="K102" i="108"/>
  <c r="AA33" i="108" s="1"/>
  <c r="L102" i="108"/>
  <c r="AB33" i="108" s="1"/>
  <c r="M102" i="108"/>
  <c r="AC33" i="108" s="1"/>
  <c r="N102" i="108"/>
  <c r="AD33" i="108" s="1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P59" i="108" s="1"/>
  <c r="C60" i="108"/>
  <c r="O60" i="108" s="1"/>
  <c r="C61" i="108"/>
  <c r="P61" i="108" s="1"/>
  <c r="C62" i="108"/>
  <c r="O62" i="108" s="1"/>
  <c r="C63" i="108"/>
  <c r="P63" i="108" s="1"/>
  <c r="C64" i="108"/>
  <c r="O64" i="108" s="1"/>
  <c r="C65" i="108"/>
  <c r="P65" i="108" s="1"/>
  <c r="C66" i="108"/>
  <c r="O66" i="108" s="1"/>
  <c r="C67" i="108"/>
  <c r="P67" i="108" s="1"/>
  <c r="C68" i="108"/>
  <c r="O68" i="108" s="1"/>
  <c r="C69" i="108"/>
  <c r="P69" i="108" s="1"/>
  <c r="C70" i="108"/>
  <c r="S25" i="108" s="1"/>
  <c r="C71" i="108"/>
  <c r="P71" i="108" s="1"/>
  <c r="C72" i="108"/>
  <c r="O72" i="108" s="1"/>
  <c r="C73" i="108"/>
  <c r="P73" i="108" s="1"/>
  <c r="C74" i="108"/>
  <c r="S26" i="108" s="1"/>
  <c r="C75" i="108"/>
  <c r="P75" i="108" s="1"/>
  <c r="C76" i="108"/>
  <c r="O76" i="108" s="1"/>
  <c r="C77" i="108"/>
  <c r="P77" i="108" s="1"/>
  <c r="C78" i="108"/>
  <c r="O78" i="108" s="1"/>
  <c r="C79" i="108"/>
  <c r="P79" i="108" s="1"/>
  <c r="C80" i="108"/>
  <c r="O80" i="108" s="1"/>
  <c r="C81" i="108"/>
  <c r="P81" i="108" s="1"/>
  <c r="C82" i="108"/>
  <c r="O82" i="108" s="1"/>
  <c r="C83" i="108"/>
  <c r="P83" i="108" s="1"/>
  <c r="C84" i="108"/>
  <c r="O84" i="108" s="1"/>
  <c r="C85" i="108"/>
  <c r="P85" i="108" s="1"/>
  <c r="C86" i="108"/>
  <c r="S29" i="108" s="1"/>
  <c r="C87" i="108"/>
  <c r="P87" i="108" s="1"/>
  <c r="C88" i="108"/>
  <c r="O88" i="108" s="1"/>
  <c r="C89" i="108"/>
  <c r="P89" i="108" s="1"/>
  <c r="C90" i="108"/>
  <c r="S30" i="108" s="1"/>
  <c r="C91" i="108"/>
  <c r="P91" i="108" s="1"/>
  <c r="C92" i="108"/>
  <c r="O92" i="108" s="1"/>
  <c r="C93" i="108"/>
  <c r="P93" i="108" s="1"/>
  <c r="C94" i="108"/>
  <c r="O94" i="108" s="1"/>
  <c r="C95" i="108"/>
  <c r="P95" i="108" s="1"/>
  <c r="C96" i="108"/>
  <c r="O96" i="108" s="1"/>
  <c r="C97" i="108"/>
  <c r="P97" i="108" s="1"/>
  <c r="C98" i="108"/>
  <c r="O98" i="108" s="1"/>
  <c r="C99" i="108"/>
  <c r="P99" i="108" s="1"/>
  <c r="C100" i="108"/>
  <c r="O100" i="108" s="1"/>
  <c r="C101" i="108"/>
  <c r="P101" i="108" s="1"/>
  <c r="C102" i="108"/>
  <c r="S33" i="108" s="1"/>
  <c r="C103" i="108"/>
  <c r="P103" i="108" s="1"/>
  <c r="C104" i="108"/>
  <c r="O104" i="108" s="1"/>
  <c r="C105" i="108"/>
  <c r="P105" i="108" s="1"/>
  <c r="C58" i="108"/>
  <c r="S22" i="108" s="1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D61" i="111" s="1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N61" i="111" s="1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E74" i="107"/>
  <c r="F74" i="107"/>
  <c r="F74" i="111" s="1"/>
  <c r="G74" i="107"/>
  <c r="H74" i="107"/>
  <c r="H74" i="111" s="1"/>
  <c r="I74" i="107"/>
  <c r="I74" i="111" s="1"/>
  <c r="J74" i="107"/>
  <c r="J74" i="111" s="1"/>
  <c r="K74" i="107"/>
  <c r="K74" i="111" s="1"/>
  <c r="L74" i="107"/>
  <c r="L74" i="111" s="1"/>
  <c r="M74" i="107"/>
  <c r="M74" i="111" s="1"/>
  <c r="N74" i="107"/>
  <c r="N74" i="111" s="1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D78" i="111" s="1"/>
  <c r="E78" i="107"/>
  <c r="E78" i="111" s="1"/>
  <c r="F78" i="107"/>
  <c r="F78" i="111" s="1"/>
  <c r="G78" i="107"/>
  <c r="G78" i="111" s="1"/>
  <c r="H78" i="107"/>
  <c r="H78" i="111" s="1"/>
  <c r="I78" i="107"/>
  <c r="I78" i="111" s="1"/>
  <c r="J78" i="107"/>
  <c r="J78" i="111" s="1"/>
  <c r="K78" i="107"/>
  <c r="K78" i="111" s="1"/>
  <c r="L78" i="107"/>
  <c r="L78" i="111" s="1"/>
  <c r="M78" i="107"/>
  <c r="M78" i="111" s="1"/>
  <c r="N78" i="107"/>
  <c r="N78" i="111" s="1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D82" i="111" s="1"/>
  <c r="E82" i="107"/>
  <c r="E82" i="111" s="1"/>
  <c r="F82" i="107"/>
  <c r="F82" i="111" s="1"/>
  <c r="G82" i="107"/>
  <c r="G82" i="111" s="1"/>
  <c r="H82" i="107"/>
  <c r="H82" i="111" s="1"/>
  <c r="I82" i="107"/>
  <c r="I82" i="111" s="1"/>
  <c r="J82" i="107"/>
  <c r="J82" i="111" s="1"/>
  <c r="K82" i="107"/>
  <c r="K82" i="111" s="1"/>
  <c r="L82" i="107"/>
  <c r="L82" i="111" s="1"/>
  <c r="M82" i="107"/>
  <c r="M82" i="111" s="1"/>
  <c r="N82" i="107"/>
  <c r="N82" i="111" s="1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D86" i="111" s="1"/>
  <c r="E86" i="107"/>
  <c r="E86" i="111" s="1"/>
  <c r="F86" i="107"/>
  <c r="F86" i="111" s="1"/>
  <c r="G86" i="107"/>
  <c r="G86" i="111" s="1"/>
  <c r="H86" i="107"/>
  <c r="H86" i="111" s="1"/>
  <c r="I86" i="107"/>
  <c r="I86" i="111" s="1"/>
  <c r="J86" i="107"/>
  <c r="J86" i="111" s="1"/>
  <c r="K86" i="107"/>
  <c r="K86" i="111" s="1"/>
  <c r="L86" i="107"/>
  <c r="L86" i="111" s="1"/>
  <c r="M86" i="107"/>
  <c r="M86" i="111" s="1"/>
  <c r="N86" i="107"/>
  <c r="N86" i="111" s="1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D90" i="111" s="1"/>
  <c r="E90" i="107"/>
  <c r="E90" i="111" s="1"/>
  <c r="F90" i="107"/>
  <c r="F90" i="111" s="1"/>
  <c r="G90" i="107"/>
  <c r="G90" i="111" s="1"/>
  <c r="H90" i="107"/>
  <c r="H90" i="111" s="1"/>
  <c r="I90" i="107"/>
  <c r="I90" i="111" s="1"/>
  <c r="J90" i="107"/>
  <c r="J90" i="111" s="1"/>
  <c r="K90" i="107"/>
  <c r="K90" i="111" s="1"/>
  <c r="L90" i="107"/>
  <c r="L90" i="111" s="1"/>
  <c r="M90" i="107"/>
  <c r="M90" i="111" s="1"/>
  <c r="N90" i="107"/>
  <c r="N90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D94" i="111" s="1"/>
  <c r="E94" i="107"/>
  <c r="E94" i="111" s="1"/>
  <c r="F94" i="107"/>
  <c r="F94" i="111" s="1"/>
  <c r="G94" i="107"/>
  <c r="G94" i="111" s="1"/>
  <c r="H94" i="107"/>
  <c r="H94" i="111" s="1"/>
  <c r="I94" i="107"/>
  <c r="I94" i="111" s="1"/>
  <c r="J94" i="107"/>
  <c r="J94" i="111" s="1"/>
  <c r="K94" i="107"/>
  <c r="K94" i="111" s="1"/>
  <c r="L94" i="107"/>
  <c r="L94" i="111" s="1"/>
  <c r="M94" i="107"/>
  <c r="M94" i="111" s="1"/>
  <c r="N94" i="107"/>
  <c r="N94" i="111" s="1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D98" i="111" s="1"/>
  <c r="E98" i="107"/>
  <c r="E98" i="111" s="1"/>
  <c r="F98" i="107"/>
  <c r="F98" i="111" s="1"/>
  <c r="G98" i="107"/>
  <c r="G98" i="111" s="1"/>
  <c r="H98" i="107"/>
  <c r="H98" i="111" s="1"/>
  <c r="I98" i="107"/>
  <c r="I98" i="111" s="1"/>
  <c r="J98" i="107"/>
  <c r="J98" i="111" s="1"/>
  <c r="K98" i="107"/>
  <c r="K98" i="111" s="1"/>
  <c r="L98" i="107"/>
  <c r="L98" i="111" s="1"/>
  <c r="M98" i="107"/>
  <c r="M98" i="111" s="1"/>
  <c r="N98" i="107"/>
  <c r="N98" i="111" s="1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D102" i="111" s="1"/>
  <c r="E102" i="107"/>
  <c r="E102" i="111" s="1"/>
  <c r="F102" i="107"/>
  <c r="F102" i="111" s="1"/>
  <c r="G102" i="107"/>
  <c r="G102" i="111" s="1"/>
  <c r="H102" i="107"/>
  <c r="H102" i="111" s="1"/>
  <c r="I102" i="107"/>
  <c r="I102" i="111" s="1"/>
  <c r="J102" i="107"/>
  <c r="J102" i="111" s="1"/>
  <c r="K102" i="107"/>
  <c r="K102" i="111" s="1"/>
  <c r="L102" i="107"/>
  <c r="L102" i="111" s="1"/>
  <c r="M102" i="107"/>
  <c r="M102" i="111" s="1"/>
  <c r="N102" i="107"/>
  <c r="N102" i="111" s="1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C59" i="111" s="1"/>
  <c r="C60" i="107"/>
  <c r="C60" i="111" s="1"/>
  <c r="C61" i="107"/>
  <c r="C61" i="111" s="1"/>
  <c r="C62" i="107"/>
  <c r="C62" i="111" s="1"/>
  <c r="C63" i="107"/>
  <c r="C63" i="111" s="1"/>
  <c r="C64" i="107"/>
  <c r="C64" i="111" s="1"/>
  <c r="C65" i="107"/>
  <c r="C65" i="111" s="1"/>
  <c r="C66" i="107"/>
  <c r="C66" i="111" s="1"/>
  <c r="C67" i="107"/>
  <c r="C67" i="111" s="1"/>
  <c r="C68" i="107"/>
  <c r="C68" i="111" s="1"/>
  <c r="C69" i="107"/>
  <c r="C69" i="111" s="1"/>
  <c r="C70" i="107"/>
  <c r="C70" i="111" s="1"/>
  <c r="C71" i="107"/>
  <c r="C71" i="111" s="1"/>
  <c r="C72" i="107"/>
  <c r="C72" i="111" s="1"/>
  <c r="C73" i="107"/>
  <c r="C73" i="111" s="1"/>
  <c r="C74" i="107"/>
  <c r="C74" i="111" s="1"/>
  <c r="C75" i="107"/>
  <c r="C75" i="111" s="1"/>
  <c r="C76" i="107"/>
  <c r="C76" i="111" s="1"/>
  <c r="C77" i="107"/>
  <c r="C77" i="111" s="1"/>
  <c r="C78" i="107"/>
  <c r="C78" i="111" s="1"/>
  <c r="C79" i="107"/>
  <c r="C79" i="111" s="1"/>
  <c r="C80" i="107"/>
  <c r="C80" i="111" s="1"/>
  <c r="C81" i="107"/>
  <c r="C81" i="111" s="1"/>
  <c r="C82" i="107"/>
  <c r="C82" i="111" s="1"/>
  <c r="C83" i="107"/>
  <c r="C83" i="111" s="1"/>
  <c r="C84" i="107"/>
  <c r="C84" i="111" s="1"/>
  <c r="C85" i="107"/>
  <c r="C85" i="111" s="1"/>
  <c r="C86" i="107"/>
  <c r="C86" i="111" s="1"/>
  <c r="C87" i="107"/>
  <c r="C87" i="111" s="1"/>
  <c r="C88" i="107"/>
  <c r="C88" i="111" s="1"/>
  <c r="C89" i="107"/>
  <c r="C89" i="111" s="1"/>
  <c r="C90" i="107"/>
  <c r="C90" i="111" s="1"/>
  <c r="C91" i="107"/>
  <c r="C91" i="111" s="1"/>
  <c r="C92" i="107"/>
  <c r="C92" i="111" s="1"/>
  <c r="C93" i="107"/>
  <c r="C93" i="111" s="1"/>
  <c r="C94" i="107"/>
  <c r="C94" i="111" s="1"/>
  <c r="C95" i="107"/>
  <c r="C95" i="111" s="1"/>
  <c r="C96" i="107"/>
  <c r="C96" i="111" s="1"/>
  <c r="C97" i="107"/>
  <c r="C97" i="111" s="1"/>
  <c r="C98" i="107"/>
  <c r="C98" i="111" s="1"/>
  <c r="C99" i="107"/>
  <c r="C99" i="111" s="1"/>
  <c r="C100" i="107"/>
  <c r="C100" i="111" s="1"/>
  <c r="C101" i="107"/>
  <c r="C101" i="111" s="1"/>
  <c r="C102" i="107"/>
  <c r="C102" i="111" s="1"/>
  <c r="C103" i="107"/>
  <c r="C103" i="111" s="1"/>
  <c r="C104" i="107"/>
  <c r="C104" i="111" s="1"/>
  <c r="C105" i="107"/>
  <c r="C105" i="111" s="1"/>
  <c r="C58" i="107"/>
  <c r="C58" i="111" s="1"/>
  <c r="O99" i="111" l="1"/>
  <c r="P99" i="111"/>
  <c r="O91" i="111"/>
  <c r="P91" i="111"/>
  <c r="O87" i="111"/>
  <c r="P87" i="111"/>
  <c r="O83" i="111"/>
  <c r="P83" i="111"/>
  <c r="O79" i="111"/>
  <c r="P79" i="111"/>
  <c r="O75" i="111"/>
  <c r="P75" i="111"/>
  <c r="O71" i="111"/>
  <c r="P71" i="111"/>
  <c r="O67" i="111"/>
  <c r="P67" i="111"/>
  <c r="O63" i="111"/>
  <c r="P63" i="111"/>
  <c r="O59" i="111"/>
  <c r="P59" i="111"/>
  <c r="AB33" i="111"/>
  <c r="X33" i="111"/>
  <c r="T33" i="111"/>
  <c r="AB32" i="111"/>
  <c r="X32" i="111"/>
  <c r="T32" i="111"/>
  <c r="AB31" i="111"/>
  <c r="X31" i="111"/>
  <c r="T31" i="111"/>
  <c r="AB30" i="111"/>
  <c r="X30" i="111"/>
  <c r="T30" i="111"/>
  <c r="AB29" i="111"/>
  <c r="X29" i="111"/>
  <c r="T29" i="111"/>
  <c r="AB28" i="111"/>
  <c r="X28" i="111"/>
  <c r="T28" i="111"/>
  <c r="AB27" i="111"/>
  <c r="X27" i="111"/>
  <c r="T27" i="111"/>
  <c r="AB26" i="111"/>
  <c r="X26" i="111"/>
  <c r="D74" i="111"/>
  <c r="T26" i="111" s="1"/>
  <c r="T26" i="107"/>
  <c r="L70" i="111"/>
  <c r="AB25" i="111" s="1"/>
  <c r="AB25" i="107"/>
  <c r="H70" i="111"/>
  <c r="X25" i="111" s="1"/>
  <c r="X25" i="107"/>
  <c r="D70" i="111"/>
  <c r="T25" i="111" s="1"/>
  <c r="T25" i="107"/>
  <c r="L66" i="111"/>
  <c r="AB24" i="111" s="1"/>
  <c r="AB24" i="107"/>
  <c r="H66" i="111"/>
  <c r="X24" i="111" s="1"/>
  <c r="X24" i="107"/>
  <c r="D66" i="111"/>
  <c r="T24" i="111" s="1"/>
  <c r="T24" i="107"/>
  <c r="L62" i="111"/>
  <c r="AB23" i="111" s="1"/>
  <c r="AB23" i="107"/>
  <c r="H62" i="111"/>
  <c r="X23" i="111" s="1"/>
  <c r="X23" i="107"/>
  <c r="D62" i="111"/>
  <c r="T23" i="111" s="1"/>
  <c r="T23" i="107"/>
  <c r="L58" i="111"/>
  <c r="AB22" i="111" s="1"/>
  <c r="AB22" i="107"/>
  <c r="H58" i="111"/>
  <c r="X22" i="111" s="1"/>
  <c r="X22" i="107"/>
  <c r="D58" i="111"/>
  <c r="T22" i="111" s="1"/>
  <c r="T22" i="107"/>
  <c r="O105" i="107"/>
  <c r="O103" i="107"/>
  <c r="O101" i="107"/>
  <c r="O99" i="107"/>
  <c r="O97" i="107"/>
  <c r="O95" i="107"/>
  <c r="O93" i="107"/>
  <c r="O91" i="107"/>
  <c r="O89" i="107"/>
  <c r="O87" i="107"/>
  <c r="O85" i="107"/>
  <c r="O83" i="107"/>
  <c r="O81" i="107"/>
  <c r="O79" i="107"/>
  <c r="O77" i="107"/>
  <c r="O75" i="107"/>
  <c r="O73" i="107"/>
  <c r="O71" i="107"/>
  <c r="O69" i="107"/>
  <c r="O67" i="107"/>
  <c r="O65" i="107"/>
  <c r="O63" i="107"/>
  <c r="O61" i="107"/>
  <c r="O59" i="107"/>
  <c r="S23" i="107"/>
  <c r="S27" i="107"/>
  <c r="S31" i="107"/>
  <c r="AA33" i="107"/>
  <c r="W33" i="107"/>
  <c r="AB32" i="107"/>
  <c r="X32" i="107"/>
  <c r="T32" i="107"/>
  <c r="AC31" i="107"/>
  <c r="Y31" i="107"/>
  <c r="U31" i="107"/>
  <c r="AD30" i="107"/>
  <c r="Z30" i="107"/>
  <c r="V30" i="107"/>
  <c r="AA29" i="107"/>
  <c r="W29" i="107"/>
  <c r="AB28" i="107"/>
  <c r="X28" i="107"/>
  <c r="T28" i="107"/>
  <c r="AC27" i="107"/>
  <c r="Y27" i="107"/>
  <c r="U27" i="107"/>
  <c r="AD26" i="107"/>
  <c r="Z26" i="107"/>
  <c r="AE28" i="108"/>
  <c r="S22" i="111"/>
  <c r="S33" i="111"/>
  <c r="O102" i="111"/>
  <c r="AE33" i="111" s="1"/>
  <c r="P102" i="111"/>
  <c r="O98" i="111"/>
  <c r="P98" i="111"/>
  <c r="S32" i="111"/>
  <c r="S31" i="111"/>
  <c r="O94" i="111"/>
  <c r="P94" i="111"/>
  <c r="S30" i="111"/>
  <c r="O90" i="111"/>
  <c r="P90" i="111"/>
  <c r="S29" i="111"/>
  <c r="O86" i="111"/>
  <c r="AE29" i="111" s="1"/>
  <c r="P86" i="111"/>
  <c r="O82" i="111"/>
  <c r="P82" i="111"/>
  <c r="S28" i="111"/>
  <c r="S27" i="111"/>
  <c r="O78" i="111"/>
  <c r="P78" i="111"/>
  <c r="S26" i="111"/>
  <c r="S25" i="111"/>
  <c r="S24" i="111"/>
  <c r="S23" i="111"/>
  <c r="AA33" i="111"/>
  <c r="W33" i="111"/>
  <c r="AA32" i="111"/>
  <c r="W32" i="111"/>
  <c r="AA31" i="111"/>
  <c r="W31" i="111"/>
  <c r="AA30" i="111"/>
  <c r="W30" i="111"/>
  <c r="AA29" i="111"/>
  <c r="W29" i="111"/>
  <c r="AA28" i="111"/>
  <c r="W28" i="111"/>
  <c r="AA27" i="111"/>
  <c r="W27" i="111"/>
  <c r="AA26" i="111"/>
  <c r="G74" i="111"/>
  <c r="W26" i="111" s="1"/>
  <c r="W26" i="107"/>
  <c r="K70" i="111"/>
  <c r="AA25" i="111" s="1"/>
  <c r="AA25" i="107"/>
  <c r="G70" i="111"/>
  <c r="W25" i="111" s="1"/>
  <c r="W25" i="107"/>
  <c r="K66" i="111"/>
  <c r="AA24" i="111" s="1"/>
  <c r="AA24" i="107"/>
  <c r="G66" i="111"/>
  <c r="W24" i="111" s="1"/>
  <c r="W24" i="107"/>
  <c r="K62" i="111"/>
  <c r="AA23" i="111" s="1"/>
  <c r="AA23" i="107"/>
  <c r="G62" i="111"/>
  <c r="W23" i="111" s="1"/>
  <c r="W23" i="107"/>
  <c r="K58" i="111"/>
  <c r="AA22" i="111" s="1"/>
  <c r="AA22" i="107"/>
  <c r="G58" i="111"/>
  <c r="W22" i="111" s="1"/>
  <c r="W22" i="107"/>
  <c r="O58" i="107"/>
  <c r="P104" i="107"/>
  <c r="P102" i="107"/>
  <c r="P100" i="107"/>
  <c r="P98" i="107"/>
  <c r="P96" i="107"/>
  <c r="P94" i="107"/>
  <c r="P92" i="107"/>
  <c r="P90" i="107"/>
  <c r="P88" i="107"/>
  <c r="P86" i="107"/>
  <c r="P84" i="107"/>
  <c r="P82" i="107"/>
  <c r="P80" i="107"/>
  <c r="P78" i="107"/>
  <c r="P76" i="107"/>
  <c r="P74" i="107"/>
  <c r="P72" i="107"/>
  <c r="P70" i="107"/>
  <c r="P68" i="107"/>
  <c r="P66" i="107"/>
  <c r="P64" i="107"/>
  <c r="P62" i="107"/>
  <c r="P60" i="107"/>
  <c r="S24" i="107"/>
  <c r="S28" i="107"/>
  <c r="S32" i="107"/>
  <c r="AD33" i="107"/>
  <c r="Z33" i="107"/>
  <c r="V33" i="107"/>
  <c r="AA32" i="107"/>
  <c r="W32" i="107"/>
  <c r="AB31" i="107"/>
  <c r="X31" i="107"/>
  <c r="T31" i="107"/>
  <c r="AC30" i="107"/>
  <c r="Y30" i="107"/>
  <c r="U30" i="107"/>
  <c r="AD29" i="107"/>
  <c r="Z29" i="107"/>
  <c r="V29" i="107"/>
  <c r="AA28" i="107"/>
  <c r="W28" i="107"/>
  <c r="AB27" i="107"/>
  <c r="X27" i="107"/>
  <c r="T27" i="107"/>
  <c r="AC26" i="107"/>
  <c r="Y26" i="107"/>
  <c r="O103" i="111"/>
  <c r="P103" i="111"/>
  <c r="O105" i="111"/>
  <c r="P105" i="111"/>
  <c r="O97" i="111"/>
  <c r="P97" i="111"/>
  <c r="O89" i="111"/>
  <c r="P89" i="111"/>
  <c r="O85" i="111"/>
  <c r="P85" i="111"/>
  <c r="O81" i="111"/>
  <c r="P81" i="111"/>
  <c r="O77" i="111"/>
  <c r="P77" i="111"/>
  <c r="O73" i="111"/>
  <c r="P73" i="111"/>
  <c r="O69" i="111"/>
  <c r="P69" i="111"/>
  <c r="O65" i="111"/>
  <c r="P65" i="111"/>
  <c r="O61" i="111"/>
  <c r="P61" i="111"/>
  <c r="AD33" i="111"/>
  <c r="Z33" i="111"/>
  <c r="V33" i="111"/>
  <c r="AD32" i="111"/>
  <c r="Z32" i="111"/>
  <c r="V32" i="111"/>
  <c r="AD31" i="111"/>
  <c r="Z31" i="111"/>
  <c r="V31" i="111"/>
  <c r="AD30" i="111"/>
  <c r="Z30" i="111"/>
  <c r="V30" i="111"/>
  <c r="AD29" i="111"/>
  <c r="Z29" i="111"/>
  <c r="V29" i="111"/>
  <c r="AD28" i="111"/>
  <c r="Z28" i="111"/>
  <c r="V28" i="111"/>
  <c r="AD27" i="111"/>
  <c r="Z27" i="111"/>
  <c r="V27" i="111"/>
  <c r="AD26" i="111"/>
  <c r="Z26" i="111"/>
  <c r="V26" i="111"/>
  <c r="N70" i="111"/>
  <c r="AD25" i="111" s="1"/>
  <c r="AD25" i="107"/>
  <c r="J70" i="111"/>
  <c r="Z25" i="111" s="1"/>
  <c r="Z25" i="107"/>
  <c r="F70" i="111"/>
  <c r="V25" i="111" s="1"/>
  <c r="V25" i="107"/>
  <c r="N66" i="111"/>
  <c r="AD24" i="111" s="1"/>
  <c r="AD24" i="107"/>
  <c r="J66" i="111"/>
  <c r="Z24" i="111" s="1"/>
  <c r="Z24" i="107"/>
  <c r="F66" i="111"/>
  <c r="V24" i="111" s="1"/>
  <c r="V24" i="107"/>
  <c r="N62" i="111"/>
  <c r="AD23" i="111" s="1"/>
  <c r="AD23" i="107"/>
  <c r="J62" i="111"/>
  <c r="Z23" i="111" s="1"/>
  <c r="Z23" i="107"/>
  <c r="F62" i="111"/>
  <c r="V23" i="111" s="1"/>
  <c r="V23" i="107"/>
  <c r="N58" i="111"/>
  <c r="AD22" i="111" s="1"/>
  <c r="AD22" i="107"/>
  <c r="J58" i="111"/>
  <c r="Z22" i="111" s="1"/>
  <c r="Z22" i="107"/>
  <c r="F58" i="111"/>
  <c r="V22" i="111" s="1"/>
  <c r="V22" i="107"/>
  <c r="P58" i="107"/>
  <c r="O104" i="107"/>
  <c r="O102" i="107"/>
  <c r="O100" i="107"/>
  <c r="O98" i="107"/>
  <c r="O96" i="107"/>
  <c r="O94" i="107"/>
  <c r="O92" i="107"/>
  <c r="O90" i="107"/>
  <c r="O88" i="107"/>
  <c r="O86" i="107"/>
  <c r="O84" i="107"/>
  <c r="O82" i="107"/>
  <c r="O80" i="107"/>
  <c r="O78" i="107"/>
  <c r="O76" i="107"/>
  <c r="O74" i="107"/>
  <c r="O72" i="107"/>
  <c r="O70" i="107"/>
  <c r="O68" i="107"/>
  <c r="O66" i="107"/>
  <c r="O64" i="107"/>
  <c r="O62" i="107"/>
  <c r="O60" i="107"/>
  <c r="S25" i="107"/>
  <c r="S29" i="107"/>
  <c r="S33" i="107"/>
  <c r="AC33" i="107"/>
  <c r="Y33" i="107"/>
  <c r="U33" i="107"/>
  <c r="AD32" i="107"/>
  <c r="Z32" i="107"/>
  <c r="V32" i="107"/>
  <c r="AA31" i="107"/>
  <c r="W31" i="107"/>
  <c r="AB30" i="107"/>
  <c r="X30" i="107"/>
  <c r="T30" i="107"/>
  <c r="AC29" i="107"/>
  <c r="Y29" i="107"/>
  <c r="U29" i="107"/>
  <c r="AD28" i="107"/>
  <c r="Z28" i="107"/>
  <c r="V28" i="107"/>
  <c r="AA27" i="107"/>
  <c r="W27" i="107"/>
  <c r="AB26" i="107"/>
  <c r="X26" i="107"/>
  <c r="O95" i="111"/>
  <c r="P95" i="111"/>
  <c r="O101" i="111"/>
  <c r="P101" i="111"/>
  <c r="O93" i="111"/>
  <c r="P93" i="111"/>
  <c r="O104" i="111"/>
  <c r="P104" i="111"/>
  <c r="O100" i="111"/>
  <c r="P100" i="111"/>
  <c r="O96" i="111"/>
  <c r="P96" i="111"/>
  <c r="O92" i="111"/>
  <c r="P92" i="111"/>
  <c r="O88" i="111"/>
  <c r="P88" i="111"/>
  <c r="O84" i="111"/>
  <c r="P84" i="111"/>
  <c r="O80" i="111"/>
  <c r="P80" i="111"/>
  <c r="O76" i="111"/>
  <c r="P76" i="111"/>
  <c r="O72" i="111"/>
  <c r="P72" i="111"/>
  <c r="O68" i="111"/>
  <c r="P68" i="111"/>
  <c r="O64" i="111"/>
  <c r="P64" i="111"/>
  <c r="O60" i="111"/>
  <c r="P60" i="111"/>
  <c r="AC33" i="111"/>
  <c r="Y33" i="111"/>
  <c r="U33" i="111"/>
  <c r="AC32" i="111"/>
  <c r="Y32" i="111"/>
  <c r="U32" i="111"/>
  <c r="AC31" i="111"/>
  <c r="Y31" i="111"/>
  <c r="U31" i="111"/>
  <c r="AC30" i="111"/>
  <c r="Y30" i="111"/>
  <c r="U30" i="111"/>
  <c r="AC29" i="111"/>
  <c r="Y29" i="111"/>
  <c r="U29" i="111"/>
  <c r="AC28" i="111"/>
  <c r="Y28" i="111"/>
  <c r="U28" i="111"/>
  <c r="AC27" i="111"/>
  <c r="Y27" i="111"/>
  <c r="U27" i="111"/>
  <c r="AC26" i="111"/>
  <c r="Y26" i="111"/>
  <c r="E74" i="111"/>
  <c r="U26" i="111" s="1"/>
  <c r="U26" i="107"/>
  <c r="M70" i="111"/>
  <c r="AC25" i="111" s="1"/>
  <c r="AC25" i="107"/>
  <c r="I70" i="111"/>
  <c r="Y25" i="111" s="1"/>
  <c r="Y25" i="107"/>
  <c r="E70" i="111"/>
  <c r="U25" i="111" s="1"/>
  <c r="U25" i="107"/>
  <c r="M66" i="111"/>
  <c r="AC24" i="111" s="1"/>
  <c r="AC24" i="107"/>
  <c r="I66" i="111"/>
  <c r="Y24" i="111" s="1"/>
  <c r="Y24" i="107"/>
  <c r="E66" i="111"/>
  <c r="U24" i="111" s="1"/>
  <c r="U24" i="107"/>
  <c r="M62" i="111"/>
  <c r="AC23" i="111" s="1"/>
  <c r="AC23" i="107"/>
  <c r="I62" i="111"/>
  <c r="Y23" i="111" s="1"/>
  <c r="Y23" i="107"/>
  <c r="E62" i="111"/>
  <c r="U23" i="111" s="1"/>
  <c r="U23" i="107"/>
  <c r="M58" i="111"/>
  <c r="AC22" i="111" s="1"/>
  <c r="AC22" i="107"/>
  <c r="I58" i="111"/>
  <c r="Y22" i="111" s="1"/>
  <c r="Y22" i="107"/>
  <c r="E58" i="111"/>
  <c r="U22" i="111" s="1"/>
  <c r="U22" i="107"/>
  <c r="P105" i="107"/>
  <c r="P103" i="107"/>
  <c r="P101" i="107"/>
  <c r="P99" i="107"/>
  <c r="P97" i="107"/>
  <c r="P95" i="107"/>
  <c r="P93" i="107"/>
  <c r="P91" i="107"/>
  <c r="P89" i="107"/>
  <c r="P87" i="107"/>
  <c r="P85" i="107"/>
  <c r="P83" i="107"/>
  <c r="P81" i="107"/>
  <c r="P79" i="107"/>
  <c r="P77" i="107"/>
  <c r="P75" i="107"/>
  <c r="P73" i="107"/>
  <c r="P71" i="107"/>
  <c r="P69" i="107"/>
  <c r="P67" i="107"/>
  <c r="P65" i="107"/>
  <c r="P63" i="107"/>
  <c r="P61" i="107"/>
  <c r="P59" i="107"/>
  <c r="S22" i="107"/>
  <c r="S26" i="107"/>
  <c r="S30" i="107"/>
  <c r="AB33" i="107"/>
  <c r="X33" i="107"/>
  <c r="T33" i="107"/>
  <c r="AC32" i="107"/>
  <c r="Y32" i="107"/>
  <c r="U32" i="107"/>
  <c r="AD31" i="107"/>
  <c r="Z31" i="107"/>
  <c r="V31" i="107"/>
  <c r="AA30" i="107"/>
  <c r="W30" i="107"/>
  <c r="AB29" i="107"/>
  <c r="X29" i="107"/>
  <c r="T29" i="107"/>
  <c r="AC28" i="107"/>
  <c r="Y28" i="107"/>
  <c r="U28" i="107"/>
  <c r="AD27" i="107"/>
  <c r="Z27" i="107"/>
  <c r="V27" i="107"/>
  <c r="AA26" i="107"/>
  <c r="V26" i="107"/>
  <c r="T26" i="108"/>
  <c r="AB25" i="108"/>
  <c r="X25" i="108"/>
  <c r="T25" i="108"/>
  <c r="AB24" i="108"/>
  <c r="X24" i="108"/>
  <c r="T24" i="108"/>
  <c r="AB23" i="108"/>
  <c r="X23" i="108"/>
  <c r="T23" i="108"/>
  <c r="AB22" i="108"/>
  <c r="X22" i="108"/>
  <c r="T22" i="108"/>
  <c r="O105" i="108"/>
  <c r="O103" i="108"/>
  <c r="O101" i="108"/>
  <c r="O99" i="108"/>
  <c r="AE32" i="108" s="1"/>
  <c r="O97" i="108"/>
  <c r="O95" i="108"/>
  <c r="AE31" i="108" s="1"/>
  <c r="O93" i="108"/>
  <c r="O91" i="108"/>
  <c r="O89" i="108"/>
  <c r="O87" i="108"/>
  <c r="O85" i="108"/>
  <c r="O83" i="108"/>
  <c r="O81" i="108"/>
  <c r="O79" i="108"/>
  <c r="AE27" i="108" s="1"/>
  <c r="O77" i="108"/>
  <c r="O75" i="108"/>
  <c r="O73" i="108"/>
  <c r="O71" i="108"/>
  <c r="O69" i="108"/>
  <c r="O67" i="108"/>
  <c r="AE24" i="108" s="1"/>
  <c r="O65" i="108"/>
  <c r="O63" i="108"/>
  <c r="AE23" i="108" s="1"/>
  <c r="O61" i="108"/>
  <c r="O59" i="108"/>
  <c r="S23" i="108"/>
  <c r="S27" i="108"/>
  <c r="S31" i="108"/>
  <c r="AA25" i="108"/>
  <c r="W25" i="108"/>
  <c r="AA24" i="108"/>
  <c r="W24" i="108"/>
  <c r="AA23" i="108"/>
  <c r="W23" i="108"/>
  <c r="AA22" i="108"/>
  <c r="W22" i="108"/>
  <c r="O58" i="108"/>
  <c r="AE22" i="108" s="1"/>
  <c r="P104" i="108"/>
  <c r="P102" i="108"/>
  <c r="P100" i="108"/>
  <c r="P98" i="108"/>
  <c r="AF32" i="108" s="1"/>
  <c r="P96" i="108"/>
  <c r="P94" i="108"/>
  <c r="P92" i="108"/>
  <c r="P90" i="108"/>
  <c r="AF30" i="108" s="1"/>
  <c r="P88" i="108"/>
  <c r="P86" i="108"/>
  <c r="P84" i="108"/>
  <c r="P82" i="108"/>
  <c r="AF28" i="108" s="1"/>
  <c r="P80" i="108"/>
  <c r="P78" i="108"/>
  <c r="P76" i="108"/>
  <c r="P74" i="108"/>
  <c r="AF26" i="108" s="1"/>
  <c r="P72" i="108"/>
  <c r="P70" i="108"/>
  <c r="P68" i="108"/>
  <c r="P66" i="108"/>
  <c r="AF24" i="108" s="1"/>
  <c r="P64" i="108"/>
  <c r="P62" i="108"/>
  <c r="P60" i="108"/>
  <c r="S24" i="108"/>
  <c r="S28" i="108"/>
  <c r="S32" i="108"/>
  <c r="V26" i="108"/>
  <c r="AD25" i="108"/>
  <c r="Z25" i="108"/>
  <c r="V25" i="108"/>
  <c r="AD24" i="108"/>
  <c r="Z24" i="108"/>
  <c r="V24" i="108"/>
  <c r="AD23" i="108"/>
  <c r="Z23" i="108"/>
  <c r="V23" i="108"/>
  <c r="AD22" i="108"/>
  <c r="Z22" i="108"/>
  <c r="V22" i="108"/>
  <c r="P58" i="108"/>
  <c r="AF22" i="108" s="1"/>
  <c r="O102" i="108"/>
  <c r="AE33" i="108" s="1"/>
  <c r="O90" i="108"/>
  <c r="O86" i="108"/>
  <c r="O74" i="108"/>
  <c r="AE26" i="108" s="1"/>
  <c r="O70" i="108"/>
  <c r="AE25" i="108" s="1"/>
  <c r="U26" i="108"/>
  <c r="AC25" i="108"/>
  <c r="Y25" i="108"/>
  <c r="U25" i="108"/>
  <c r="AC24" i="108"/>
  <c r="Y24" i="108"/>
  <c r="U24" i="108"/>
  <c r="AC23" i="108"/>
  <c r="Y23" i="108"/>
  <c r="U23" i="108"/>
  <c r="AC22" i="108"/>
  <c r="Y22" i="108"/>
  <c r="U22" i="108"/>
  <c r="K11" i="107"/>
  <c r="K12" i="107"/>
  <c r="K13" i="107"/>
  <c r="K14" i="107"/>
  <c r="K15" i="107"/>
  <c r="K16" i="107"/>
  <c r="K17" i="107"/>
  <c r="K18" i="107"/>
  <c r="K19" i="107"/>
  <c r="K20" i="107"/>
  <c r="K21" i="107"/>
  <c r="K22" i="107"/>
  <c r="K23" i="107"/>
  <c r="K24" i="107"/>
  <c r="K25" i="107"/>
  <c r="K26" i="107"/>
  <c r="K27" i="107"/>
  <c r="K28" i="107"/>
  <c r="K29" i="107"/>
  <c r="K30" i="107"/>
  <c r="K31" i="107"/>
  <c r="K32" i="107"/>
  <c r="K33" i="107"/>
  <c r="K34" i="107"/>
  <c r="K35" i="107"/>
  <c r="K36" i="107"/>
  <c r="K37" i="107"/>
  <c r="K38" i="107"/>
  <c r="K39" i="107"/>
  <c r="K40" i="107"/>
  <c r="K41" i="107"/>
  <c r="K42" i="107"/>
  <c r="K43" i="107"/>
  <c r="K44" i="107"/>
  <c r="K45" i="107"/>
  <c r="K46" i="107"/>
  <c r="K47" i="107"/>
  <c r="K48" i="107"/>
  <c r="K49" i="107"/>
  <c r="K50" i="107"/>
  <c r="K51" i="107"/>
  <c r="K52" i="107"/>
  <c r="K53" i="107"/>
  <c r="K54" i="107"/>
  <c r="K55" i="107"/>
  <c r="K56" i="107"/>
  <c r="K57" i="107"/>
  <c r="O70" i="111" l="1"/>
  <c r="AE25" i="111" s="1"/>
  <c r="AE24" i="107"/>
  <c r="AE26" i="107"/>
  <c r="AE28" i="107"/>
  <c r="AE30" i="107"/>
  <c r="AE32" i="107"/>
  <c r="AF22" i="107"/>
  <c r="AF23" i="107"/>
  <c r="AF25" i="107"/>
  <c r="AF27" i="107"/>
  <c r="AF29" i="107"/>
  <c r="AF31" i="107"/>
  <c r="AF33" i="107"/>
  <c r="P62" i="111"/>
  <c r="AF23" i="111" s="1"/>
  <c r="AF27" i="111"/>
  <c r="AF28" i="111"/>
  <c r="AF31" i="111"/>
  <c r="AF32" i="111"/>
  <c r="AE29" i="108"/>
  <c r="O62" i="111"/>
  <c r="AE23" i="111" s="1"/>
  <c r="O66" i="111"/>
  <c r="AE24" i="111" s="1"/>
  <c r="P74" i="111"/>
  <c r="AF26" i="111" s="1"/>
  <c r="AE27" i="111"/>
  <c r="AE28" i="111"/>
  <c r="AF30" i="111"/>
  <c r="AE31" i="111"/>
  <c r="AE32" i="111"/>
  <c r="O58" i="111"/>
  <c r="AE22" i="111" s="1"/>
  <c r="P66" i="111"/>
  <c r="AF24" i="111" s="1"/>
  <c r="AE30" i="108"/>
  <c r="AF23" i="108"/>
  <c r="AF25" i="108"/>
  <c r="AF27" i="108"/>
  <c r="AF29" i="108"/>
  <c r="AF31" i="108"/>
  <c r="AF33" i="108"/>
  <c r="AE23" i="107"/>
  <c r="AE25" i="107"/>
  <c r="AE27" i="107"/>
  <c r="AE29" i="107"/>
  <c r="AE31" i="107"/>
  <c r="AE33" i="107"/>
  <c r="AF24" i="107"/>
  <c r="AF26" i="107"/>
  <c r="AF28" i="107"/>
  <c r="AF30" i="107"/>
  <c r="AF32" i="107"/>
  <c r="AE22" i="107"/>
  <c r="P70" i="111"/>
  <c r="AF25" i="111" s="1"/>
  <c r="O74" i="111"/>
  <c r="AE26" i="111" s="1"/>
  <c r="AF29" i="111"/>
  <c r="AE30" i="111"/>
  <c r="AF33" i="111"/>
  <c r="P58" i="111"/>
  <c r="AF22" i="111" s="1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P23" i="101"/>
  <c r="P24" i="101"/>
  <c r="P25" i="101"/>
  <c r="P26" i="101"/>
  <c r="P27" i="101"/>
  <c r="P28" i="101"/>
  <c r="P29" i="101"/>
  <c r="P30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P58" i="101"/>
  <c r="P59" i="101"/>
  <c r="P60" i="101"/>
  <c r="P61" i="101"/>
  <c r="P62" i="101"/>
  <c r="P63" i="101"/>
  <c r="P64" i="101"/>
  <c r="P65" i="101"/>
  <c r="P66" i="101"/>
  <c r="P67" i="101"/>
  <c r="P68" i="101"/>
  <c r="P69" i="101"/>
  <c r="P70" i="101"/>
  <c r="P71" i="101"/>
  <c r="P72" i="101"/>
  <c r="P73" i="101"/>
  <c r="P74" i="101"/>
  <c r="P75" i="101"/>
  <c r="P76" i="101"/>
  <c r="P77" i="101"/>
  <c r="P78" i="101"/>
  <c r="P79" i="101"/>
  <c r="P80" i="101"/>
  <c r="P81" i="101"/>
  <c r="P82" i="101"/>
  <c r="P83" i="101"/>
  <c r="P84" i="101"/>
  <c r="P85" i="101"/>
  <c r="P86" i="101"/>
  <c r="P87" i="101"/>
  <c r="P88" i="101"/>
  <c r="P89" i="101"/>
  <c r="P90" i="101"/>
  <c r="P91" i="101"/>
  <c r="P92" i="101"/>
  <c r="P93" i="101"/>
  <c r="P94" i="101"/>
  <c r="P95" i="101"/>
  <c r="P96" i="101"/>
  <c r="P97" i="101"/>
  <c r="P98" i="101"/>
  <c r="P99" i="101"/>
  <c r="P100" i="101"/>
  <c r="P101" i="101"/>
  <c r="P102" i="101"/>
  <c r="P103" i="101"/>
  <c r="P104" i="101"/>
  <c r="P105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O58" i="101"/>
  <c r="O59" i="101"/>
  <c r="O60" i="101"/>
  <c r="O61" i="101"/>
  <c r="O62" i="101"/>
  <c r="O63" i="101"/>
  <c r="O64" i="101"/>
  <c r="O65" i="101"/>
  <c r="O66" i="101"/>
  <c r="O67" i="101"/>
  <c r="O68" i="101"/>
  <c r="O69" i="101"/>
  <c r="O70" i="101"/>
  <c r="O71" i="101"/>
  <c r="O72" i="101"/>
  <c r="O73" i="101"/>
  <c r="O74" i="101"/>
  <c r="O75" i="101"/>
  <c r="O76" i="101"/>
  <c r="O77" i="101"/>
  <c r="O78" i="101"/>
  <c r="O79" i="101"/>
  <c r="O80" i="101"/>
  <c r="O81" i="101"/>
  <c r="O82" i="101"/>
  <c r="O83" i="101"/>
  <c r="O84" i="101"/>
  <c r="O85" i="101"/>
  <c r="O86" i="101"/>
  <c r="O87" i="101"/>
  <c r="O88" i="101"/>
  <c r="O89" i="101"/>
  <c r="O90" i="101"/>
  <c r="O91" i="101"/>
  <c r="O92" i="101"/>
  <c r="O93" i="101"/>
  <c r="O94" i="101"/>
  <c r="O95" i="101"/>
  <c r="O96" i="101"/>
  <c r="O97" i="101"/>
  <c r="O98" i="101"/>
  <c r="O99" i="101"/>
  <c r="O100" i="101"/>
  <c r="O101" i="101"/>
  <c r="O102" i="101"/>
  <c r="O103" i="101"/>
  <c r="O104" i="101"/>
  <c r="O105" i="101"/>
  <c r="P10" i="101"/>
  <c r="O10" i="101"/>
  <c r="O106" i="101" l="1"/>
  <c r="P106" i="101"/>
  <c r="C3" i="105"/>
  <c r="C3" i="110" s="1"/>
  <c r="C3" i="103" s="1"/>
  <c r="C3" i="104" s="1"/>
  <c r="D5" i="99"/>
  <c r="D5" i="98"/>
  <c r="AD22" i="105" l="1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O22" i="105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D19" i="105"/>
  <c r="AC19" i="105"/>
  <c r="AB19" i="105"/>
  <c r="AA19" i="105"/>
  <c r="Z19" i="105"/>
  <c r="Y19" i="105"/>
  <c r="X19" i="105"/>
  <c r="W19" i="105"/>
  <c r="V19" i="105"/>
  <c r="U19" i="105"/>
  <c r="T19" i="105"/>
  <c r="S19" i="105"/>
  <c r="P19" i="105"/>
  <c r="O19" i="105"/>
  <c r="AE12" i="105" s="1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O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E11" i="105" s="1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D13" i="105"/>
  <c r="AC13" i="105"/>
  <c r="AB13" i="105"/>
  <c r="AA13" i="105"/>
  <c r="Z13" i="105"/>
  <c r="Y13" i="105"/>
  <c r="X13" i="105"/>
  <c r="W13" i="105"/>
  <c r="V13" i="105"/>
  <c r="U13" i="105"/>
  <c r="T13" i="105"/>
  <c r="S13" i="105"/>
  <c r="P13" i="105"/>
  <c r="O13" i="105"/>
  <c r="AF12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F11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C10" i="105"/>
  <c r="AB10" i="105"/>
  <c r="AA10" i="105"/>
  <c r="Z10" i="105"/>
  <c r="Y10" i="105"/>
  <c r="X10" i="105"/>
  <c r="W10" i="105"/>
  <c r="V10" i="105"/>
  <c r="U10" i="105"/>
  <c r="T10" i="105"/>
  <c r="S10" i="105"/>
  <c r="P10" i="105"/>
  <c r="AF10" i="105" s="1"/>
  <c r="O10" i="105"/>
  <c r="K6" i="105"/>
  <c r="G6" i="105"/>
  <c r="D6" i="105"/>
  <c r="K5" i="105"/>
  <c r="G5" i="105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P102" i="110"/>
  <c r="O102" i="110"/>
  <c r="P101" i="110"/>
  <c r="O101" i="110"/>
  <c r="P100" i="110"/>
  <c r="O100" i="110"/>
  <c r="P99" i="110"/>
  <c r="O99" i="110"/>
  <c r="P98" i="110"/>
  <c r="O98" i="110"/>
  <c r="P97" i="110"/>
  <c r="O97" i="110"/>
  <c r="P96" i="110"/>
  <c r="O96" i="110"/>
  <c r="P95" i="110"/>
  <c r="O95" i="110"/>
  <c r="P94" i="110"/>
  <c r="O94" i="110"/>
  <c r="P93" i="110"/>
  <c r="O93" i="110"/>
  <c r="P92" i="110"/>
  <c r="O92" i="110"/>
  <c r="P91" i="110"/>
  <c r="O91" i="110"/>
  <c r="P90" i="110"/>
  <c r="O90" i="110"/>
  <c r="P89" i="110"/>
  <c r="O89" i="110"/>
  <c r="P88" i="110"/>
  <c r="O88" i="110"/>
  <c r="P87" i="110"/>
  <c r="O87" i="110"/>
  <c r="P86" i="110"/>
  <c r="O86" i="110"/>
  <c r="P85" i="110"/>
  <c r="O85" i="110"/>
  <c r="P84" i="110"/>
  <c r="O84" i="110"/>
  <c r="P83" i="110"/>
  <c r="O83" i="110"/>
  <c r="P82" i="110"/>
  <c r="O82" i="110"/>
  <c r="P81" i="110"/>
  <c r="O81" i="110"/>
  <c r="P80" i="110"/>
  <c r="O80" i="110"/>
  <c r="P79" i="110"/>
  <c r="O79" i="110"/>
  <c r="P78" i="110"/>
  <c r="O78" i="110"/>
  <c r="P77" i="110"/>
  <c r="O77" i="110"/>
  <c r="P76" i="110"/>
  <c r="O76" i="110"/>
  <c r="P75" i="110"/>
  <c r="O75" i="110"/>
  <c r="P74" i="110"/>
  <c r="O74" i="110"/>
  <c r="P73" i="110"/>
  <c r="O73" i="110"/>
  <c r="P72" i="110"/>
  <c r="O72" i="110"/>
  <c r="P71" i="110"/>
  <c r="O71" i="110"/>
  <c r="P70" i="110"/>
  <c r="O70" i="110"/>
  <c r="P69" i="110"/>
  <c r="O69" i="110"/>
  <c r="P68" i="110"/>
  <c r="O68" i="110"/>
  <c r="P67" i="110"/>
  <c r="O67" i="110"/>
  <c r="P66" i="110"/>
  <c r="O66" i="110"/>
  <c r="P65" i="110"/>
  <c r="O65" i="110"/>
  <c r="P64" i="110"/>
  <c r="O64" i="110"/>
  <c r="P63" i="110"/>
  <c r="O63" i="110"/>
  <c r="P62" i="110"/>
  <c r="O62" i="110"/>
  <c r="P61" i="110"/>
  <c r="O61" i="110"/>
  <c r="P60" i="110"/>
  <c r="O60" i="110"/>
  <c r="P59" i="110"/>
  <c r="O59" i="110"/>
  <c r="P58" i="110"/>
  <c r="O58" i="110"/>
  <c r="P57" i="110"/>
  <c r="O57" i="110"/>
  <c r="P56" i="110"/>
  <c r="O56" i="110"/>
  <c r="P55" i="110"/>
  <c r="O55" i="110"/>
  <c r="P54" i="110"/>
  <c r="O54" i="110"/>
  <c r="P53" i="110"/>
  <c r="O53" i="110"/>
  <c r="P52" i="110"/>
  <c r="O52" i="110"/>
  <c r="P51" i="110"/>
  <c r="O51" i="110"/>
  <c r="P50" i="110"/>
  <c r="O50" i="110"/>
  <c r="P49" i="110"/>
  <c r="O49" i="110"/>
  <c r="P48" i="110"/>
  <c r="O48" i="110"/>
  <c r="P47" i="110"/>
  <c r="O47" i="110"/>
  <c r="P46" i="110"/>
  <c r="O46" i="110"/>
  <c r="P45" i="110"/>
  <c r="O45" i="110"/>
  <c r="P44" i="110"/>
  <c r="O44" i="110"/>
  <c r="P43" i="110"/>
  <c r="O43" i="110"/>
  <c r="P42" i="110"/>
  <c r="O42" i="110"/>
  <c r="P41" i="110"/>
  <c r="O41" i="110"/>
  <c r="P40" i="110"/>
  <c r="O40" i="110"/>
  <c r="P39" i="110"/>
  <c r="O39" i="110"/>
  <c r="P38" i="110"/>
  <c r="O38" i="110"/>
  <c r="P37" i="110"/>
  <c r="O37" i="110"/>
  <c r="P36" i="110"/>
  <c r="O36" i="110"/>
  <c r="P35" i="110"/>
  <c r="O35" i="110"/>
  <c r="P34" i="110"/>
  <c r="O34" i="110"/>
  <c r="AF33" i="110"/>
  <c r="AE33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F32" i="110"/>
  <c r="AE32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F31" i="110"/>
  <c r="AE31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F30" i="110"/>
  <c r="AE30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O30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F27" i="110"/>
  <c r="AE27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F26" i="110"/>
  <c r="AE26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O26" i="110"/>
  <c r="AF25" i="110"/>
  <c r="AE25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F24" i="110"/>
  <c r="AE24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F23" i="110"/>
  <c r="AE23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F22" i="110"/>
  <c r="AE22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O22" i="110"/>
  <c r="AF21" i="110"/>
  <c r="AE21" i="110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F20" i="110"/>
  <c r="AE20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F19" i="110"/>
  <c r="AF39" i="110" s="1"/>
  <c r="AE19" i="110"/>
  <c r="AE39" i="110" s="1"/>
  <c r="AD19" i="110"/>
  <c r="AD39" i="110" s="1"/>
  <c r="AC19" i="110"/>
  <c r="AC39" i="110" s="1"/>
  <c r="AB19" i="110"/>
  <c r="AB36" i="110" s="1"/>
  <c r="AA19" i="110"/>
  <c r="AA39" i="110" s="1"/>
  <c r="Z19" i="110"/>
  <c r="Z39" i="110" s="1"/>
  <c r="Y19" i="110"/>
  <c r="Y39" i="110" s="1"/>
  <c r="X19" i="110"/>
  <c r="X39" i="110" s="1"/>
  <c r="W19" i="110"/>
  <c r="W39" i="110" s="1"/>
  <c r="V19" i="110"/>
  <c r="V39" i="110" s="1"/>
  <c r="U19" i="110"/>
  <c r="U36" i="110" s="1"/>
  <c r="T19" i="110"/>
  <c r="T39" i="110" s="1"/>
  <c r="S19" i="110"/>
  <c r="S39" i="110" s="1"/>
  <c r="P19" i="110"/>
  <c r="O19" i="110"/>
  <c r="AF18" i="110"/>
  <c r="AE18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O18" i="110"/>
  <c r="AE12" i="110" s="1"/>
  <c r="AF17" i="110"/>
  <c r="AE17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F16" i="110"/>
  <c r="AE16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F15" i="110"/>
  <c r="AE15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F14" i="110"/>
  <c r="AE14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O14" i="110"/>
  <c r="AE11" i="110" s="1"/>
  <c r="AF13" i="110"/>
  <c r="AF35" i="110" s="1"/>
  <c r="AE13" i="110"/>
  <c r="AE38" i="110" s="1"/>
  <c r="AD13" i="110"/>
  <c r="AD38" i="110" s="1"/>
  <c r="AC13" i="110"/>
  <c r="AC35" i="110" s="1"/>
  <c r="AB13" i="110"/>
  <c r="AB35" i="110" s="1"/>
  <c r="AA13" i="110"/>
  <c r="AA38" i="110" s="1"/>
  <c r="Z13" i="110"/>
  <c r="Z38" i="110" s="1"/>
  <c r="Y13" i="110"/>
  <c r="Y35" i="110" s="1"/>
  <c r="X13" i="110"/>
  <c r="X38" i="110" s="1"/>
  <c r="W13" i="110"/>
  <c r="W38" i="110" s="1"/>
  <c r="V13" i="110"/>
  <c r="V38" i="110" s="1"/>
  <c r="U13" i="110"/>
  <c r="U38" i="110" s="1"/>
  <c r="T13" i="110"/>
  <c r="T35" i="110" s="1"/>
  <c r="S13" i="110"/>
  <c r="S38" i="110" s="1"/>
  <c r="P13" i="110"/>
  <c r="O13" i="110"/>
  <c r="AF12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F11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C10" i="110"/>
  <c r="AC37" i="110" s="1"/>
  <c r="AB10" i="110"/>
  <c r="AA10" i="110"/>
  <c r="Z10" i="110"/>
  <c r="Y10" i="110"/>
  <c r="Y41" i="110" s="1"/>
  <c r="X10" i="110"/>
  <c r="W10" i="110"/>
  <c r="V10" i="110"/>
  <c r="U10" i="110"/>
  <c r="U34" i="110" s="1"/>
  <c r="T10" i="110"/>
  <c r="S10" i="110"/>
  <c r="P10" i="110"/>
  <c r="O10" i="110"/>
  <c r="O106" i="110" s="1"/>
  <c r="K6" i="110"/>
  <c r="G6" i="110"/>
  <c r="D6" i="110"/>
  <c r="K5" i="110"/>
  <c r="G5" i="110"/>
  <c r="D5" i="110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P55" i="103"/>
  <c r="O55" i="103"/>
  <c r="P54" i="103"/>
  <c r="AF21" i="103" s="1"/>
  <c r="O54" i="103"/>
  <c r="P53" i="103"/>
  <c r="O53" i="103"/>
  <c r="P52" i="103"/>
  <c r="O52" i="103"/>
  <c r="P51" i="103"/>
  <c r="O51" i="103"/>
  <c r="P50" i="103"/>
  <c r="AF20" i="103" s="1"/>
  <c r="O50" i="103"/>
  <c r="P49" i="103"/>
  <c r="O49" i="103"/>
  <c r="P48" i="103"/>
  <c r="O48" i="103"/>
  <c r="P47" i="103"/>
  <c r="O47" i="103"/>
  <c r="P46" i="103"/>
  <c r="AF19" i="103" s="1"/>
  <c r="AF27" i="103" s="1"/>
  <c r="O46" i="103"/>
  <c r="P45" i="103"/>
  <c r="O45" i="103"/>
  <c r="P44" i="103"/>
  <c r="O44" i="103"/>
  <c r="P43" i="103"/>
  <c r="O43" i="103"/>
  <c r="P42" i="103"/>
  <c r="AF18" i="103" s="1"/>
  <c r="O42" i="103"/>
  <c r="P41" i="103"/>
  <c r="O41" i="103"/>
  <c r="P40" i="103"/>
  <c r="O40" i="103"/>
  <c r="P39" i="103"/>
  <c r="O39" i="103"/>
  <c r="P38" i="103"/>
  <c r="AF17" i="103" s="1"/>
  <c r="O38" i="103"/>
  <c r="P37" i="103"/>
  <c r="O37" i="103"/>
  <c r="P36" i="103"/>
  <c r="O36" i="103"/>
  <c r="P35" i="103"/>
  <c r="O35" i="103"/>
  <c r="P34" i="103"/>
  <c r="AF16" i="103" s="1"/>
  <c r="O34" i="103"/>
  <c r="P33" i="103"/>
  <c r="O33" i="103"/>
  <c r="P32" i="103"/>
  <c r="O32" i="103"/>
  <c r="P31" i="103"/>
  <c r="O31" i="103"/>
  <c r="P30" i="103"/>
  <c r="AF15" i="103" s="1"/>
  <c r="O30" i="103"/>
  <c r="P29" i="103"/>
  <c r="O29" i="103"/>
  <c r="P28" i="103"/>
  <c r="O28" i="103"/>
  <c r="P27" i="103"/>
  <c r="O27" i="103"/>
  <c r="P26" i="103"/>
  <c r="AF14" i="103" s="1"/>
  <c r="O26" i="103"/>
  <c r="P25" i="103"/>
  <c r="O25" i="103"/>
  <c r="P24" i="103"/>
  <c r="O24" i="103"/>
  <c r="P23" i="103"/>
  <c r="O23" i="103"/>
  <c r="P22" i="103"/>
  <c r="AF13" i="103" s="1"/>
  <c r="AF26" i="103" s="1"/>
  <c r="O22" i="103"/>
  <c r="AE21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E20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E19" i="103"/>
  <c r="AE27" i="103" s="1"/>
  <c r="AD19" i="103"/>
  <c r="AD27" i="103" s="1"/>
  <c r="AC19" i="103"/>
  <c r="AC27" i="103" s="1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7" i="103" s="1"/>
  <c r="T19" i="103"/>
  <c r="T24" i="103" s="1"/>
  <c r="S19" i="103"/>
  <c r="S27" i="103" s="1"/>
  <c r="P19" i="103"/>
  <c r="O19" i="103"/>
  <c r="AE18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AF12" i="103" s="1"/>
  <c r="O18" i="103"/>
  <c r="AE17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E16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E15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AF11" i="103" s="1"/>
  <c r="O14" i="103"/>
  <c r="AE13" i="103"/>
  <c r="AE26" i="103" s="1"/>
  <c r="AD13" i="103"/>
  <c r="AD26" i="103" s="1"/>
  <c r="AC13" i="103"/>
  <c r="AC26" i="103" s="1"/>
  <c r="AB13" i="103"/>
  <c r="AB26" i="103" s="1"/>
  <c r="AA13" i="103"/>
  <c r="AA26" i="103" s="1"/>
  <c r="Z13" i="103"/>
  <c r="Z26" i="103" s="1"/>
  <c r="Y13" i="103"/>
  <c r="Y26" i="103" s="1"/>
  <c r="X13" i="103"/>
  <c r="X26" i="103" s="1"/>
  <c r="W13" i="103"/>
  <c r="W26" i="103" s="1"/>
  <c r="V13" i="103"/>
  <c r="V26" i="103" s="1"/>
  <c r="U13" i="103"/>
  <c r="U26" i="103" s="1"/>
  <c r="T13" i="103"/>
  <c r="T26" i="103" s="1"/>
  <c r="S13" i="103"/>
  <c r="S26" i="103" s="1"/>
  <c r="P13" i="103"/>
  <c r="O13" i="103"/>
  <c r="AE12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E11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O11" i="103"/>
  <c r="AD10" i="103"/>
  <c r="AC10" i="103"/>
  <c r="AC28" i="103" s="1"/>
  <c r="AB10" i="103"/>
  <c r="AB28" i="103" s="1"/>
  <c r="AA10" i="103"/>
  <c r="Z10" i="103"/>
  <c r="Y10" i="103"/>
  <c r="Y28" i="103" s="1"/>
  <c r="X10" i="103"/>
  <c r="X28" i="103" s="1"/>
  <c r="W10" i="103"/>
  <c r="V10" i="103"/>
  <c r="U10" i="103"/>
  <c r="U28" i="103" s="1"/>
  <c r="T10" i="103"/>
  <c r="T28" i="103" s="1"/>
  <c r="S10" i="103"/>
  <c r="P10" i="103"/>
  <c r="O10" i="103"/>
  <c r="O58" i="103" s="1"/>
  <c r="K6" i="103"/>
  <c r="G6" i="103"/>
  <c r="D6" i="103"/>
  <c r="K5" i="103"/>
  <c r="G5" i="103"/>
  <c r="N58" i="104"/>
  <c r="M58" i="104"/>
  <c r="L58" i="104"/>
  <c r="K58" i="104"/>
  <c r="J58" i="104"/>
  <c r="I58" i="104"/>
  <c r="H58" i="104"/>
  <c r="G58" i="104"/>
  <c r="F58" i="104"/>
  <c r="E58" i="104"/>
  <c r="D58" i="104"/>
  <c r="C58" i="104"/>
  <c r="P57" i="104"/>
  <c r="O57" i="104"/>
  <c r="P56" i="104"/>
  <c r="O56" i="104"/>
  <c r="P55" i="104"/>
  <c r="O55" i="104"/>
  <c r="P54" i="104"/>
  <c r="AF21" i="104" s="1"/>
  <c r="O54" i="104"/>
  <c r="P53" i="104"/>
  <c r="O53" i="104"/>
  <c r="P52" i="104"/>
  <c r="O52" i="104"/>
  <c r="P51" i="104"/>
  <c r="O51" i="104"/>
  <c r="P50" i="104"/>
  <c r="O50" i="104"/>
  <c r="P49" i="104"/>
  <c r="O49" i="104"/>
  <c r="P48" i="104"/>
  <c r="O48" i="104"/>
  <c r="P47" i="104"/>
  <c r="O47" i="104"/>
  <c r="P46" i="104"/>
  <c r="O46" i="104"/>
  <c r="P45" i="104"/>
  <c r="O45" i="104"/>
  <c r="P44" i="104"/>
  <c r="O44" i="104"/>
  <c r="P43" i="104"/>
  <c r="O43" i="104"/>
  <c r="P42" i="104"/>
  <c r="O42" i="104"/>
  <c r="P41" i="104"/>
  <c r="O41" i="104"/>
  <c r="P40" i="104"/>
  <c r="O40" i="104"/>
  <c r="P39" i="104"/>
  <c r="O39" i="104"/>
  <c r="P38" i="104"/>
  <c r="AF17" i="104" s="1"/>
  <c r="O38" i="104"/>
  <c r="P37" i="104"/>
  <c r="O37" i="104"/>
  <c r="P36" i="104"/>
  <c r="O36" i="104"/>
  <c r="P35" i="104"/>
  <c r="O35" i="104"/>
  <c r="P34" i="104"/>
  <c r="O34" i="104"/>
  <c r="P33" i="104"/>
  <c r="O33" i="104"/>
  <c r="P32" i="104"/>
  <c r="O32" i="104"/>
  <c r="P31" i="104"/>
  <c r="O31" i="104"/>
  <c r="P30" i="104"/>
  <c r="O30" i="104"/>
  <c r="P29" i="104"/>
  <c r="O29" i="104"/>
  <c r="P28" i="104"/>
  <c r="O28" i="104"/>
  <c r="P27" i="104"/>
  <c r="O27" i="104"/>
  <c r="P26" i="104"/>
  <c r="O26" i="104"/>
  <c r="P25" i="104"/>
  <c r="O25" i="104"/>
  <c r="P24" i="104"/>
  <c r="O24" i="104"/>
  <c r="P23" i="104"/>
  <c r="O23" i="104"/>
  <c r="P22" i="104"/>
  <c r="O22" i="104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F20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F19" i="104"/>
  <c r="AD19" i="104"/>
  <c r="AD27" i="104" s="1"/>
  <c r="AC19" i="104"/>
  <c r="AB19" i="104"/>
  <c r="AA19" i="104"/>
  <c r="Z19" i="104"/>
  <c r="Z27" i="104" s="1"/>
  <c r="Y19" i="104"/>
  <c r="X19" i="104"/>
  <c r="W19" i="104"/>
  <c r="V19" i="104"/>
  <c r="V27" i="104" s="1"/>
  <c r="U19" i="104"/>
  <c r="T19" i="104"/>
  <c r="S19" i="104"/>
  <c r="P19" i="104"/>
  <c r="O19" i="104"/>
  <c r="AF18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O18" i="104"/>
  <c r="AE12" i="104" s="1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F16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F15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AF11" i="104" s="1"/>
  <c r="O15" i="104"/>
  <c r="AF14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E11" i="104" s="1"/>
  <c r="AF13" i="104"/>
  <c r="AD13" i="104"/>
  <c r="AC13" i="104"/>
  <c r="AB13" i="104"/>
  <c r="AB26" i="104" s="1"/>
  <c r="AA13" i="104"/>
  <c r="Z13" i="104"/>
  <c r="Y13" i="104"/>
  <c r="X13" i="104"/>
  <c r="X26" i="104" s="1"/>
  <c r="W13" i="104"/>
  <c r="V13" i="104"/>
  <c r="U13" i="104"/>
  <c r="T13" i="104"/>
  <c r="T26" i="104" s="1"/>
  <c r="S13" i="104"/>
  <c r="P13" i="104"/>
  <c r="O13" i="104"/>
  <c r="AF12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D10" i="104"/>
  <c r="AC10" i="104"/>
  <c r="AC25" i="104" s="1"/>
  <c r="AB10" i="104"/>
  <c r="AA10" i="104"/>
  <c r="Z10" i="104"/>
  <c r="Y10" i="104"/>
  <c r="X10" i="104"/>
  <c r="X28" i="104" s="1"/>
  <c r="W10" i="104"/>
  <c r="V10" i="104"/>
  <c r="U10" i="104"/>
  <c r="U22" i="104" s="1"/>
  <c r="T10" i="104"/>
  <c r="T28" i="104" s="1"/>
  <c r="S10" i="104"/>
  <c r="P10" i="104"/>
  <c r="O10" i="104"/>
  <c r="K6" i="104"/>
  <c r="G6" i="104"/>
  <c r="D6" i="104"/>
  <c r="K5" i="104"/>
  <c r="G5" i="104"/>
  <c r="D5" i="104"/>
  <c r="O58" i="104" l="1"/>
  <c r="AC26" i="104"/>
  <c r="S27" i="104"/>
  <c r="W27" i="104"/>
  <c r="U26" i="104"/>
  <c r="P58" i="104"/>
  <c r="V28" i="104"/>
  <c r="Z28" i="104"/>
  <c r="AD28" i="104"/>
  <c r="V26" i="104"/>
  <c r="Z26" i="104"/>
  <c r="AD26" i="104"/>
  <c r="T27" i="104"/>
  <c r="X27" i="104"/>
  <c r="AB27" i="104"/>
  <c r="AE15" i="104"/>
  <c r="AE23" i="104" s="1"/>
  <c r="AE16" i="104"/>
  <c r="AE17" i="104"/>
  <c r="AE18" i="104"/>
  <c r="AE19" i="104"/>
  <c r="AE24" i="104" s="1"/>
  <c r="AE20" i="104"/>
  <c r="AE21" i="104"/>
  <c r="AF10" i="103"/>
  <c r="AF28" i="103" s="1"/>
  <c r="V28" i="103"/>
  <c r="Z28" i="103"/>
  <c r="AD28" i="103"/>
  <c r="AF10" i="110"/>
  <c r="AF41" i="110" s="1"/>
  <c r="V41" i="110"/>
  <c r="Z41" i="110"/>
  <c r="AD41" i="110"/>
  <c r="AE10" i="105"/>
  <c r="Y28" i="104"/>
  <c r="Y26" i="104"/>
  <c r="S28" i="104"/>
  <c r="W28" i="104"/>
  <c r="AA28" i="104"/>
  <c r="S26" i="104"/>
  <c r="S28" i="103"/>
  <c r="W28" i="103"/>
  <c r="AA28" i="103"/>
  <c r="AE13" i="104"/>
  <c r="AE14" i="104"/>
  <c r="C60" i="103"/>
  <c r="G60" i="103"/>
  <c r="K60" i="103"/>
  <c r="S41" i="110"/>
  <c r="W41" i="110"/>
  <c r="AA41" i="110"/>
  <c r="P106" i="110"/>
  <c r="D108" i="110"/>
  <c r="H108" i="110"/>
  <c r="L108" i="110"/>
  <c r="AA27" i="104"/>
  <c r="AF27" i="104"/>
  <c r="P58" i="103"/>
  <c r="T41" i="110"/>
  <c r="X41" i="110"/>
  <c r="AB37" i="110"/>
  <c r="AF10" i="104"/>
  <c r="AF28" i="104" s="1"/>
  <c r="AB28" i="104"/>
  <c r="W26" i="104"/>
  <c r="AA26" i="104"/>
  <c r="AF26" i="104"/>
  <c r="U27" i="104"/>
  <c r="Y27" i="104"/>
  <c r="AC27" i="104"/>
  <c r="N107" i="110"/>
  <c r="F107" i="110"/>
  <c r="K107" i="110"/>
  <c r="G107" i="110"/>
  <c r="C107" i="110"/>
  <c r="J107" i="110"/>
  <c r="E108" i="110"/>
  <c r="I108" i="110"/>
  <c r="M107" i="110"/>
  <c r="J108" i="110"/>
  <c r="K108" i="110"/>
  <c r="G108" i="110"/>
  <c r="C108" i="110"/>
  <c r="F108" i="110"/>
  <c r="N108" i="110"/>
  <c r="AB34" i="110"/>
  <c r="X35" i="110"/>
  <c r="T36" i="110"/>
  <c r="AF36" i="110"/>
  <c r="X37" i="110"/>
  <c r="T38" i="110"/>
  <c r="AF38" i="110"/>
  <c r="AB39" i="110"/>
  <c r="X40" i="110"/>
  <c r="X42" i="110" s="1"/>
  <c r="AF40" i="110"/>
  <c r="AF42" i="110" s="1"/>
  <c r="AB41" i="110"/>
  <c r="Y34" i="110"/>
  <c r="AC34" i="110"/>
  <c r="U35" i="110"/>
  <c r="Y36" i="110"/>
  <c r="AC36" i="110"/>
  <c r="U37" i="110"/>
  <c r="Y38" i="110"/>
  <c r="AC38" i="110"/>
  <c r="U39" i="110"/>
  <c r="U40" i="110"/>
  <c r="Y40" i="110"/>
  <c r="Y42" i="110" s="1"/>
  <c r="AC40" i="110"/>
  <c r="U41" i="110"/>
  <c r="AC41" i="110"/>
  <c r="X34" i="110"/>
  <c r="X36" i="110"/>
  <c r="T37" i="110"/>
  <c r="AF37" i="110"/>
  <c r="AB38" i="110"/>
  <c r="AB40" i="110"/>
  <c r="Y37" i="110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Z40" i="110"/>
  <c r="Z42" i="110" s="1"/>
  <c r="AD40" i="110"/>
  <c r="AD42" i="110" s="1"/>
  <c r="D107" i="110"/>
  <c r="H107" i="110"/>
  <c r="L107" i="110"/>
  <c r="T34" i="110"/>
  <c r="AF34" i="110"/>
  <c r="T40" i="110"/>
  <c r="AE10" i="110"/>
  <c r="S34" i="110"/>
  <c r="W34" i="110"/>
  <c r="AA34" i="110"/>
  <c r="S35" i="110"/>
  <c r="W35" i="110"/>
  <c r="AA35" i="110"/>
  <c r="AE35" i="110"/>
  <c r="S36" i="110"/>
  <c r="W36" i="110"/>
  <c r="AA36" i="110"/>
  <c r="AE36" i="110"/>
  <c r="S37" i="110"/>
  <c r="W37" i="110"/>
  <c r="AA37" i="110"/>
  <c r="S40" i="110"/>
  <c r="S42" i="110" s="1"/>
  <c r="W40" i="110"/>
  <c r="W42" i="110" s="1"/>
  <c r="AA40" i="110"/>
  <c r="AA42" i="110" s="1"/>
  <c r="E107" i="110"/>
  <c r="I107" i="110"/>
  <c r="N59" i="103"/>
  <c r="F59" i="103"/>
  <c r="J59" i="103"/>
  <c r="D60" i="103"/>
  <c r="L60" i="103"/>
  <c r="E60" i="103"/>
  <c r="I60" i="103"/>
  <c r="M59" i="103"/>
  <c r="F60" i="103"/>
  <c r="J60" i="103"/>
  <c r="H60" i="103"/>
  <c r="N60" i="103"/>
  <c r="AF22" i="103"/>
  <c r="AB23" i="103"/>
  <c r="AF24" i="103"/>
  <c r="AF25" i="103"/>
  <c r="T27" i="103"/>
  <c r="U22" i="103"/>
  <c r="Y22" i="103"/>
  <c r="AC22" i="103"/>
  <c r="U23" i="103"/>
  <c r="Y23" i="103"/>
  <c r="AC23" i="103"/>
  <c r="U24" i="103"/>
  <c r="Y24" i="103"/>
  <c r="AC24" i="103"/>
  <c r="U25" i="103"/>
  <c r="Y25" i="103"/>
  <c r="AC25" i="103"/>
  <c r="C59" i="103"/>
  <c r="G59" i="103"/>
  <c r="K59" i="103"/>
  <c r="T22" i="103"/>
  <c r="X22" i="103"/>
  <c r="AB22" i="103"/>
  <c r="T23" i="103"/>
  <c r="X23" i="103"/>
  <c r="AF23" i="103"/>
  <c r="X24" i="103"/>
  <c r="AB24" i="103"/>
  <c r="T25" i="103"/>
  <c r="X25" i="103"/>
  <c r="AB25" i="103"/>
  <c r="V22" i="103"/>
  <c r="Z22" i="103"/>
  <c r="AD22" i="103"/>
  <c r="V23" i="103"/>
  <c r="Z23" i="103"/>
  <c r="AD23" i="103"/>
  <c r="V24" i="103"/>
  <c r="Z24" i="103"/>
  <c r="AD24" i="103"/>
  <c r="V25" i="103"/>
  <c r="Z25" i="103"/>
  <c r="AD25" i="103"/>
  <c r="D59" i="103"/>
  <c r="H59" i="103"/>
  <c r="L59" i="103"/>
  <c r="AE10" i="103"/>
  <c r="S22" i="103"/>
  <c r="W22" i="103"/>
  <c r="AA22" i="103"/>
  <c r="S23" i="103"/>
  <c r="W23" i="103"/>
  <c r="AA23" i="103"/>
  <c r="AE23" i="103"/>
  <c r="S24" i="103"/>
  <c r="W24" i="103"/>
  <c r="AA24" i="103"/>
  <c r="AE24" i="103"/>
  <c r="S25" i="103"/>
  <c r="W25" i="103"/>
  <c r="AA25" i="103"/>
  <c r="E59" i="103"/>
  <c r="I59" i="103"/>
  <c r="N60" i="104"/>
  <c r="G60" i="104"/>
  <c r="K60" i="104"/>
  <c r="C60" i="104"/>
  <c r="J60" i="104"/>
  <c r="F60" i="104"/>
  <c r="AE26" i="104"/>
  <c r="D60" i="104"/>
  <c r="H60" i="104"/>
  <c r="AE27" i="104"/>
  <c r="E60" i="104"/>
  <c r="I60" i="104"/>
  <c r="M59" i="104"/>
  <c r="C59" i="104"/>
  <c r="K59" i="104"/>
  <c r="G59" i="104"/>
  <c r="N59" i="104"/>
  <c r="J59" i="104"/>
  <c r="F59" i="104"/>
  <c r="L60" i="104"/>
  <c r="T22" i="104"/>
  <c r="X22" i="104"/>
  <c r="AB22" i="104"/>
  <c r="AF22" i="104"/>
  <c r="T23" i="104"/>
  <c r="X23" i="104"/>
  <c r="AB23" i="104"/>
  <c r="AF23" i="104"/>
  <c r="T24" i="104"/>
  <c r="X24" i="104"/>
  <c r="AB24" i="104"/>
  <c r="AF24" i="104"/>
  <c r="T25" i="104"/>
  <c r="X25" i="104"/>
  <c r="AB25" i="104"/>
  <c r="AF25" i="104"/>
  <c r="U23" i="104"/>
  <c r="AC23" i="104"/>
  <c r="U24" i="104"/>
  <c r="AC24" i="104"/>
  <c r="U25" i="104"/>
  <c r="U28" i="104"/>
  <c r="AC28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59" i="104"/>
  <c r="H59" i="104"/>
  <c r="L59" i="104"/>
  <c r="Y22" i="104"/>
  <c r="AC22" i="104"/>
  <c r="Y23" i="104"/>
  <c r="Y24" i="104"/>
  <c r="Y25" i="104"/>
  <c r="AE10" i="104"/>
  <c r="S22" i="104"/>
  <c r="W22" i="104"/>
  <c r="AA22" i="104"/>
  <c r="S23" i="104"/>
  <c r="W23" i="104"/>
  <c r="AA23" i="104"/>
  <c r="S24" i="104"/>
  <c r="W24" i="104"/>
  <c r="AA24" i="104"/>
  <c r="S25" i="104"/>
  <c r="W25" i="104"/>
  <c r="AA25" i="104"/>
  <c r="E59" i="104"/>
  <c r="I59" i="104"/>
  <c r="T42" i="110" l="1"/>
  <c r="V42" i="110"/>
  <c r="AB42" i="110"/>
  <c r="AC42" i="110"/>
  <c r="AE41" i="110"/>
  <c r="AE40" i="110"/>
  <c r="AE37" i="110"/>
  <c r="AE34" i="110"/>
  <c r="U42" i="110"/>
  <c r="AE28" i="103"/>
  <c r="AE25" i="103"/>
  <c r="AE22" i="103"/>
  <c r="AE28" i="104"/>
  <c r="AE25" i="104"/>
  <c r="AE22" i="104"/>
  <c r="AE42" i="110" l="1"/>
  <c r="C3" i="94" l="1"/>
  <c r="K6" i="98" l="1"/>
  <c r="K6" i="99" s="1"/>
  <c r="K6" i="109" s="1"/>
  <c r="K5" i="99"/>
  <c r="K5" i="109" s="1"/>
  <c r="G5" i="98"/>
  <c r="G5" i="99" s="1"/>
  <c r="G5" i="109" s="1"/>
  <c r="K6" i="97"/>
  <c r="K5" i="97"/>
  <c r="G5" i="97"/>
  <c r="K6" i="96"/>
  <c r="K5" i="96"/>
  <c r="G5" i="96"/>
  <c r="K6" i="95"/>
  <c r="K5" i="95"/>
  <c r="G5" i="95"/>
  <c r="K6" i="94"/>
  <c r="G5" i="94"/>
  <c r="G6" i="108"/>
  <c r="G6" i="98"/>
  <c r="G6" i="96"/>
  <c r="G6" i="109" s="1"/>
  <c r="G6" i="107"/>
  <c r="G6" i="99"/>
  <c r="G6" i="97"/>
  <c r="G6" i="95"/>
  <c r="D6" i="108"/>
  <c r="D6" i="109"/>
  <c r="D6" i="98"/>
  <c r="D6" i="96"/>
  <c r="D6" i="107"/>
  <c r="D6" i="99"/>
  <c r="D6" i="97"/>
  <c r="D6" i="95"/>
  <c r="D5" i="109"/>
  <c r="D5" i="96"/>
  <c r="D5" i="94"/>
  <c r="K5" i="107" l="1"/>
  <c r="K5" i="108"/>
  <c r="K5" i="111" s="1"/>
  <c r="K6" i="107"/>
  <c r="K6" i="108"/>
  <c r="K6" i="111" s="1"/>
  <c r="G5" i="107"/>
  <c r="G5" i="108"/>
  <c r="G5" i="111" s="1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39" i="105"/>
  <c r="W39" i="105"/>
  <c r="V39" i="105"/>
  <c r="AD33" i="105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W27" i="99" s="1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Z27" i="97" s="1"/>
  <c r="Y19" i="97"/>
  <c r="X19" i="97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B27" i="97" l="1"/>
  <c r="T27" i="97"/>
  <c r="AA26" i="95"/>
  <c r="AA27" i="99"/>
  <c r="X39" i="105"/>
  <c r="X27" i="97"/>
  <c r="X26" i="98"/>
  <c r="V27" i="99"/>
  <c r="AD27" i="99"/>
  <c r="AA39" i="105"/>
  <c r="U39" i="109"/>
  <c r="Z39" i="105"/>
  <c r="W26" i="95"/>
  <c r="AD26" i="95"/>
  <c r="C3" i="108"/>
  <c r="C3" i="111"/>
  <c r="C3" i="107"/>
  <c r="X15" i="96"/>
  <c r="X23" i="96" s="1"/>
  <c r="AD16" i="97"/>
  <c r="AD23" i="97" s="1"/>
  <c r="T39" i="105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U39" i="105"/>
  <c r="AA33" i="105"/>
  <c r="U22" i="109"/>
  <c r="W20" i="96"/>
  <c r="W24" i="96" s="1"/>
  <c r="Y13" i="95"/>
  <c r="V14" i="97"/>
  <c r="T23" i="105"/>
  <c r="Z27" i="99"/>
  <c r="Y16" i="96"/>
  <c r="AC32" i="109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K11" i="111" s="1"/>
  <c r="M11" i="108"/>
  <c r="C13" i="108"/>
  <c r="E13" i="108"/>
  <c r="G13" i="108"/>
  <c r="I13" i="108"/>
  <c r="K13" i="108"/>
  <c r="K13" i="111" s="1"/>
  <c r="M13" i="108"/>
  <c r="C14" i="108"/>
  <c r="E14" i="108"/>
  <c r="G14" i="108"/>
  <c r="I14" i="108"/>
  <c r="K14" i="108"/>
  <c r="K14" i="111" s="1"/>
  <c r="M14" i="108"/>
  <c r="C15" i="108"/>
  <c r="E15" i="108"/>
  <c r="G15" i="108"/>
  <c r="I15" i="108"/>
  <c r="K15" i="108"/>
  <c r="K15" i="111" s="1"/>
  <c r="M15" i="108"/>
  <c r="C16" i="108"/>
  <c r="E16" i="108"/>
  <c r="G16" i="108"/>
  <c r="I16" i="108"/>
  <c r="K16" i="108"/>
  <c r="K16" i="111" s="1"/>
  <c r="M16" i="108"/>
  <c r="C17" i="108"/>
  <c r="E17" i="108"/>
  <c r="G17" i="108"/>
  <c r="I17" i="108"/>
  <c r="K17" i="108"/>
  <c r="K17" i="111" s="1"/>
  <c r="M17" i="108"/>
  <c r="C18" i="108"/>
  <c r="E18" i="108"/>
  <c r="G18" i="108"/>
  <c r="I18" i="108"/>
  <c r="K18" i="108"/>
  <c r="K18" i="111" s="1"/>
  <c r="M18" i="108"/>
  <c r="C24" i="108"/>
  <c r="E24" i="108"/>
  <c r="G24" i="108"/>
  <c r="I24" i="108"/>
  <c r="K24" i="108"/>
  <c r="K24" i="111" s="1"/>
  <c r="M24" i="108"/>
  <c r="C25" i="108"/>
  <c r="E25" i="108"/>
  <c r="G25" i="108"/>
  <c r="I25" i="108"/>
  <c r="K25" i="108"/>
  <c r="K25" i="111" s="1"/>
  <c r="M25" i="108"/>
  <c r="E26" i="108"/>
  <c r="I26" i="108"/>
  <c r="M26" i="108"/>
  <c r="C27" i="108"/>
  <c r="E27" i="108"/>
  <c r="G27" i="108"/>
  <c r="I27" i="108"/>
  <c r="K27" i="108"/>
  <c r="K27" i="111" s="1"/>
  <c r="M27" i="108"/>
  <c r="C28" i="108"/>
  <c r="E28" i="108"/>
  <c r="G28" i="108"/>
  <c r="I28" i="108"/>
  <c r="K28" i="108"/>
  <c r="K28" i="111" s="1"/>
  <c r="M28" i="108"/>
  <c r="C29" i="108"/>
  <c r="E29" i="108"/>
  <c r="G29" i="108"/>
  <c r="I29" i="108"/>
  <c r="K29" i="108"/>
  <c r="K29" i="111" s="1"/>
  <c r="M29" i="108"/>
  <c r="E30" i="108"/>
  <c r="I30" i="108"/>
  <c r="M30" i="108"/>
  <c r="C31" i="108"/>
  <c r="E31" i="108"/>
  <c r="G31" i="108"/>
  <c r="I31" i="108"/>
  <c r="K31" i="108"/>
  <c r="K31" i="111" s="1"/>
  <c r="M31" i="108"/>
  <c r="C32" i="108"/>
  <c r="E32" i="108"/>
  <c r="G32" i="108"/>
  <c r="I32" i="108"/>
  <c r="K32" i="108"/>
  <c r="K32" i="111" s="1"/>
  <c r="M32" i="108"/>
  <c r="C33" i="108"/>
  <c r="E33" i="108"/>
  <c r="G33" i="108"/>
  <c r="I33" i="108"/>
  <c r="K33" i="108"/>
  <c r="K33" i="111" s="1"/>
  <c r="M33" i="108"/>
  <c r="E34" i="108"/>
  <c r="G34" i="108"/>
  <c r="I34" i="108"/>
  <c r="M34" i="108"/>
  <c r="C35" i="108"/>
  <c r="E35" i="108"/>
  <c r="G35" i="108"/>
  <c r="I35" i="108"/>
  <c r="K35" i="108"/>
  <c r="K35" i="111" s="1"/>
  <c r="M35" i="108"/>
  <c r="C36" i="108"/>
  <c r="E36" i="108"/>
  <c r="G36" i="108"/>
  <c r="I36" i="108"/>
  <c r="K36" i="108"/>
  <c r="K36" i="111" s="1"/>
  <c r="M36" i="108"/>
  <c r="C37" i="108"/>
  <c r="E37" i="108"/>
  <c r="G37" i="108"/>
  <c r="I37" i="108"/>
  <c r="K37" i="108"/>
  <c r="K37" i="111" s="1"/>
  <c r="M37" i="108"/>
  <c r="E38" i="108"/>
  <c r="I38" i="108"/>
  <c r="K38" i="108"/>
  <c r="K38" i="111" s="1"/>
  <c r="M38" i="108"/>
  <c r="C39" i="108"/>
  <c r="E39" i="108"/>
  <c r="G39" i="108"/>
  <c r="I39" i="108"/>
  <c r="K39" i="108"/>
  <c r="K39" i="111" s="1"/>
  <c r="M39" i="108"/>
  <c r="C40" i="108"/>
  <c r="E40" i="108"/>
  <c r="G40" i="108"/>
  <c r="I40" i="108"/>
  <c r="K40" i="108"/>
  <c r="K40" i="111" s="1"/>
  <c r="M40" i="108"/>
  <c r="C41" i="108"/>
  <c r="E41" i="108"/>
  <c r="G41" i="108"/>
  <c r="I41" i="108"/>
  <c r="K41" i="108"/>
  <c r="K41" i="111" s="1"/>
  <c r="M41" i="108"/>
  <c r="E42" i="108"/>
  <c r="G42" i="108"/>
  <c r="I42" i="108"/>
  <c r="M42" i="108"/>
  <c r="C43" i="108"/>
  <c r="E43" i="108"/>
  <c r="G43" i="108"/>
  <c r="I43" i="108"/>
  <c r="K43" i="108"/>
  <c r="K43" i="111" s="1"/>
  <c r="M43" i="108"/>
  <c r="C44" i="108"/>
  <c r="E44" i="108"/>
  <c r="G44" i="108"/>
  <c r="I44" i="108"/>
  <c r="K44" i="108"/>
  <c r="K44" i="111" s="1"/>
  <c r="M44" i="108"/>
  <c r="C45" i="108"/>
  <c r="E45" i="108"/>
  <c r="G45" i="108"/>
  <c r="I45" i="108"/>
  <c r="K45" i="108"/>
  <c r="K45" i="111" s="1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AA14" i="94"/>
  <c r="K26" i="108"/>
  <c r="K26" i="111" s="1"/>
  <c r="AA15" i="94"/>
  <c r="K30" i="108"/>
  <c r="K30" i="111" s="1"/>
  <c r="AA16" i="94"/>
  <c r="K34" i="108"/>
  <c r="K34" i="111" s="1"/>
  <c r="AA18" i="94"/>
  <c r="K42" i="108"/>
  <c r="K42" i="111" s="1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E54" i="108"/>
  <c r="E50" i="108"/>
  <c r="C46" i="108"/>
  <c r="C38" i="108"/>
  <c r="C30" i="108"/>
  <c r="C47" i="108"/>
  <c r="G47" i="108"/>
  <c r="K47" i="108"/>
  <c r="K47" i="111" s="1"/>
  <c r="C48" i="108"/>
  <c r="G48" i="108"/>
  <c r="K48" i="108"/>
  <c r="K48" i="111" s="1"/>
  <c r="C49" i="108"/>
  <c r="G49" i="108"/>
  <c r="K49" i="108"/>
  <c r="K49" i="111" s="1"/>
  <c r="C51" i="108"/>
  <c r="G51" i="108"/>
  <c r="K51" i="108"/>
  <c r="K51" i="111" s="1"/>
  <c r="C52" i="108"/>
  <c r="G52" i="108"/>
  <c r="K52" i="108"/>
  <c r="K52" i="111" s="1"/>
  <c r="C53" i="108"/>
  <c r="G53" i="108"/>
  <c r="K53" i="108"/>
  <c r="K53" i="111" s="1"/>
  <c r="K54" i="108"/>
  <c r="K54" i="111" s="1"/>
  <c r="C55" i="108"/>
  <c r="G55" i="108"/>
  <c r="K55" i="108"/>
  <c r="K55" i="111" s="1"/>
  <c r="C56" i="108"/>
  <c r="G56" i="108"/>
  <c r="K56" i="108"/>
  <c r="K56" i="111" s="1"/>
  <c r="C57" i="108"/>
  <c r="G57" i="108"/>
  <c r="K57" i="108"/>
  <c r="K57" i="111" s="1"/>
  <c r="N12" i="108"/>
  <c r="F14" i="108"/>
  <c r="J15" i="108"/>
  <c r="N16" i="108"/>
  <c r="F18" i="108"/>
  <c r="J19" i="108"/>
  <c r="N20" i="108"/>
  <c r="J23" i="108"/>
  <c r="N24" i="108"/>
  <c r="F24" i="108"/>
  <c r="Z13" i="109"/>
  <c r="F16" i="108"/>
  <c r="J17" i="108"/>
  <c r="I54" i="108"/>
  <c r="I50" i="108"/>
  <c r="C12" i="108"/>
  <c r="E12" i="108"/>
  <c r="G12" i="108"/>
  <c r="I12" i="108"/>
  <c r="K12" i="108"/>
  <c r="K12" i="111" s="1"/>
  <c r="M12" i="108"/>
  <c r="C19" i="108"/>
  <c r="E19" i="108"/>
  <c r="G19" i="108"/>
  <c r="I19" i="108"/>
  <c r="K19" i="108"/>
  <c r="K19" i="111" s="1"/>
  <c r="M19" i="108"/>
  <c r="C20" i="108"/>
  <c r="E20" i="108"/>
  <c r="G20" i="108"/>
  <c r="I20" i="108"/>
  <c r="K20" i="108"/>
  <c r="K20" i="111" s="1"/>
  <c r="M20" i="108"/>
  <c r="C21" i="108"/>
  <c r="E21" i="108"/>
  <c r="G21" i="108"/>
  <c r="I21" i="108"/>
  <c r="K21" i="108"/>
  <c r="K21" i="111" s="1"/>
  <c r="M21" i="108"/>
  <c r="C22" i="108"/>
  <c r="E22" i="108"/>
  <c r="G22" i="108"/>
  <c r="I22" i="108"/>
  <c r="K22" i="108"/>
  <c r="K22" i="111" s="1"/>
  <c r="M22" i="108"/>
  <c r="C23" i="108"/>
  <c r="E23" i="108"/>
  <c r="G23" i="108"/>
  <c r="I23" i="108"/>
  <c r="K23" i="108"/>
  <c r="K23" i="111" s="1"/>
  <c r="M23" i="108"/>
  <c r="G54" i="108"/>
  <c r="C54" i="108"/>
  <c r="K50" i="108"/>
  <c r="K50" i="111" s="1"/>
  <c r="G50" i="108"/>
  <c r="C50" i="108"/>
  <c r="K46" i="108"/>
  <c r="K46" i="111" s="1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X16" i="97"/>
  <c r="X26" i="97" s="1"/>
  <c r="W23" i="105"/>
  <c r="S11" i="109"/>
  <c r="AC17" i="109"/>
  <c r="V14" i="109"/>
  <c r="L10" i="108"/>
  <c r="H10" i="108"/>
  <c r="H106" i="108" s="1"/>
  <c r="D10" i="108"/>
  <c r="V13" i="109"/>
  <c r="AD13" i="109"/>
  <c r="V15" i="109"/>
  <c r="AD15" i="109"/>
  <c r="C10" i="108"/>
  <c r="AA11" i="109"/>
  <c r="Z12" i="109"/>
  <c r="Z14" i="109"/>
  <c r="AD13" i="99"/>
  <c r="AD26" i="99" s="1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V19" i="95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S39" i="105"/>
  <c r="Y24" i="105"/>
  <c r="U20" i="95"/>
  <c r="AB39" i="105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Y39" i="105"/>
  <c r="AC39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23" i="105"/>
  <c r="P24" i="105"/>
  <c r="P25" i="105"/>
  <c r="P26" i="105"/>
  <c r="P27" i="105"/>
  <c r="P28" i="105"/>
  <c r="P29" i="105"/>
  <c r="P30" i="105"/>
  <c r="P94" i="105"/>
  <c r="S31" i="105"/>
  <c r="P102" i="105"/>
  <c r="S33" i="105"/>
  <c r="H106" i="105"/>
  <c r="J106" i="105"/>
  <c r="L106" i="105"/>
  <c r="N106" i="105"/>
  <c r="S32" i="105"/>
  <c r="P31" i="105"/>
  <c r="P33" i="105"/>
  <c r="D106" i="105"/>
  <c r="F106" i="105"/>
  <c r="C106" i="105"/>
  <c r="E106" i="105"/>
  <c r="G106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AC18" i="95"/>
  <c r="W16" i="99"/>
  <c r="Y20" i="99"/>
  <c r="Y27" i="99" s="1"/>
  <c r="AC16" i="98"/>
  <c r="AC23" i="98" s="1"/>
  <c r="AD13" i="98"/>
  <c r="U14" i="96"/>
  <c r="AB17" i="95"/>
  <c r="Z19" i="95"/>
  <c r="Z27" i="95" s="1"/>
  <c r="V14" i="98"/>
  <c r="Z13" i="95"/>
  <c r="V14" i="99"/>
  <c r="V26" i="99" s="1"/>
  <c r="T21" i="98"/>
  <c r="T27" i="98" s="1"/>
  <c r="AB14" i="95"/>
  <c r="Y17" i="94"/>
  <c r="U15" i="94"/>
  <c r="W17" i="96"/>
  <c r="Z19" i="98"/>
  <c r="Y19" i="94"/>
  <c r="Y18" i="96"/>
  <c r="AC14" i="94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AA17" i="94"/>
  <c r="V21" i="95"/>
  <c r="X13" i="95"/>
  <c r="X23" i="95" s="1"/>
  <c r="W16" i="94"/>
  <c r="AC20" i="94"/>
  <c r="V15" i="95"/>
  <c r="V26" i="95" s="1"/>
  <c r="U14" i="94"/>
  <c r="W18" i="94"/>
  <c r="V11" i="99"/>
  <c r="T12" i="99"/>
  <c r="V12" i="99"/>
  <c r="X12" i="99"/>
  <c r="Z12" i="99"/>
  <c r="AB12" i="99"/>
  <c r="AD12" i="99"/>
  <c r="AB12" i="98"/>
  <c r="AA12" i="97"/>
  <c r="T12" i="98"/>
  <c r="AC11" i="95"/>
  <c r="U11" i="97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V27" i="96"/>
  <c r="S11" i="97"/>
  <c r="W11" i="97"/>
  <c r="AA11" i="97"/>
  <c r="S12" i="97"/>
  <c r="U12" i="97"/>
  <c r="W12" i="97"/>
  <c r="Y12" i="97"/>
  <c r="AC12" i="97"/>
  <c r="Z13" i="99"/>
  <c r="Z26" i="99" s="1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U11" i="99"/>
  <c r="W11" i="99"/>
  <c r="Y11" i="99"/>
  <c r="AA11" i="99"/>
  <c r="AC11" i="99"/>
  <c r="T13" i="99"/>
  <c r="X13" i="99"/>
  <c r="AB13" i="99"/>
  <c r="P25" i="99"/>
  <c r="P26" i="99"/>
  <c r="P27" i="99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L11" i="107"/>
  <c r="M11" i="107"/>
  <c r="N11" i="107"/>
  <c r="C12" i="107"/>
  <c r="D12" i="107"/>
  <c r="E12" i="107"/>
  <c r="F12" i="107"/>
  <c r="G12" i="107"/>
  <c r="H12" i="107"/>
  <c r="I12" i="107"/>
  <c r="J12" i="107"/>
  <c r="L12" i="107"/>
  <c r="M12" i="107"/>
  <c r="N12" i="107"/>
  <c r="C13" i="107"/>
  <c r="D13" i="107"/>
  <c r="E13" i="107"/>
  <c r="F13" i="107"/>
  <c r="G13" i="107"/>
  <c r="H13" i="107"/>
  <c r="I13" i="107"/>
  <c r="J13" i="107"/>
  <c r="L13" i="107"/>
  <c r="M13" i="107"/>
  <c r="N13" i="107"/>
  <c r="C14" i="107"/>
  <c r="D14" i="107"/>
  <c r="E14" i="107"/>
  <c r="F14" i="107"/>
  <c r="G14" i="107"/>
  <c r="H14" i="107"/>
  <c r="I14" i="107"/>
  <c r="J14" i="107"/>
  <c r="L14" i="107"/>
  <c r="M14" i="107"/>
  <c r="N14" i="107"/>
  <c r="C15" i="107"/>
  <c r="D15" i="107"/>
  <c r="E15" i="107"/>
  <c r="F15" i="107"/>
  <c r="G15" i="107"/>
  <c r="H15" i="107"/>
  <c r="I15" i="107"/>
  <c r="J15" i="107"/>
  <c r="L15" i="107"/>
  <c r="M15" i="107"/>
  <c r="N15" i="107"/>
  <c r="C16" i="107"/>
  <c r="D16" i="107"/>
  <c r="E16" i="107"/>
  <c r="F16" i="107"/>
  <c r="G16" i="107"/>
  <c r="H16" i="107"/>
  <c r="I16" i="107"/>
  <c r="J16" i="107"/>
  <c r="L16" i="107"/>
  <c r="M16" i="107"/>
  <c r="N16" i="107"/>
  <c r="C17" i="107"/>
  <c r="D17" i="107"/>
  <c r="E17" i="107"/>
  <c r="F17" i="107"/>
  <c r="G17" i="107"/>
  <c r="H17" i="107"/>
  <c r="I17" i="107"/>
  <c r="J17" i="107"/>
  <c r="L17" i="107"/>
  <c r="M17" i="107"/>
  <c r="N17" i="107"/>
  <c r="C18" i="107"/>
  <c r="D18" i="107"/>
  <c r="E18" i="107"/>
  <c r="F18" i="107"/>
  <c r="G18" i="107"/>
  <c r="H18" i="107"/>
  <c r="I18" i="107"/>
  <c r="J18" i="107"/>
  <c r="L18" i="107"/>
  <c r="M18" i="107"/>
  <c r="N18" i="107"/>
  <c r="C19" i="107"/>
  <c r="D19" i="107"/>
  <c r="E19" i="107"/>
  <c r="F19" i="107"/>
  <c r="G19" i="107"/>
  <c r="H19" i="107"/>
  <c r="I19" i="107"/>
  <c r="J19" i="107"/>
  <c r="L19" i="107"/>
  <c r="M19" i="107"/>
  <c r="N19" i="107"/>
  <c r="C20" i="107"/>
  <c r="D20" i="107"/>
  <c r="E20" i="107"/>
  <c r="F20" i="107"/>
  <c r="G20" i="107"/>
  <c r="H20" i="107"/>
  <c r="I20" i="107"/>
  <c r="J20" i="107"/>
  <c r="L20" i="107"/>
  <c r="M20" i="107"/>
  <c r="N20" i="107"/>
  <c r="C21" i="107"/>
  <c r="D21" i="107"/>
  <c r="E21" i="107"/>
  <c r="F21" i="107"/>
  <c r="G21" i="107"/>
  <c r="H21" i="107"/>
  <c r="I21" i="107"/>
  <c r="J21" i="107"/>
  <c r="L21" i="107"/>
  <c r="M21" i="107"/>
  <c r="N21" i="107"/>
  <c r="C22" i="107"/>
  <c r="D22" i="107"/>
  <c r="E22" i="107"/>
  <c r="F22" i="107"/>
  <c r="G22" i="107"/>
  <c r="H22" i="107"/>
  <c r="I22" i="107"/>
  <c r="J22" i="107"/>
  <c r="L22" i="107"/>
  <c r="M22" i="107"/>
  <c r="N22" i="107"/>
  <c r="C23" i="107"/>
  <c r="D23" i="107"/>
  <c r="E23" i="107"/>
  <c r="F23" i="107"/>
  <c r="G23" i="107"/>
  <c r="H23" i="107"/>
  <c r="I23" i="107"/>
  <c r="J23" i="107"/>
  <c r="L23" i="107"/>
  <c r="M23" i="107"/>
  <c r="N23" i="107"/>
  <c r="C24" i="107"/>
  <c r="D24" i="107"/>
  <c r="E24" i="107"/>
  <c r="F24" i="107"/>
  <c r="G24" i="107"/>
  <c r="H24" i="107"/>
  <c r="I24" i="107"/>
  <c r="J24" i="107"/>
  <c r="L24" i="107"/>
  <c r="M24" i="107"/>
  <c r="N24" i="107"/>
  <c r="C25" i="107"/>
  <c r="D25" i="107"/>
  <c r="E25" i="107"/>
  <c r="F25" i="107"/>
  <c r="G25" i="107"/>
  <c r="H25" i="107"/>
  <c r="I25" i="107"/>
  <c r="J25" i="107"/>
  <c r="L25" i="107"/>
  <c r="M25" i="107"/>
  <c r="N25" i="107"/>
  <c r="C26" i="107"/>
  <c r="D26" i="107"/>
  <c r="E26" i="107"/>
  <c r="F26" i="107"/>
  <c r="G26" i="107"/>
  <c r="H26" i="107"/>
  <c r="I26" i="107"/>
  <c r="J26" i="107"/>
  <c r="L26" i="107"/>
  <c r="M26" i="107"/>
  <c r="N26" i="107"/>
  <c r="C27" i="107"/>
  <c r="D27" i="107"/>
  <c r="E27" i="107"/>
  <c r="F27" i="107"/>
  <c r="G27" i="107"/>
  <c r="H27" i="107"/>
  <c r="I27" i="107"/>
  <c r="J27" i="107"/>
  <c r="L27" i="107"/>
  <c r="M27" i="107"/>
  <c r="N27" i="107"/>
  <c r="C28" i="107"/>
  <c r="D28" i="107"/>
  <c r="E28" i="107"/>
  <c r="F28" i="107"/>
  <c r="G28" i="107"/>
  <c r="H28" i="107"/>
  <c r="I28" i="107"/>
  <c r="J28" i="107"/>
  <c r="L28" i="107"/>
  <c r="M28" i="107"/>
  <c r="N28" i="107"/>
  <c r="C29" i="107"/>
  <c r="D29" i="107"/>
  <c r="E29" i="107"/>
  <c r="F29" i="107"/>
  <c r="G29" i="107"/>
  <c r="H29" i="107"/>
  <c r="I29" i="107"/>
  <c r="J29" i="107"/>
  <c r="L29" i="107"/>
  <c r="M29" i="107"/>
  <c r="N29" i="107"/>
  <c r="C30" i="107"/>
  <c r="D30" i="107"/>
  <c r="E30" i="107"/>
  <c r="F30" i="107"/>
  <c r="G30" i="107"/>
  <c r="H30" i="107"/>
  <c r="I30" i="107"/>
  <c r="J30" i="107"/>
  <c r="L30" i="107"/>
  <c r="M30" i="107"/>
  <c r="N30" i="107"/>
  <c r="C31" i="107"/>
  <c r="D31" i="107"/>
  <c r="E31" i="107"/>
  <c r="F31" i="107"/>
  <c r="G31" i="107"/>
  <c r="H31" i="107"/>
  <c r="I31" i="107"/>
  <c r="J31" i="107"/>
  <c r="L31" i="107"/>
  <c r="M31" i="107"/>
  <c r="N31" i="107"/>
  <c r="C32" i="107"/>
  <c r="D32" i="107"/>
  <c r="E32" i="107"/>
  <c r="F32" i="107"/>
  <c r="G32" i="107"/>
  <c r="H32" i="107"/>
  <c r="I32" i="107"/>
  <c r="J32" i="107"/>
  <c r="L32" i="107"/>
  <c r="M32" i="107"/>
  <c r="N32" i="107"/>
  <c r="C33" i="107"/>
  <c r="D33" i="107"/>
  <c r="E33" i="107"/>
  <c r="F33" i="107"/>
  <c r="G33" i="107"/>
  <c r="H33" i="107"/>
  <c r="I33" i="107"/>
  <c r="J33" i="107"/>
  <c r="L33" i="107"/>
  <c r="M33" i="107"/>
  <c r="N33" i="107"/>
  <c r="C34" i="107"/>
  <c r="D34" i="107"/>
  <c r="E34" i="107"/>
  <c r="F34" i="107"/>
  <c r="G34" i="107"/>
  <c r="H34" i="107"/>
  <c r="I34" i="107"/>
  <c r="J34" i="107"/>
  <c r="L34" i="107"/>
  <c r="M34" i="107"/>
  <c r="N34" i="107"/>
  <c r="C35" i="107"/>
  <c r="D35" i="107"/>
  <c r="E35" i="107"/>
  <c r="F35" i="107"/>
  <c r="G35" i="107"/>
  <c r="H35" i="107"/>
  <c r="I35" i="107"/>
  <c r="J35" i="107"/>
  <c r="L35" i="107"/>
  <c r="M35" i="107"/>
  <c r="N35" i="107"/>
  <c r="C36" i="107"/>
  <c r="D36" i="107"/>
  <c r="E36" i="107"/>
  <c r="F36" i="107"/>
  <c r="G36" i="107"/>
  <c r="H36" i="107"/>
  <c r="I36" i="107"/>
  <c r="J36" i="107"/>
  <c r="L36" i="107"/>
  <c r="M36" i="107"/>
  <c r="N36" i="107"/>
  <c r="C37" i="107"/>
  <c r="D37" i="107"/>
  <c r="E37" i="107"/>
  <c r="F37" i="107"/>
  <c r="G37" i="107"/>
  <c r="H37" i="107"/>
  <c r="I37" i="107"/>
  <c r="J37" i="107"/>
  <c r="L37" i="107"/>
  <c r="M37" i="107"/>
  <c r="N37" i="107"/>
  <c r="C38" i="107"/>
  <c r="D38" i="107"/>
  <c r="E38" i="107"/>
  <c r="F38" i="107"/>
  <c r="G38" i="107"/>
  <c r="H38" i="107"/>
  <c r="I38" i="107"/>
  <c r="J38" i="107"/>
  <c r="L38" i="107"/>
  <c r="M38" i="107"/>
  <c r="N38" i="107"/>
  <c r="C39" i="107"/>
  <c r="D39" i="107"/>
  <c r="E39" i="107"/>
  <c r="F39" i="107"/>
  <c r="G39" i="107"/>
  <c r="H39" i="107"/>
  <c r="I39" i="107"/>
  <c r="J39" i="107"/>
  <c r="L39" i="107"/>
  <c r="M39" i="107"/>
  <c r="N39" i="107"/>
  <c r="C40" i="107"/>
  <c r="D40" i="107"/>
  <c r="E40" i="107"/>
  <c r="F40" i="107"/>
  <c r="G40" i="107"/>
  <c r="H40" i="107"/>
  <c r="I40" i="107"/>
  <c r="J40" i="107"/>
  <c r="L40" i="107"/>
  <c r="M40" i="107"/>
  <c r="N40" i="107"/>
  <c r="C41" i="107"/>
  <c r="D41" i="107"/>
  <c r="E41" i="107"/>
  <c r="F41" i="107"/>
  <c r="G41" i="107"/>
  <c r="H41" i="107"/>
  <c r="I41" i="107"/>
  <c r="J41" i="107"/>
  <c r="L41" i="107"/>
  <c r="M41" i="107"/>
  <c r="N41" i="107"/>
  <c r="C42" i="107"/>
  <c r="D42" i="107"/>
  <c r="E42" i="107"/>
  <c r="F42" i="107"/>
  <c r="G42" i="107"/>
  <c r="H42" i="107"/>
  <c r="I42" i="107"/>
  <c r="J42" i="107"/>
  <c r="L42" i="107"/>
  <c r="M42" i="107"/>
  <c r="N42" i="107"/>
  <c r="C43" i="107"/>
  <c r="D43" i="107"/>
  <c r="E43" i="107"/>
  <c r="F43" i="107"/>
  <c r="G43" i="107"/>
  <c r="H43" i="107"/>
  <c r="I43" i="107"/>
  <c r="J43" i="107"/>
  <c r="L43" i="107"/>
  <c r="M43" i="107"/>
  <c r="N43" i="107"/>
  <c r="C44" i="107"/>
  <c r="D44" i="107"/>
  <c r="E44" i="107"/>
  <c r="F44" i="107"/>
  <c r="G44" i="107"/>
  <c r="H44" i="107"/>
  <c r="I44" i="107"/>
  <c r="J44" i="107"/>
  <c r="L44" i="107"/>
  <c r="M44" i="107"/>
  <c r="N44" i="107"/>
  <c r="C45" i="107"/>
  <c r="D45" i="107"/>
  <c r="E45" i="107"/>
  <c r="F45" i="107"/>
  <c r="G45" i="107"/>
  <c r="H45" i="107"/>
  <c r="I45" i="107"/>
  <c r="J45" i="107"/>
  <c r="L45" i="107"/>
  <c r="M45" i="107"/>
  <c r="N45" i="107"/>
  <c r="C46" i="107"/>
  <c r="D46" i="107"/>
  <c r="E46" i="107"/>
  <c r="F46" i="107"/>
  <c r="G46" i="107"/>
  <c r="H46" i="107"/>
  <c r="I46" i="107"/>
  <c r="J46" i="107"/>
  <c r="L46" i="107"/>
  <c r="M46" i="107"/>
  <c r="N46" i="107"/>
  <c r="C47" i="107"/>
  <c r="D47" i="107"/>
  <c r="E47" i="107"/>
  <c r="F47" i="107"/>
  <c r="G47" i="107"/>
  <c r="H47" i="107"/>
  <c r="I47" i="107"/>
  <c r="J47" i="107"/>
  <c r="L47" i="107"/>
  <c r="M47" i="107"/>
  <c r="N47" i="107"/>
  <c r="C48" i="107"/>
  <c r="D48" i="107"/>
  <c r="E48" i="107"/>
  <c r="F48" i="107"/>
  <c r="G48" i="107"/>
  <c r="H48" i="107"/>
  <c r="I48" i="107"/>
  <c r="J48" i="107"/>
  <c r="L48" i="107"/>
  <c r="M48" i="107"/>
  <c r="N48" i="107"/>
  <c r="C49" i="107"/>
  <c r="D49" i="107"/>
  <c r="E49" i="107"/>
  <c r="F49" i="107"/>
  <c r="G49" i="107"/>
  <c r="H49" i="107"/>
  <c r="I49" i="107"/>
  <c r="J49" i="107"/>
  <c r="L49" i="107"/>
  <c r="M49" i="107"/>
  <c r="N49" i="107"/>
  <c r="C50" i="107"/>
  <c r="D50" i="107"/>
  <c r="E50" i="107"/>
  <c r="F50" i="107"/>
  <c r="G50" i="107"/>
  <c r="H50" i="107"/>
  <c r="I50" i="107"/>
  <c r="J50" i="107"/>
  <c r="L50" i="107"/>
  <c r="M50" i="107"/>
  <c r="N50" i="107"/>
  <c r="C51" i="107"/>
  <c r="D51" i="107"/>
  <c r="E51" i="107"/>
  <c r="F51" i="107"/>
  <c r="G51" i="107"/>
  <c r="H51" i="107"/>
  <c r="I51" i="107"/>
  <c r="J51" i="107"/>
  <c r="L51" i="107"/>
  <c r="M51" i="107"/>
  <c r="N51" i="107"/>
  <c r="C52" i="107"/>
  <c r="D52" i="107"/>
  <c r="E52" i="107"/>
  <c r="F52" i="107"/>
  <c r="G52" i="107"/>
  <c r="H52" i="107"/>
  <c r="I52" i="107"/>
  <c r="J52" i="107"/>
  <c r="L52" i="107"/>
  <c r="M52" i="107"/>
  <c r="N52" i="107"/>
  <c r="C53" i="107"/>
  <c r="D53" i="107"/>
  <c r="E53" i="107"/>
  <c r="F53" i="107"/>
  <c r="G53" i="107"/>
  <c r="H53" i="107"/>
  <c r="I53" i="107"/>
  <c r="J53" i="107"/>
  <c r="L53" i="107"/>
  <c r="M53" i="107"/>
  <c r="N53" i="107"/>
  <c r="C54" i="107"/>
  <c r="D54" i="107"/>
  <c r="E54" i="107"/>
  <c r="F54" i="107"/>
  <c r="G54" i="107"/>
  <c r="H54" i="107"/>
  <c r="I54" i="107"/>
  <c r="J54" i="107"/>
  <c r="L54" i="107"/>
  <c r="M54" i="107"/>
  <c r="N54" i="107"/>
  <c r="C55" i="107"/>
  <c r="D55" i="107"/>
  <c r="E55" i="107"/>
  <c r="F55" i="107"/>
  <c r="G55" i="107"/>
  <c r="H55" i="107"/>
  <c r="I55" i="107"/>
  <c r="J55" i="107"/>
  <c r="L55" i="107"/>
  <c r="M55" i="107"/>
  <c r="N55" i="107"/>
  <c r="C56" i="107"/>
  <c r="D56" i="107"/>
  <c r="E56" i="107"/>
  <c r="F56" i="107"/>
  <c r="G56" i="107"/>
  <c r="H56" i="107"/>
  <c r="I56" i="107"/>
  <c r="J56" i="107"/>
  <c r="L56" i="107"/>
  <c r="M56" i="107"/>
  <c r="N56" i="107"/>
  <c r="C57" i="107"/>
  <c r="D57" i="107"/>
  <c r="E57" i="107"/>
  <c r="F57" i="107"/>
  <c r="G57" i="107"/>
  <c r="H57" i="107"/>
  <c r="I57" i="107"/>
  <c r="J57" i="107"/>
  <c r="L57" i="107"/>
  <c r="M57" i="107"/>
  <c r="N57" i="107"/>
  <c r="D10" i="107"/>
  <c r="E10" i="107"/>
  <c r="F10" i="107"/>
  <c r="F106" i="107" s="1"/>
  <c r="G10" i="107"/>
  <c r="H10" i="107"/>
  <c r="I10" i="107"/>
  <c r="J10" i="107"/>
  <c r="K10" i="107"/>
  <c r="K106" i="107" s="1"/>
  <c r="L10" i="107"/>
  <c r="M10" i="107"/>
  <c r="N10" i="107"/>
  <c r="N106" i="107" s="1"/>
  <c r="C10" i="107"/>
  <c r="J106" i="107" l="1"/>
  <c r="J106" i="108"/>
  <c r="L106" i="108"/>
  <c r="F106" i="108"/>
  <c r="M106" i="108"/>
  <c r="E106" i="108"/>
  <c r="G106" i="108"/>
  <c r="E106" i="107"/>
  <c r="H106" i="107"/>
  <c r="C106" i="108"/>
  <c r="K106" i="108"/>
  <c r="M106" i="107"/>
  <c r="I106" i="107"/>
  <c r="L106" i="107"/>
  <c r="D106" i="107"/>
  <c r="C106" i="107"/>
  <c r="G106" i="107"/>
  <c r="D106" i="108"/>
  <c r="N106" i="108"/>
  <c r="I106" i="108"/>
  <c r="AB26" i="98"/>
  <c r="V39" i="109"/>
  <c r="AE22" i="105"/>
  <c r="AF22" i="105"/>
  <c r="AE21" i="105"/>
  <c r="AF21" i="105"/>
  <c r="AE20" i="105"/>
  <c r="AF20" i="105"/>
  <c r="AE19" i="105"/>
  <c r="AF19" i="105"/>
  <c r="AE18" i="105"/>
  <c r="AF18" i="105"/>
  <c r="AE17" i="105"/>
  <c r="AF17" i="105"/>
  <c r="AE16" i="105"/>
  <c r="AF16" i="105"/>
  <c r="AE15" i="105"/>
  <c r="AF15" i="105"/>
  <c r="AE14" i="105"/>
  <c r="AF14" i="105"/>
  <c r="AE13" i="105"/>
  <c r="AF13" i="105"/>
  <c r="T19" i="108"/>
  <c r="Z26" i="95"/>
  <c r="U38" i="109"/>
  <c r="X26" i="96"/>
  <c r="S38" i="105"/>
  <c r="Y38" i="105"/>
  <c r="V19" i="108"/>
  <c r="AB23" i="96"/>
  <c r="AC26" i="95"/>
  <c r="T23" i="96"/>
  <c r="W27" i="96"/>
  <c r="T23" i="98"/>
  <c r="Z24" i="98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I56" i="111"/>
  <c r="C56" i="111"/>
  <c r="G55" i="111"/>
  <c r="E55" i="111"/>
  <c r="I54" i="111"/>
  <c r="G54" i="111"/>
  <c r="I53" i="111"/>
  <c r="G53" i="111"/>
  <c r="E53" i="111"/>
  <c r="M52" i="111"/>
  <c r="C52" i="111"/>
  <c r="M51" i="111"/>
  <c r="G51" i="111"/>
  <c r="M50" i="111"/>
  <c r="E50" i="111"/>
  <c r="C50" i="111"/>
  <c r="M49" i="111"/>
  <c r="I49" i="111"/>
  <c r="C49" i="111"/>
  <c r="M48" i="111"/>
  <c r="I48" i="111"/>
  <c r="G48" i="111"/>
  <c r="E47" i="111"/>
  <c r="C47" i="111"/>
  <c r="G46" i="111"/>
  <c r="E46" i="111"/>
  <c r="G45" i="111"/>
  <c r="C45" i="111"/>
  <c r="G44" i="111"/>
  <c r="C44" i="111"/>
  <c r="G43" i="111"/>
  <c r="C43" i="111"/>
  <c r="I42" i="111"/>
  <c r="E42" i="111"/>
  <c r="C42" i="111"/>
  <c r="G41" i="111"/>
  <c r="C41" i="111"/>
  <c r="G40" i="111"/>
  <c r="C40" i="111"/>
  <c r="G39" i="111"/>
  <c r="C39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G37" i="111"/>
  <c r="C37" i="111"/>
  <c r="G36" i="111"/>
  <c r="C36" i="111"/>
  <c r="G35" i="111"/>
  <c r="C35" i="111"/>
  <c r="I34" i="111"/>
  <c r="E34" i="111"/>
  <c r="G33" i="111"/>
  <c r="C33" i="111"/>
  <c r="G32" i="111"/>
  <c r="C32" i="111"/>
  <c r="G31" i="111"/>
  <c r="C31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E26" i="111"/>
  <c r="C26" i="111"/>
  <c r="G25" i="111"/>
  <c r="C25" i="111"/>
  <c r="G24" i="111"/>
  <c r="C24" i="111"/>
  <c r="G23" i="111"/>
  <c r="C23" i="111"/>
  <c r="G22" i="111"/>
  <c r="C22" i="111"/>
  <c r="G21" i="111"/>
  <c r="C21" i="111"/>
  <c r="G20" i="111"/>
  <c r="C20" i="111"/>
  <c r="G19" i="111"/>
  <c r="C19" i="111"/>
  <c r="G18" i="111"/>
  <c r="C18" i="111"/>
  <c r="G17" i="111"/>
  <c r="C17" i="111"/>
  <c r="G16" i="111"/>
  <c r="C16" i="111"/>
  <c r="G15" i="111"/>
  <c r="C15" i="111"/>
  <c r="G14" i="111"/>
  <c r="C14" i="111"/>
  <c r="G13" i="111"/>
  <c r="C13" i="111"/>
  <c r="G12" i="111"/>
  <c r="C12" i="111"/>
  <c r="G11" i="111"/>
  <c r="C11" i="111"/>
  <c r="AB24" i="98"/>
  <c r="W26" i="96"/>
  <c r="V21" i="108"/>
  <c r="AD19" i="108"/>
  <c r="Z21" i="108"/>
  <c r="AD20" i="108"/>
  <c r="V20" i="108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F10" i="111"/>
  <c r="F106" i="111" s="1"/>
  <c r="E57" i="111"/>
  <c r="C57" i="111"/>
  <c r="G56" i="111"/>
  <c r="E56" i="111"/>
  <c r="M55" i="111"/>
  <c r="I55" i="111"/>
  <c r="C55" i="111"/>
  <c r="M54" i="111"/>
  <c r="E54" i="111"/>
  <c r="C54" i="111"/>
  <c r="M53" i="111"/>
  <c r="C53" i="111"/>
  <c r="I52" i="111"/>
  <c r="G52" i="111"/>
  <c r="E52" i="111"/>
  <c r="I51" i="111"/>
  <c r="E51" i="111"/>
  <c r="C51" i="111"/>
  <c r="I50" i="111"/>
  <c r="G50" i="111"/>
  <c r="G49" i="111"/>
  <c r="E49" i="111"/>
  <c r="E48" i="111"/>
  <c r="C48" i="111"/>
  <c r="M47" i="111"/>
  <c r="I47" i="111"/>
  <c r="G47" i="111"/>
  <c r="M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G29" i="111"/>
  <c r="C29" i="111"/>
  <c r="G28" i="111"/>
  <c r="C28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AC26" i="96"/>
  <c r="V10" i="108"/>
  <c r="AB21" i="108"/>
  <c r="X21" i="108"/>
  <c r="T21" i="108"/>
  <c r="AB20" i="108"/>
  <c r="X20" i="108"/>
  <c r="T20" i="108"/>
  <c r="AB19" i="108"/>
  <c r="X19" i="108"/>
  <c r="V12" i="108"/>
  <c r="V11" i="108"/>
  <c r="AD10" i="108"/>
  <c r="AC35" i="109"/>
  <c r="AD11" i="108"/>
  <c r="K10" i="111"/>
  <c r="K106" i="111" s="1"/>
  <c r="G10" i="111"/>
  <c r="U26" i="99"/>
  <c r="X24" i="99"/>
  <c r="U23" i="99"/>
  <c r="S36" i="105"/>
  <c r="T38" i="109"/>
  <c r="AD38" i="109"/>
  <c r="Z38" i="109"/>
  <c r="Z11" i="108"/>
  <c r="AA35" i="109"/>
  <c r="V35" i="109"/>
  <c r="X11" i="108"/>
  <c r="Z10" i="108"/>
  <c r="W12" i="108"/>
  <c r="S35" i="109"/>
  <c r="T11" i="108"/>
  <c r="AA12" i="108"/>
  <c r="V24" i="98"/>
  <c r="X23" i="97"/>
  <c r="AD23" i="99"/>
  <c r="AB38" i="109"/>
  <c r="X10" i="108"/>
  <c r="AD36" i="109"/>
  <c r="Z39" i="109"/>
  <c r="S26" i="97"/>
  <c r="T10" i="108"/>
  <c r="AB10" i="108"/>
  <c r="AF12" i="109"/>
  <c r="AD39" i="109"/>
  <c r="Z36" i="109"/>
  <c r="V36" i="109"/>
  <c r="AC38" i="109"/>
  <c r="U35" i="109"/>
  <c r="V38" i="109"/>
  <c r="X35" i="109"/>
  <c r="Z35" i="109"/>
  <c r="AD35" i="109"/>
  <c r="X34" i="109"/>
  <c r="Y38" i="109"/>
  <c r="Y35" i="109"/>
  <c r="AA38" i="109"/>
  <c r="W38" i="109"/>
  <c r="AF30" i="109"/>
  <c r="X39" i="109"/>
  <c r="X37" i="109"/>
  <c r="AF15" i="109"/>
  <c r="AF14" i="109"/>
  <c r="AF13" i="109"/>
  <c r="AF17" i="109"/>
  <c r="AF16" i="109"/>
  <c r="AC27" i="99"/>
  <c r="V27" i="95"/>
  <c r="AE33" i="109"/>
  <c r="AE32" i="109"/>
  <c r="AE31" i="109"/>
  <c r="AE30" i="109"/>
  <c r="AE29" i="109"/>
  <c r="AF32" i="109"/>
  <c r="AB35" i="109"/>
  <c r="W35" i="109"/>
  <c r="AF11" i="109"/>
  <c r="S38" i="109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Y41" i="108" s="1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W41" i="108" s="1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AB41" i="107" s="1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AD41" i="107" s="1"/>
  <c r="V10" i="107"/>
  <c r="AA10" i="107"/>
  <c r="P10" i="107"/>
  <c r="S10" i="107"/>
  <c r="S41" i="107" s="1"/>
  <c r="O10" i="107"/>
  <c r="X35" i="105"/>
  <c r="AC23" i="95"/>
  <c r="U23" i="96"/>
  <c r="AA35" i="105"/>
  <c r="AD26" i="98"/>
  <c r="U35" i="105"/>
  <c r="AB35" i="105"/>
  <c r="T35" i="105"/>
  <c r="AF33" i="105"/>
  <c r="AF31" i="105"/>
  <c r="AC38" i="105"/>
  <c r="AA38" i="105"/>
  <c r="W38" i="105"/>
  <c r="W35" i="105"/>
  <c r="S35" i="105"/>
  <c r="AF32" i="105"/>
  <c r="Y35" i="105"/>
  <c r="AF30" i="105"/>
  <c r="AF29" i="105"/>
  <c r="AF28" i="105"/>
  <c r="AF27" i="105"/>
  <c r="AF26" i="105"/>
  <c r="AF25" i="105"/>
  <c r="AF24" i="105"/>
  <c r="AF23" i="105"/>
  <c r="AD35" i="105"/>
  <c r="Z35" i="105"/>
  <c r="V35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P106" i="105"/>
  <c r="G107" i="105" s="1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Y24" i="99"/>
  <c r="U26" i="96"/>
  <c r="AB23" i="97"/>
  <c r="W26" i="99"/>
  <c r="U26" i="94"/>
  <c r="V26" i="98"/>
  <c r="U23" i="95"/>
  <c r="AB23" i="95"/>
  <c r="AB26" i="95"/>
  <c r="Z24" i="95"/>
  <c r="V23" i="99"/>
  <c r="V23" i="98"/>
  <c r="Z27" i="98"/>
  <c r="T24" i="98"/>
  <c r="Y27" i="94"/>
  <c r="Y23" i="96"/>
  <c r="Y26" i="94"/>
  <c r="Y23" i="95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Y23" i="94"/>
  <c r="W26" i="94"/>
  <c r="U23" i="94"/>
  <c r="V23" i="95"/>
  <c r="W23" i="94"/>
  <c r="AB26" i="99"/>
  <c r="T26" i="99"/>
  <c r="AC26" i="99"/>
  <c r="AB23" i="99"/>
  <c r="T23" i="99"/>
  <c r="X26" i="99"/>
  <c r="X23" i="99"/>
  <c r="S23" i="98"/>
  <c r="Z23" i="99"/>
  <c r="Y23" i="99"/>
  <c r="AE12" i="97"/>
  <c r="AF13" i="96"/>
  <c r="AE19" i="96"/>
  <c r="AE17" i="96"/>
  <c r="AE15" i="96"/>
  <c r="S23" i="96"/>
  <c r="T25" i="94"/>
  <c r="AE18" i="96"/>
  <c r="S23" i="97"/>
  <c r="AA23" i="99"/>
  <c r="W23" i="99"/>
  <c r="X25" i="94"/>
  <c r="AE16" i="96"/>
  <c r="AE21" i="96"/>
  <c r="AF11" i="98"/>
  <c r="AE18" i="97"/>
  <c r="AE19" i="98"/>
  <c r="AF14" i="99"/>
  <c r="AE20" i="96"/>
  <c r="AE14" i="96"/>
  <c r="S23" i="95"/>
  <c r="S25" i="94"/>
  <c r="AF21" i="99"/>
  <c r="AF20" i="99"/>
  <c r="AF19" i="99"/>
  <c r="AF18" i="99"/>
  <c r="AF17" i="99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E20" i="98"/>
  <c r="AE17" i="98"/>
  <c r="AE11" i="97"/>
  <c r="AB28" i="99"/>
  <c r="AB25" i="99"/>
  <c r="AB22" i="99"/>
  <c r="X28" i="99"/>
  <c r="X25" i="99"/>
  <c r="X22" i="99"/>
  <c r="T28" i="99"/>
  <c r="T25" i="99"/>
  <c r="T22" i="99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AD28" i="99"/>
  <c r="AD25" i="99"/>
  <c r="AD22" i="99"/>
  <c r="Z28" i="99"/>
  <c r="Z25" i="99"/>
  <c r="Z22" i="99"/>
  <c r="V28" i="99"/>
  <c r="V25" i="99"/>
  <c r="V22" i="99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C41" i="107" l="1"/>
  <c r="P106" i="108"/>
  <c r="H107" i="108" s="1"/>
  <c r="AB41" i="108"/>
  <c r="E106" i="111"/>
  <c r="D106" i="111"/>
  <c r="AA41" i="107"/>
  <c r="AA42" i="107" s="1"/>
  <c r="X41" i="107"/>
  <c r="U41" i="107"/>
  <c r="U41" i="108"/>
  <c r="AC41" i="108"/>
  <c r="AC42" i="108" s="1"/>
  <c r="T41" i="108"/>
  <c r="X41" i="108"/>
  <c r="X42" i="108" s="1"/>
  <c r="V41" i="108"/>
  <c r="N106" i="111"/>
  <c r="I106" i="111"/>
  <c r="J106" i="111"/>
  <c r="S42" i="107"/>
  <c r="AB42" i="107"/>
  <c r="C106" i="111"/>
  <c r="P106" i="107"/>
  <c r="T41" i="107"/>
  <c r="T42" i="107" s="1"/>
  <c r="O106" i="108"/>
  <c r="H106" i="111"/>
  <c r="O106" i="107"/>
  <c r="H108" i="107" s="1"/>
  <c r="V41" i="107"/>
  <c r="V42" i="107" s="1"/>
  <c r="Y41" i="107"/>
  <c r="Z41" i="107"/>
  <c r="W41" i="107"/>
  <c r="W42" i="107" s="1"/>
  <c r="S41" i="108"/>
  <c r="S42" i="108" s="1"/>
  <c r="AA41" i="108"/>
  <c r="Z41" i="108"/>
  <c r="G106" i="111"/>
  <c r="AD41" i="108"/>
  <c r="AD42" i="108" s="1"/>
  <c r="M106" i="111"/>
  <c r="L106" i="111"/>
  <c r="AD12" i="111"/>
  <c r="Y34" i="108"/>
  <c r="S36" i="107"/>
  <c r="U39" i="107"/>
  <c r="T12" i="111"/>
  <c r="T13" i="111"/>
  <c r="V36" i="108"/>
  <c r="V39" i="107"/>
  <c r="U36" i="107"/>
  <c r="AD39" i="107"/>
  <c r="V22" i="93"/>
  <c r="AE24" i="98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T41" i="111" s="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P15" i="111"/>
  <c r="O28" i="111"/>
  <c r="O35" i="111"/>
  <c r="O25" i="111"/>
  <c r="O44" i="111"/>
  <c r="O54" i="111"/>
  <c r="AD10" i="111"/>
  <c r="AD41" i="111" s="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AA10" i="111"/>
  <c r="X34" i="108"/>
  <c r="Z34" i="108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Y42" i="108" s="1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V40" i="108"/>
  <c r="Z35" i="108"/>
  <c r="U34" i="108"/>
  <c r="T40" i="108"/>
  <c r="S34" i="108"/>
  <c r="AF16" i="108"/>
  <c r="AA37" i="108"/>
  <c r="AA36" i="108"/>
  <c r="AB34" i="108"/>
  <c r="AB37" i="108"/>
  <c r="W40" i="108"/>
  <c r="W42" i="108" s="1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T40" i="107"/>
  <c r="AE11" i="107"/>
  <c r="V35" i="107"/>
  <c r="AD40" i="107"/>
  <c r="AD42" i="107" s="1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H60" i="94"/>
  <c r="AE27" i="96"/>
  <c r="AE24" i="96"/>
  <c r="AE26" i="97"/>
  <c r="AF27" i="97"/>
  <c r="AF23" i="99"/>
  <c r="AF26" i="99"/>
  <c r="AF24" i="99"/>
  <c r="AF27" i="99"/>
  <c r="AE23" i="97"/>
  <c r="AE27" i="98"/>
  <c r="AF28" i="99"/>
  <c r="AF25" i="99"/>
  <c r="AF22" i="99"/>
  <c r="AE26" i="99"/>
  <c r="AE23" i="99"/>
  <c r="AE27" i="99"/>
  <c r="AE24" i="99"/>
  <c r="E60" i="99"/>
  <c r="G60" i="99"/>
  <c r="I60" i="99"/>
  <c r="K60" i="99"/>
  <c r="F60" i="99"/>
  <c r="J60" i="99"/>
  <c r="N60" i="99"/>
  <c r="D60" i="99"/>
  <c r="H60" i="99"/>
  <c r="L60" i="99"/>
  <c r="M59" i="99"/>
  <c r="D59" i="99"/>
  <c r="H59" i="99"/>
  <c r="L59" i="99"/>
  <c r="E59" i="99"/>
  <c r="G59" i="99"/>
  <c r="I59" i="99"/>
  <c r="K59" i="99"/>
  <c r="F59" i="99"/>
  <c r="J59" i="99"/>
  <c r="N59" i="99"/>
  <c r="C59" i="99"/>
  <c r="AE28" i="99"/>
  <c r="AE25" i="99"/>
  <c r="AE22" i="99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41" i="107" l="1"/>
  <c r="AC41" i="111"/>
  <c r="AC42" i="111" s="1"/>
  <c r="T42" i="111"/>
  <c r="AE41" i="107"/>
  <c r="AE41" i="108"/>
  <c r="AA41" i="111"/>
  <c r="AA42" i="111" s="1"/>
  <c r="U41" i="111"/>
  <c r="V41" i="111"/>
  <c r="W41" i="111"/>
  <c r="AF41" i="108"/>
  <c r="AF42" i="108" s="1"/>
  <c r="V42" i="108"/>
  <c r="U42" i="108"/>
  <c r="Y41" i="111"/>
  <c r="S41" i="111"/>
  <c r="S42" i="111" s="1"/>
  <c r="Z42" i="108"/>
  <c r="Z42" i="107"/>
  <c r="U42" i="107"/>
  <c r="AC42" i="107"/>
  <c r="O106" i="111"/>
  <c r="K108" i="111" s="1"/>
  <c r="X41" i="111"/>
  <c r="AB41" i="111"/>
  <c r="P106" i="111"/>
  <c r="Z41" i="111"/>
  <c r="Z42" i="111" s="1"/>
  <c r="AA42" i="108"/>
  <c r="Y42" i="107"/>
  <c r="T42" i="108"/>
  <c r="X42" i="107"/>
  <c r="AB42" i="108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41" i="111" l="1"/>
  <c r="AE41" i="111"/>
  <c r="AB42" i="111"/>
  <c r="Y42" i="111"/>
  <c r="W42" i="111"/>
  <c r="AE42" i="108"/>
  <c r="U42" i="111"/>
  <c r="X42" i="111"/>
  <c r="V42" i="111"/>
  <c r="AE42" i="107"/>
  <c r="AF42" i="107"/>
  <c r="AF37" i="111"/>
  <c r="K107" i="111"/>
  <c r="AF34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  <c r="AF42" i="111"/>
</calcChain>
</file>

<file path=xl/sharedStrings.xml><?xml version="1.0" encoding="utf-8"?>
<sst xmlns="http://schemas.openxmlformats.org/spreadsheetml/2006/main" count="2338" uniqueCount="181">
  <si>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</si>
  <si>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</si>
  <si>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</si>
  <si>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</si>
  <si>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</si>
  <si>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</si>
  <si>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</si>
  <si>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</si>
  <si>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</si>
  <si>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</si>
  <si>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</si>
  <si>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</si>
  <si>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</si>
  <si>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</si>
  <si>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</si>
  <si>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</si>
  <si>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</si>
  <si>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</si>
  <si>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</si>
  <si>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</si>
  <si>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</si>
  <si>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</si>
  <si>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</si>
  <si>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</si>
  <si>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</si>
  <si>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</si>
  <si>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</si>
  <si>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</si>
  <si>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</si>
  <si>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</si>
  <si>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</si>
  <si>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</si>
  <si>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</si>
  <si>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</si>
  <si>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</si>
  <si>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</si>
  <si>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</si>
  <si>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</si>
  <si>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</si>
  <si>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</si>
  <si>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</si>
  <si>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</si>
  <si>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</si>
  <si>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</si>
  <si>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</si>
  <si>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</si>
  <si>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</si>
  <si>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</si>
  <si>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</si>
  <si>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</si>
  <si>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</si>
  <si>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</si>
  <si>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</si>
  <si>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</si>
  <si>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</si>
  <si>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</si>
  <si>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</si>
  <si>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</si>
  <si>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</si>
  <si>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</si>
  <si>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</si>
  <si>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</si>
  <si>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</si>
  <si>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</si>
  <si>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</si>
  <si>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</si>
  <si>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</si>
  <si>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</si>
  <si>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</si>
  <si>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</si>
  <si>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</si>
  <si>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</si>
  <si>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</si>
  <si>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</si>
  <si>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</si>
  <si>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</si>
  <si>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</si>
  <si>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</si>
  <si>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</si>
  <si>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</si>
  <si>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</si>
  <si>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</si>
  <si>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</si>
  <si>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</si>
  <si>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</si>
  <si>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</si>
  <si>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</si>
  <si>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</si>
  <si>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</si>
  <si>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</si>
  <si>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</si>
  <si>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</si>
  <si>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</si>
  <si>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</si>
  <si>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</si>
  <si>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</si>
  <si>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</si>
  <si>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</si>
  <si>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</si>
  <si>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</si>
  <si>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</si>
  <si>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</si>
  <si>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</si>
  <si>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</si>
  <si>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</si>
  <si>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</si>
  <si>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</si>
  <si>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</si>
  <si>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</si>
  <si>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</si>
  <si>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</si>
  <si>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</si>
  <si>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</si>
  <si>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</si>
  <si>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</si>
  <si>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</si>
  <si>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</si>
  <si>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</si>
  <si>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</si>
  <si>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</si>
  <si>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</si>
  <si>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</si>
  <si>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</si>
  <si>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</si>
  <si>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</si>
  <si>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</si>
  <si>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</si>
  <si>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</si>
  <si>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</si>
  <si>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</si>
  <si>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</si>
  <si>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</si>
  <si>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</si>
  <si>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</si>
  <si>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</si>
  <si>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</si>
  <si>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</si>
  <si>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</si>
  <si>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</si>
  <si>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</si>
  <si>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</si>
  <si>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</si>
  <si>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</si>
  <si>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</si>
  <si>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</si>
  <si>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</si>
  <si>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</si>
  <si>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</si>
  <si>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</si>
  <si>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</si>
  <si>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</si>
  <si>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</si>
  <si>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</si>
  <si>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</si>
  <si>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</si>
  <si>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</si>
  <si>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</si>
  <si>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</si>
  <si>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</si>
  <si>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</si>
  <si>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</si>
  <si>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</si>
  <si>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23.07.19</t>
  </si>
  <si>
    <t>AVERAGE WEEK</t>
  </si>
  <si>
    <t>Kasangati</t>
  </si>
  <si>
    <t>Kiiza-besigye road</t>
  </si>
  <si>
    <t>matugga</t>
  </si>
  <si>
    <t>kivumbi george</t>
  </si>
  <si>
    <t>lawrence</t>
  </si>
  <si>
    <t>Matuga</t>
  </si>
  <si>
    <t>Nakiwara allen</t>
  </si>
  <si>
    <t>Nakiwugwe. Allen</t>
  </si>
  <si>
    <t>29.09.19</t>
  </si>
  <si>
    <t>28.09.19</t>
  </si>
  <si>
    <t>24.09.19</t>
  </si>
  <si>
    <t>MCC - C2- STN-68-MATUGA-KASANGATI- ROAD</t>
  </si>
  <si>
    <t>25.09.19</t>
  </si>
  <si>
    <t>26.09.19</t>
  </si>
  <si>
    <t>MCC - C12- STN-68-MATUGA-KASANGATI- ROAD</t>
  </si>
  <si>
    <t>27.09.19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</si>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</sst>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161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0" fillId="0" borderId="5" xfId="0" applyBorder="1"/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horizont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4" borderId="1" xfId="0" applyNumberFormat="1" applyFill="1" applyBorder="1" applyAlignment="1">
      <alignment horizontal="center" vertical="center"/>
    </xf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1" fontId="0" fillId="4" borderId="1" xfId="0" applyNumberFormat="1" applyFill="1" applyBorder="1" applyAlignment="1">
      <alignment horizontal="center" vertical="center"/>
    </xf>
    <xf numFmtId="0" fontId="0" fillId="0" borderId="4" xfId="0" applyFill="1" applyBorder="1"/>
    <xf numFmtId="1" fontId="0" fillId="3" borderId="4" xfId="0" applyNumberForma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2" borderId="2" xfId="0" applyFont="1" applyFill="1" applyBorder="1" applyAlignment="1">
      <alignment horizontal="left" vertical="center" wrapText="1"/>
    </xf>
    <xf numFmtId="0" fontId="15" fillId="2" borderId="3" xfId="0" applyFont="1" applyFill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'23.09- Kasangati-Matuga'!$AE$9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'23.09- Kasangati-Matuga'!$R$10:$R$21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'23.09- Kasangati-Matuga'!$AE$10:$AE$21</c:f>
              <c:numCache>
                <c:formatCode>0</c:formatCode>
                <c:ptCount val="12"/>
                <c:pt idx="0">
                  <c:v>140</c:v>
                </c:pt>
                <c:pt idx="1">
                  <c:v>97</c:v>
                </c:pt>
                <c:pt idx="2">
                  <c:v>75</c:v>
                </c:pt>
                <c:pt idx="3">
                  <c:v>67</c:v>
                </c:pt>
                <c:pt idx="4">
                  <c:v>73</c:v>
                </c:pt>
                <c:pt idx="5">
                  <c:v>88</c:v>
                </c:pt>
                <c:pt idx="6">
                  <c:v>101</c:v>
                </c:pt>
                <c:pt idx="7">
                  <c:v>72</c:v>
                </c:pt>
                <c:pt idx="8">
                  <c:v>72</c:v>
                </c:pt>
                <c:pt idx="9">
                  <c:v>108</c:v>
                </c:pt>
                <c:pt idx="10">
                  <c:v>115</c:v>
                </c:pt>
                <c:pt idx="11">
                  <c:v>159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'23.09- Kasangati-Matuga'!$AF$9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'23.09- Kasangati-Matuga'!$R$10:$R$21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'23.09- Kasangati-Matuga'!$AF$10:$AF$21</c:f>
              <c:numCache>
                <c:formatCode>0</c:formatCode>
                <c:ptCount val="12"/>
                <c:pt idx="0">
                  <c:v>325</c:v>
                </c:pt>
                <c:pt idx="1">
                  <c:v>320</c:v>
                </c:pt>
                <c:pt idx="2">
                  <c:v>290</c:v>
                </c:pt>
                <c:pt idx="3">
                  <c:v>224</c:v>
                </c:pt>
                <c:pt idx="4">
                  <c:v>235</c:v>
                </c:pt>
                <c:pt idx="5">
                  <c:v>257</c:v>
                </c:pt>
                <c:pt idx="6">
                  <c:v>229</c:v>
                </c:pt>
                <c:pt idx="7">
                  <c:v>193</c:v>
                </c:pt>
                <c:pt idx="8">
                  <c:v>220</c:v>
                </c:pt>
                <c:pt idx="9">
                  <c:v>261</c:v>
                </c:pt>
                <c:pt idx="10">
                  <c:v>259</c:v>
                </c:pt>
                <c:pt idx="11">
                  <c:v>324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41248"/>
        <c:axId val="71159808"/>
      </c:lineChart>
      <c:catAx>
        <c:axId val="71141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159808"/>
        <c:crosses val="autoZero"/>
        <c:auto val="1"/>
        <c:lblAlgn val="ctr"/>
        <c:lblOffset val="100"/>
        <c:noMultiLvlLbl val="0"/>
      </c:catAx>
      <c:valAx>
        <c:axId val="71159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14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'23.09- Kasangati-Matuga'!$C$9:$N$9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'23.09- Kasangati-Matuga'!$C$59:$N$59</c:f>
              <c:numCache>
                <c:formatCode>0.0%</c:formatCode>
                <c:ptCount val="12"/>
                <c:pt idx="0">
                  <c:v>0.14886834555307618</c:v>
                </c:pt>
                <c:pt idx="1">
                  <c:v>7.2680905323557546E-2</c:v>
                </c:pt>
                <c:pt idx="2">
                  <c:v>4.0484539368823715E-2</c:v>
                </c:pt>
                <c:pt idx="3">
                  <c:v>4.5584953777494421E-2</c:v>
                </c:pt>
                <c:pt idx="4">
                  <c:v>1.5938795027095952E-3</c:v>
                </c:pt>
                <c:pt idx="5">
                  <c:v>9.5632770162575704E-4</c:v>
                </c:pt>
                <c:pt idx="6">
                  <c:v>4.0484539368823715E-2</c:v>
                </c:pt>
                <c:pt idx="7">
                  <c:v>1.689512272872171E-2</c:v>
                </c:pt>
                <c:pt idx="8">
                  <c:v>2.2314313037934334E-3</c:v>
                </c:pt>
                <c:pt idx="9">
                  <c:v>2.2314313037934334E-3</c:v>
                </c:pt>
                <c:pt idx="10">
                  <c:v>0.62798852406758054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'23.09- Kasangati-Matuga'!$C$9:$N$9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'23.09- Kasangati-Matuga'!$C$60:$N$60</c:f>
              <c:numCache>
                <c:formatCode>0.00%</c:formatCode>
                <c:ptCount val="12"/>
                <c:pt idx="0">
                  <c:v>0.40017137960582688</c:v>
                </c:pt>
                <c:pt idx="1">
                  <c:v>0.19537275064267351</c:v>
                </c:pt>
                <c:pt idx="2">
                  <c:v>0.10882604970008569</c:v>
                </c:pt>
                <c:pt idx="3">
                  <c:v>0.12253641816623821</c:v>
                </c:pt>
                <c:pt idx="4">
                  <c:v>4.2844901456726651E-3</c:v>
                </c:pt>
                <c:pt idx="5">
                  <c:v>2.5706940874035988E-3</c:v>
                </c:pt>
                <c:pt idx="6">
                  <c:v>0.10882604970008569</c:v>
                </c:pt>
                <c:pt idx="7">
                  <c:v>4.5415595544130251E-2</c:v>
                </c:pt>
                <c:pt idx="8">
                  <c:v>5.9982862039417309E-3</c:v>
                </c:pt>
                <c:pt idx="9">
                  <c:v>5.9982862039417309E-3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'23.09- Matuga 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'23.09- Matuga 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'23.09- Matuga -Kasangati'!$AE$10:$AE$21</c:f>
              <c:numCache>
                <c:formatCode>0</c:formatCode>
                <c:ptCount val="12"/>
                <c:pt idx="0">
                  <c:v>135</c:v>
                </c:pt>
                <c:pt idx="1">
                  <c:v>89</c:v>
                </c:pt>
                <c:pt idx="2">
                  <c:v>73</c:v>
                </c:pt>
                <c:pt idx="3">
                  <c:v>69</c:v>
                </c:pt>
                <c:pt idx="4">
                  <c:v>60</c:v>
                </c:pt>
                <c:pt idx="5">
                  <c:v>55</c:v>
                </c:pt>
                <c:pt idx="6">
                  <c:v>74</c:v>
                </c:pt>
                <c:pt idx="7">
                  <c:v>71</c:v>
                </c:pt>
                <c:pt idx="8">
                  <c:v>84</c:v>
                </c:pt>
                <c:pt idx="9">
                  <c:v>111</c:v>
                </c:pt>
                <c:pt idx="10">
                  <c:v>90</c:v>
                </c:pt>
                <c:pt idx="11">
                  <c:v>170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'23.09- Matuga 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'23.09- Matuga 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'23.09- Matuga -Kasangati'!$AF$10:$AF$21</c:f>
              <c:numCache>
                <c:formatCode>0</c:formatCode>
                <c:ptCount val="12"/>
                <c:pt idx="0">
                  <c:v>303</c:v>
                </c:pt>
                <c:pt idx="1">
                  <c:v>283</c:v>
                </c:pt>
                <c:pt idx="2">
                  <c:v>252</c:v>
                </c:pt>
                <c:pt idx="3">
                  <c:v>215</c:v>
                </c:pt>
                <c:pt idx="4">
                  <c:v>206</c:v>
                </c:pt>
                <c:pt idx="5">
                  <c:v>204</c:v>
                </c:pt>
                <c:pt idx="6">
                  <c:v>236</c:v>
                </c:pt>
                <c:pt idx="7">
                  <c:v>219</c:v>
                </c:pt>
                <c:pt idx="8">
                  <c:v>236</c:v>
                </c:pt>
                <c:pt idx="9">
                  <c:v>250</c:v>
                </c:pt>
                <c:pt idx="10">
                  <c:v>241</c:v>
                </c:pt>
                <c:pt idx="11">
                  <c:v>360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09568"/>
        <c:axId val="38511360"/>
      </c:lineChart>
      <c:catAx>
        <c:axId val="385095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8511360"/>
        <c:crosses val="autoZero"/>
        <c:auto val="1"/>
        <c:lblAlgn val="ctr"/>
        <c:lblOffset val="100"/>
        <c:noMultiLvlLbl val="0"/>
      </c:catAx>
      <c:valAx>
        <c:axId val="38511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850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'23.09- Matuga 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'23.09- Matuga -Kasangati'!$C$59:$N$59</c:f>
              <c:numCache>
                <c:formatCode>0.0%</c:formatCode>
                <c:ptCount val="12"/>
                <c:pt idx="0">
                  <c:v>0.19534109816971715</c:v>
                </c:pt>
                <c:pt idx="1">
                  <c:v>2.5623960066555741E-2</c:v>
                </c:pt>
                <c:pt idx="2">
                  <c:v>2.59567387687188E-2</c:v>
                </c:pt>
                <c:pt idx="3">
                  <c:v>4.5257903494176376E-2</c:v>
                </c:pt>
                <c:pt idx="4">
                  <c:v>2.3294509151414308E-3</c:v>
                </c:pt>
                <c:pt idx="5">
                  <c:v>3.3277870216306157E-4</c:v>
                </c:pt>
                <c:pt idx="6">
                  <c:v>5.2579034941763726E-2</c:v>
                </c:pt>
                <c:pt idx="7">
                  <c:v>8.6522462562396013E-3</c:v>
                </c:pt>
                <c:pt idx="8">
                  <c:v>3.3277870216306157E-3</c:v>
                </c:pt>
                <c:pt idx="9">
                  <c:v>3.3277870216306157E-4</c:v>
                </c:pt>
                <c:pt idx="10">
                  <c:v>0.64026622296173041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'23.09- Matuga 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'23.09- Matuga 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'23.09- Matuga -Kasangati'!$S$10:$S$21</c:f>
              <c:numCache>
                <c:formatCode>0</c:formatCode>
                <c:ptCount val="12"/>
                <c:pt idx="0">
                  <c:v>105</c:v>
                </c:pt>
                <c:pt idx="1">
                  <c:v>53</c:v>
                </c:pt>
                <c:pt idx="2">
                  <c:v>35</c:v>
                </c:pt>
                <c:pt idx="3">
                  <c:v>39</c:v>
                </c:pt>
                <c:pt idx="4">
                  <c:v>33</c:v>
                </c:pt>
                <c:pt idx="5">
                  <c:v>28</c:v>
                </c:pt>
                <c:pt idx="6">
                  <c:v>29</c:v>
                </c:pt>
                <c:pt idx="7">
                  <c:v>33</c:v>
                </c:pt>
                <c:pt idx="8">
                  <c:v>38</c:v>
                </c:pt>
                <c:pt idx="9">
                  <c:v>57</c:v>
                </c:pt>
                <c:pt idx="10">
                  <c:v>42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'23.09- Matuga 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'23.09- Matuga 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'23.09- Matuga -Kasangati'!$T$10:$T$21</c:f>
              <c:numCache>
                <c:formatCode>0</c:formatCode>
                <c:ptCount val="12"/>
                <c:pt idx="0">
                  <c:v>10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  <c:pt idx="6">
                  <c:v>11</c:v>
                </c:pt>
                <c:pt idx="7">
                  <c:v>8</c:v>
                </c:pt>
                <c:pt idx="8">
                  <c:v>5</c:v>
                </c:pt>
                <c:pt idx="9">
                  <c:v>9</c:v>
                </c:pt>
                <c:pt idx="10">
                  <c:v>3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'23.09- Matuga 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-Kasangati'!$U$10:$U$21</c:f>
              <c:numCache>
                <c:formatCode>0</c:formatCode>
                <c:ptCount val="12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2</c:v>
                </c:pt>
                <c:pt idx="6">
                  <c:v>6</c:v>
                </c:pt>
                <c:pt idx="7">
                  <c:v>3</c:v>
                </c:pt>
                <c:pt idx="8">
                  <c:v>2</c:v>
                </c:pt>
                <c:pt idx="9">
                  <c:v>5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'23.09- Matuga 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-Kasangati'!$V$10:$V$21</c:f>
              <c:numCache>
                <c:formatCode>0</c:formatCode>
                <c:ptCount val="12"/>
                <c:pt idx="0">
                  <c:v>9</c:v>
                </c:pt>
                <c:pt idx="1">
                  <c:v>10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8</c:v>
                </c:pt>
                <c:pt idx="7">
                  <c:v>8</c:v>
                </c:pt>
                <c:pt idx="8">
                  <c:v>13</c:v>
                </c:pt>
                <c:pt idx="9">
                  <c:v>13</c:v>
                </c:pt>
                <c:pt idx="10">
                  <c:v>15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'23.09- Matuga 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'23.09- Matuga 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'23.09- Matuga 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-Kasangati'!$Y$10:$Y$21</c:f>
              <c:numCache>
                <c:formatCode>0</c:formatCode>
                <c:ptCount val="12"/>
                <c:pt idx="0">
                  <c:v>6</c:v>
                </c:pt>
                <c:pt idx="1">
                  <c:v>10</c:v>
                </c:pt>
                <c:pt idx="2">
                  <c:v>13</c:v>
                </c:pt>
                <c:pt idx="3">
                  <c:v>7</c:v>
                </c:pt>
                <c:pt idx="4">
                  <c:v>10</c:v>
                </c:pt>
                <c:pt idx="5">
                  <c:v>14</c:v>
                </c:pt>
                <c:pt idx="6">
                  <c:v>15</c:v>
                </c:pt>
                <c:pt idx="7">
                  <c:v>14</c:v>
                </c:pt>
                <c:pt idx="8">
                  <c:v>21</c:v>
                </c:pt>
                <c:pt idx="9">
                  <c:v>20</c:v>
                </c:pt>
                <c:pt idx="10">
                  <c:v>16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'23.09- Matuga 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'23.09- Matuga 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'23.09- Matuga 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'23.09- Matuga 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-Kasangati'!$AC$10:$AC$21</c:f>
              <c:numCache>
                <c:formatCode>0</c:formatCode>
                <c:ptCount val="12"/>
                <c:pt idx="0">
                  <c:v>168</c:v>
                </c:pt>
                <c:pt idx="1">
                  <c:v>194</c:v>
                </c:pt>
                <c:pt idx="2">
                  <c:v>179</c:v>
                </c:pt>
                <c:pt idx="3">
                  <c:v>146</c:v>
                </c:pt>
                <c:pt idx="4">
                  <c:v>146</c:v>
                </c:pt>
                <c:pt idx="5">
                  <c:v>149</c:v>
                </c:pt>
                <c:pt idx="6">
                  <c:v>162</c:v>
                </c:pt>
                <c:pt idx="7">
                  <c:v>148</c:v>
                </c:pt>
                <c:pt idx="8">
                  <c:v>152</c:v>
                </c:pt>
                <c:pt idx="9">
                  <c:v>139</c:v>
                </c:pt>
                <c:pt idx="10">
                  <c:v>151</c:v>
                </c:pt>
                <c:pt idx="11">
                  <c:v>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'23.09- Matuga 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'23.09- Matuga 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605952"/>
        <c:axId val="38607488"/>
      </c:lineChart>
      <c:catAx>
        <c:axId val="3860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8607488"/>
        <c:crosses val="autoZero"/>
        <c:auto val="1"/>
        <c:lblAlgn val="ctr"/>
        <c:lblOffset val="100"/>
        <c:noMultiLvlLbl val="0"/>
      </c:catAx>
      <c:valAx>
        <c:axId val="38607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860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'23.09- Matuga 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'23.09- Matuga -Kasangati'!$C$60:$N$60</c:f>
              <c:numCache>
                <c:formatCode>0.00%</c:formatCode>
                <c:ptCount val="12"/>
                <c:pt idx="0">
                  <c:v>0.54301572617946348</c:v>
                </c:pt>
                <c:pt idx="1">
                  <c:v>7.1230342275670669E-2</c:v>
                </c:pt>
                <c:pt idx="2">
                  <c:v>7.2155411655874191E-2</c:v>
                </c:pt>
                <c:pt idx="3">
                  <c:v>0.12580943570767808</c:v>
                </c:pt>
                <c:pt idx="4">
                  <c:v>6.4754856614246065E-3</c:v>
                </c:pt>
                <c:pt idx="5">
                  <c:v>9.2506938020351531E-4</c:v>
                </c:pt>
                <c:pt idx="6">
                  <c:v>0.1461609620721554</c:v>
                </c:pt>
                <c:pt idx="7">
                  <c:v>2.4051803885291396E-2</c:v>
                </c:pt>
                <c:pt idx="8">
                  <c:v>9.2506938020351526E-3</c:v>
                </c:pt>
                <c:pt idx="9">
                  <c:v>9.2506938020351531E-4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Kasangati-Matugga'!$AE$9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Kasangati-Matugga'!$AE$10:$AE$21</c:f>
              <c:numCache>
                <c:formatCode>0</c:formatCode>
                <c:ptCount val="12"/>
                <c:pt idx="0">
                  <c:v>92</c:v>
                </c:pt>
                <c:pt idx="1">
                  <c:v>80</c:v>
                </c:pt>
                <c:pt idx="2">
                  <c:v>69</c:v>
                </c:pt>
                <c:pt idx="3">
                  <c:v>84</c:v>
                </c:pt>
                <c:pt idx="4">
                  <c:v>79</c:v>
                </c:pt>
                <c:pt idx="5">
                  <c:v>76</c:v>
                </c:pt>
                <c:pt idx="6">
                  <c:v>68</c:v>
                </c:pt>
                <c:pt idx="7">
                  <c:v>68</c:v>
                </c:pt>
                <c:pt idx="8">
                  <c:v>63</c:v>
                </c:pt>
                <c:pt idx="9">
                  <c:v>85</c:v>
                </c:pt>
                <c:pt idx="10">
                  <c:v>110</c:v>
                </c:pt>
                <c:pt idx="11">
                  <c:v>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Kasangati-Matugga'!$AF$9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Kasangati-Matugga'!$AF$10:$AF$21</c:f>
              <c:numCache>
                <c:formatCode>0</c:formatCode>
                <c:ptCount val="12"/>
                <c:pt idx="0">
                  <c:v>254</c:v>
                </c:pt>
                <c:pt idx="1">
                  <c:v>265</c:v>
                </c:pt>
                <c:pt idx="2">
                  <c:v>247</c:v>
                </c:pt>
                <c:pt idx="3">
                  <c:v>212</c:v>
                </c:pt>
                <c:pt idx="4">
                  <c:v>229</c:v>
                </c:pt>
                <c:pt idx="5">
                  <c:v>224</c:v>
                </c:pt>
                <c:pt idx="6">
                  <c:v>214</c:v>
                </c:pt>
                <c:pt idx="7">
                  <c:v>176</c:v>
                </c:pt>
                <c:pt idx="8">
                  <c:v>180</c:v>
                </c:pt>
                <c:pt idx="9">
                  <c:v>228</c:v>
                </c:pt>
                <c:pt idx="10">
                  <c:v>276</c:v>
                </c:pt>
                <c:pt idx="11">
                  <c:v>254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744832"/>
        <c:axId val="38746368"/>
      </c:lineChart>
      <c:catAx>
        <c:axId val="38744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8746368"/>
        <c:crosses val="autoZero"/>
        <c:auto val="1"/>
        <c:lblAlgn val="ctr"/>
        <c:lblOffset val="100"/>
        <c:noMultiLvlLbl val="0"/>
      </c:catAx>
      <c:valAx>
        <c:axId val="38746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874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Kasangati-Matugga'!$C$59:$N$59</c:f>
              <c:numCache>
                <c:formatCode>0.0%</c:formatCode>
                <c:ptCount val="12"/>
                <c:pt idx="0">
                  <c:v>0.13301920985864443</c:v>
                </c:pt>
                <c:pt idx="1">
                  <c:v>7.176513229430953E-2</c:v>
                </c:pt>
                <c:pt idx="2">
                  <c:v>4.3131569409206233E-2</c:v>
                </c:pt>
                <c:pt idx="3">
                  <c:v>4.3494019572308806E-2</c:v>
                </c:pt>
                <c:pt idx="4">
                  <c:v>3.2620514679231605E-3</c:v>
                </c:pt>
                <c:pt idx="5">
                  <c:v>0</c:v>
                </c:pt>
                <c:pt idx="6">
                  <c:v>2.7183762232693004E-2</c:v>
                </c:pt>
                <c:pt idx="7">
                  <c:v>2.3921710764769843E-2</c:v>
                </c:pt>
                <c:pt idx="8">
                  <c:v>2.5371511417180137E-3</c:v>
                </c:pt>
                <c:pt idx="9">
                  <c:v>1.8122508155128669E-3</c:v>
                </c:pt>
                <c:pt idx="10">
                  <c:v>0.64987314244291405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Kasangati-Matugga'!$S$9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Kasangati-Matugga'!$S$10:$S$21</c:f>
              <c:numCache>
                <c:formatCode>0</c:formatCode>
                <c:ptCount val="12"/>
                <c:pt idx="0">
                  <c:v>38</c:v>
                </c:pt>
                <c:pt idx="1">
                  <c:v>27</c:v>
                </c:pt>
                <c:pt idx="2">
                  <c:v>21</c:v>
                </c:pt>
                <c:pt idx="3">
                  <c:v>37</c:v>
                </c:pt>
                <c:pt idx="4">
                  <c:v>29</c:v>
                </c:pt>
                <c:pt idx="5">
                  <c:v>20</c:v>
                </c:pt>
                <c:pt idx="6">
                  <c:v>25</c:v>
                </c:pt>
                <c:pt idx="7">
                  <c:v>24</c:v>
                </c:pt>
                <c:pt idx="8">
                  <c:v>22</c:v>
                </c:pt>
                <c:pt idx="9">
                  <c:v>42</c:v>
                </c:pt>
                <c:pt idx="10">
                  <c:v>44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Kasangati-Matugga'!$T$9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Kasangati-Matugga'!$T$10:$T$21</c:f>
              <c:numCache>
                <c:formatCode>0</c:formatCode>
                <c:ptCount val="12"/>
                <c:pt idx="0">
                  <c:v>13</c:v>
                </c:pt>
                <c:pt idx="1">
                  <c:v>18</c:v>
                </c:pt>
                <c:pt idx="2">
                  <c:v>18</c:v>
                </c:pt>
                <c:pt idx="3">
                  <c:v>14</c:v>
                </c:pt>
                <c:pt idx="4">
                  <c:v>17</c:v>
                </c:pt>
                <c:pt idx="5">
                  <c:v>20</c:v>
                </c:pt>
                <c:pt idx="6">
                  <c:v>18</c:v>
                </c:pt>
                <c:pt idx="7">
                  <c:v>11</c:v>
                </c:pt>
                <c:pt idx="8">
                  <c:v>12</c:v>
                </c:pt>
                <c:pt idx="9">
                  <c:v>14</c:v>
                </c:pt>
                <c:pt idx="10">
                  <c:v>30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Kasangati-Matugga'!$U$9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Kasangati-Matugga'!$U$10:$U$21</c:f>
              <c:numCache>
                <c:formatCode>0</c:formatCode>
                <c:ptCount val="12"/>
                <c:pt idx="0">
                  <c:v>7</c:v>
                </c:pt>
                <c:pt idx="1">
                  <c:v>13</c:v>
                </c:pt>
                <c:pt idx="2">
                  <c:v>11</c:v>
                </c:pt>
                <c:pt idx="3">
                  <c:v>12</c:v>
                </c:pt>
                <c:pt idx="4">
                  <c:v>9</c:v>
                </c:pt>
                <c:pt idx="5">
                  <c:v>12</c:v>
                </c:pt>
                <c:pt idx="6">
                  <c:v>5</c:v>
                </c:pt>
                <c:pt idx="7">
                  <c:v>11</c:v>
                </c:pt>
                <c:pt idx="8">
                  <c:v>11</c:v>
                </c:pt>
                <c:pt idx="9">
                  <c:v>9</c:v>
                </c:pt>
                <c:pt idx="10">
                  <c:v>12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Kasangati-Matugga'!$V$9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Kasangati-Matugga'!$V$10:$V$21</c:f>
              <c:numCache>
                <c:formatCode>0</c:formatCode>
                <c:ptCount val="12"/>
                <c:pt idx="0">
                  <c:v>15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  <c:pt idx="4">
                  <c:v>9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7</c:v>
                </c:pt>
                <c:pt idx="9">
                  <c:v>12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Kasangati-Matugga'!$W$9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Kasangati-Matugga'!$X$9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Kasangati-Matugga'!$Y$9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Kasangati-Matugga'!$Y$10:$Y$21</c:f>
              <c:numCache>
                <c:formatCode>0</c:formatCode>
                <c:ptCount val="12"/>
                <c:pt idx="0">
                  <c:v>7</c:v>
                </c:pt>
                <c:pt idx="1">
                  <c:v>9</c:v>
                </c:pt>
                <c:pt idx="2">
                  <c:v>5</c:v>
                </c:pt>
                <c:pt idx="3">
                  <c:v>8</c:v>
                </c:pt>
                <c:pt idx="4">
                  <c:v>5</c:v>
                </c:pt>
                <c:pt idx="5">
                  <c:v>8</c:v>
                </c:pt>
                <c:pt idx="6">
                  <c:v>6</c:v>
                </c:pt>
                <c:pt idx="7">
                  <c:v>7</c:v>
                </c:pt>
                <c:pt idx="8">
                  <c:v>5</c:v>
                </c:pt>
                <c:pt idx="9">
                  <c:v>2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Kasangati-Matugga'!$Z$9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Kasangati-Matugga'!$Z$10:$Z$21</c:f>
              <c:numCache>
                <c:formatCode>0</c:formatCode>
                <c:ptCount val="12"/>
                <c:pt idx="0">
                  <c:v>10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Kasangati-Matugga'!$AA$9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Kasangati-Matugga'!$AB$9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Kasangati-Matugga'!$AC$9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Kasangati-Matugga'!$AC$10:$AC$21</c:f>
              <c:numCache>
                <c:formatCode>0</c:formatCode>
                <c:ptCount val="12"/>
                <c:pt idx="0">
                  <c:v>162</c:v>
                </c:pt>
                <c:pt idx="1">
                  <c:v>185</c:v>
                </c:pt>
                <c:pt idx="2">
                  <c:v>178</c:v>
                </c:pt>
                <c:pt idx="3">
                  <c:v>128</c:v>
                </c:pt>
                <c:pt idx="4">
                  <c:v>150</c:v>
                </c:pt>
                <c:pt idx="5">
                  <c:v>148</c:v>
                </c:pt>
                <c:pt idx="6">
                  <c:v>146</c:v>
                </c:pt>
                <c:pt idx="7">
                  <c:v>108</c:v>
                </c:pt>
                <c:pt idx="8">
                  <c:v>117</c:v>
                </c:pt>
                <c:pt idx="9">
                  <c:v>143</c:v>
                </c:pt>
                <c:pt idx="10">
                  <c:v>166</c:v>
                </c:pt>
                <c:pt idx="11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Kasangati-Matugga'!$AD$9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Kasangati-Matugga'!$AD$10:$AD$21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688832"/>
        <c:axId val="39694720"/>
      </c:lineChart>
      <c:catAx>
        <c:axId val="3968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9694720"/>
        <c:crosses val="autoZero"/>
        <c:auto val="1"/>
        <c:lblAlgn val="ctr"/>
        <c:lblOffset val="100"/>
        <c:noMultiLvlLbl val="0"/>
      </c:catAx>
      <c:valAx>
        <c:axId val="3969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96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Kasangati-Matugga'!$C$9:$N$9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Kasangati-Matugga'!$C$60:$N$60</c:f>
              <c:numCache>
                <c:formatCode>0.00%</c:formatCode>
                <c:ptCount val="12"/>
                <c:pt idx="0">
                  <c:v>0.37991718426501037</c:v>
                </c:pt>
                <c:pt idx="1">
                  <c:v>0.20496894409937888</c:v>
                </c:pt>
                <c:pt idx="2">
                  <c:v>0.12318840579710146</c:v>
                </c:pt>
                <c:pt idx="3">
                  <c:v>0.12422360248447205</c:v>
                </c:pt>
                <c:pt idx="4">
                  <c:v>9.316770186335404E-3</c:v>
                </c:pt>
                <c:pt idx="5">
                  <c:v>0</c:v>
                </c:pt>
                <c:pt idx="6">
                  <c:v>7.7639751552795025E-2</c:v>
                </c:pt>
                <c:pt idx="7">
                  <c:v>6.8322981366459631E-2</c:v>
                </c:pt>
                <c:pt idx="8">
                  <c:v>7.246376811594203E-3</c:v>
                </c:pt>
                <c:pt idx="9">
                  <c:v>5.175983436853002E-3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Matugga-Kasangati'!$AE$9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Matugga-Kasangati'!$AE$10:$AE$21</c:f>
              <c:numCache>
                <c:formatCode>0</c:formatCode>
                <c:ptCount val="12"/>
                <c:pt idx="0">
                  <c:v>130</c:v>
                </c:pt>
                <c:pt idx="1">
                  <c:v>96</c:v>
                </c:pt>
                <c:pt idx="2">
                  <c:v>77</c:v>
                </c:pt>
                <c:pt idx="3">
                  <c:v>65</c:v>
                </c:pt>
                <c:pt idx="4">
                  <c:v>89</c:v>
                </c:pt>
                <c:pt idx="5">
                  <c:v>60</c:v>
                </c:pt>
                <c:pt idx="6">
                  <c:v>70</c:v>
                </c:pt>
                <c:pt idx="7">
                  <c:v>63</c:v>
                </c:pt>
                <c:pt idx="8">
                  <c:v>82</c:v>
                </c:pt>
                <c:pt idx="9">
                  <c:v>103</c:v>
                </c:pt>
                <c:pt idx="10">
                  <c:v>97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Matugga-Kasangati'!$AF$9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Matugga-Kasangati'!$AF$10:$AF$21</c:f>
              <c:numCache>
                <c:formatCode>0</c:formatCode>
                <c:ptCount val="12"/>
                <c:pt idx="0">
                  <c:v>324</c:v>
                </c:pt>
                <c:pt idx="1">
                  <c:v>306</c:v>
                </c:pt>
                <c:pt idx="2">
                  <c:v>248</c:v>
                </c:pt>
                <c:pt idx="3">
                  <c:v>207</c:v>
                </c:pt>
                <c:pt idx="4">
                  <c:v>218</c:v>
                </c:pt>
                <c:pt idx="5">
                  <c:v>216</c:v>
                </c:pt>
                <c:pt idx="6">
                  <c:v>203</c:v>
                </c:pt>
                <c:pt idx="7">
                  <c:v>186</c:v>
                </c:pt>
                <c:pt idx="8">
                  <c:v>225</c:v>
                </c:pt>
                <c:pt idx="9">
                  <c:v>225</c:v>
                </c:pt>
                <c:pt idx="10">
                  <c:v>283</c:v>
                </c:pt>
                <c:pt idx="11">
                  <c:v>298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183168"/>
        <c:axId val="70320128"/>
      </c:lineChart>
      <c:catAx>
        <c:axId val="70183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320128"/>
        <c:crosses val="autoZero"/>
        <c:auto val="1"/>
        <c:lblAlgn val="ctr"/>
        <c:lblOffset val="100"/>
        <c:noMultiLvlLbl val="0"/>
      </c:catAx>
      <c:valAx>
        <c:axId val="703201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Matugga-Kasangati'!$C$59:$N$59</c:f>
              <c:numCache>
                <c:formatCode>0.0%</c:formatCode>
                <c:ptCount val="12"/>
                <c:pt idx="0">
                  <c:v>0.1902007485539299</c:v>
                </c:pt>
                <c:pt idx="1">
                  <c:v>3.4025178632187819E-2</c:v>
                </c:pt>
                <c:pt idx="2">
                  <c:v>3.0622660768969037E-2</c:v>
                </c:pt>
                <c:pt idx="3">
                  <c:v>4.0830214358625383E-2</c:v>
                </c:pt>
                <c:pt idx="4">
                  <c:v>6.1245321537938078E-3</c:v>
                </c:pt>
                <c:pt idx="5">
                  <c:v>3.4025178632187818E-4</c:v>
                </c:pt>
                <c:pt idx="6">
                  <c:v>3.980945899965975E-2</c:v>
                </c:pt>
                <c:pt idx="7">
                  <c:v>7.8257910854031987E-3</c:v>
                </c:pt>
                <c:pt idx="8">
                  <c:v>4.4232732221844168E-3</c:v>
                </c:pt>
                <c:pt idx="9">
                  <c:v>3.4025178632187819E-3</c:v>
                </c:pt>
                <c:pt idx="10">
                  <c:v>0.642395372575706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Matugga-Kasangati'!$S$9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Matugga-Kasangati'!$S$10:$S$21</c:f>
              <c:numCache>
                <c:formatCode>0</c:formatCode>
                <c:ptCount val="12"/>
                <c:pt idx="0">
                  <c:v>79</c:v>
                </c:pt>
                <c:pt idx="1">
                  <c:v>59</c:v>
                </c:pt>
                <c:pt idx="2">
                  <c:v>39</c:v>
                </c:pt>
                <c:pt idx="3">
                  <c:v>35</c:v>
                </c:pt>
                <c:pt idx="4">
                  <c:v>51</c:v>
                </c:pt>
                <c:pt idx="5">
                  <c:v>38</c:v>
                </c:pt>
                <c:pt idx="6">
                  <c:v>30</c:v>
                </c:pt>
                <c:pt idx="7">
                  <c:v>33</c:v>
                </c:pt>
                <c:pt idx="8">
                  <c:v>42</c:v>
                </c:pt>
                <c:pt idx="9">
                  <c:v>47</c:v>
                </c:pt>
                <c:pt idx="10">
                  <c:v>48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Matugga-Kasangati'!$T$9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Matugga-Kasangati'!$T$10:$T$21</c:f>
              <c:numCache>
                <c:formatCode>0</c:formatCode>
                <c:ptCount val="12"/>
                <c:pt idx="0">
                  <c:v>10</c:v>
                </c:pt>
                <c:pt idx="1">
                  <c:v>2</c:v>
                </c:pt>
                <c:pt idx="2">
                  <c:v>9</c:v>
                </c:pt>
                <c:pt idx="3">
                  <c:v>9</c:v>
                </c:pt>
                <c:pt idx="4">
                  <c:v>7</c:v>
                </c:pt>
                <c:pt idx="5">
                  <c:v>5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13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Matugga-Kasangati'!$U$9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Matugga-Kasangati'!$U$10:$U$21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6</c:v>
                </c:pt>
                <c:pt idx="3">
                  <c:v>3</c:v>
                </c:pt>
                <c:pt idx="4">
                  <c:v>7</c:v>
                </c:pt>
                <c:pt idx="5">
                  <c:v>4</c:v>
                </c:pt>
                <c:pt idx="6">
                  <c:v>11</c:v>
                </c:pt>
                <c:pt idx="7">
                  <c:v>6</c:v>
                </c:pt>
                <c:pt idx="8">
                  <c:v>6</c:v>
                </c:pt>
                <c:pt idx="9">
                  <c:v>10</c:v>
                </c:pt>
                <c:pt idx="10">
                  <c:v>7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Matugga-Kasangati'!$V$9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Matugga-Kasangati'!$V$10:$V$21</c:f>
              <c:numCache>
                <c:formatCode>0</c:formatCode>
                <c:ptCount val="12"/>
                <c:pt idx="0">
                  <c:v>10</c:v>
                </c:pt>
                <c:pt idx="1">
                  <c:v>11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17</c:v>
                </c:pt>
                <c:pt idx="10">
                  <c:v>17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Matugga-Kasangati'!$W$9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Matugga-Kasangati'!$W$10:$W$21</c:f>
              <c:numCache>
                <c:formatCode>0</c:formatCode>
                <c:ptCount val="12"/>
                <c:pt idx="0">
                  <c:v>10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Matugga-Kasangati'!$X$9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Matugga-Kasangati'!$Y$9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Matugga-Kasangati'!$Y$10:$Y$21</c:f>
              <c:numCache>
                <c:formatCode>0</c:formatCode>
                <c:ptCount val="12"/>
                <c:pt idx="0">
                  <c:v>6</c:v>
                </c:pt>
                <c:pt idx="1">
                  <c:v>11</c:v>
                </c:pt>
                <c:pt idx="2">
                  <c:v>9</c:v>
                </c:pt>
                <c:pt idx="3">
                  <c:v>9</c:v>
                </c:pt>
                <c:pt idx="4">
                  <c:v>13</c:v>
                </c:pt>
                <c:pt idx="5">
                  <c:v>5</c:v>
                </c:pt>
                <c:pt idx="6">
                  <c:v>9</c:v>
                </c:pt>
                <c:pt idx="7">
                  <c:v>5</c:v>
                </c:pt>
                <c:pt idx="8">
                  <c:v>13</c:v>
                </c:pt>
                <c:pt idx="9">
                  <c:v>11</c:v>
                </c:pt>
                <c:pt idx="10">
                  <c:v>14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Matugga-Kasangati'!$Z$9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Matugga-Kasangati'!$Z$10:$Z$21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Matugga-Kasangati'!$AA$9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Matugga-Kasangati'!$AB$9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Matugga-Kasangati'!$AC$9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Matugga-Kasangati'!$AC$10:$AC$21</c:f>
              <c:numCache>
                <c:formatCode>0</c:formatCode>
                <c:ptCount val="12"/>
                <c:pt idx="0">
                  <c:v>194</c:v>
                </c:pt>
                <c:pt idx="1">
                  <c:v>210</c:v>
                </c:pt>
                <c:pt idx="2">
                  <c:v>171</c:v>
                </c:pt>
                <c:pt idx="3">
                  <c:v>142</c:v>
                </c:pt>
                <c:pt idx="4">
                  <c:v>129</c:v>
                </c:pt>
                <c:pt idx="5">
                  <c:v>156</c:v>
                </c:pt>
                <c:pt idx="6">
                  <c:v>133</c:v>
                </c:pt>
                <c:pt idx="7">
                  <c:v>123</c:v>
                </c:pt>
                <c:pt idx="8">
                  <c:v>143</c:v>
                </c:pt>
                <c:pt idx="9">
                  <c:v>122</c:v>
                </c:pt>
                <c:pt idx="10">
                  <c:v>186</c:v>
                </c:pt>
                <c:pt idx="11">
                  <c:v>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Matugga-Kasangati'!$AD$9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Matugga-Kasangati'!$AD$10:$AD$21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599040"/>
        <c:axId val="70600576"/>
      </c:lineChart>
      <c:catAx>
        <c:axId val="7059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600576"/>
        <c:crosses val="autoZero"/>
        <c:auto val="1"/>
        <c:lblAlgn val="ctr"/>
        <c:lblOffset val="100"/>
        <c:noMultiLvlLbl val="0"/>
      </c:catAx>
      <c:valAx>
        <c:axId val="7060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5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Matugga-Kasangati'!$C$60:$N$60</c:f>
              <c:numCache>
                <c:formatCode>0.00%</c:formatCode>
                <c:ptCount val="12"/>
                <c:pt idx="0">
                  <c:v>0.5318744053282588</c:v>
                </c:pt>
                <c:pt idx="1">
                  <c:v>9.5147478591817311E-2</c:v>
                </c:pt>
                <c:pt idx="2">
                  <c:v>8.5632730732635581E-2</c:v>
                </c:pt>
                <c:pt idx="3">
                  <c:v>0.11417697431018078</c:v>
                </c:pt>
                <c:pt idx="4">
                  <c:v>1.7126546146527116E-2</c:v>
                </c:pt>
                <c:pt idx="5">
                  <c:v>9.5147478591817321E-4</c:v>
                </c:pt>
                <c:pt idx="6">
                  <c:v>0.11132254995242626</c:v>
                </c:pt>
                <c:pt idx="7">
                  <c:v>2.1883920076117985E-2</c:v>
                </c:pt>
                <c:pt idx="8">
                  <c:v>1.2369172216936251E-2</c:v>
                </c:pt>
                <c:pt idx="9">
                  <c:v>9.5147478591817315E-3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Kasangati-Matugga'!$AE$9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Kasangati-Matugga'!$AE$10:$AE$21</c:f>
              <c:numCache>
                <c:formatCode>0</c:formatCode>
                <c:ptCount val="12"/>
                <c:pt idx="0">
                  <c:v>92</c:v>
                </c:pt>
                <c:pt idx="1">
                  <c:v>90</c:v>
                </c:pt>
                <c:pt idx="2">
                  <c:v>72</c:v>
                </c:pt>
                <c:pt idx="3">
                  <c:v>71</c:v>
                </c:pt>
                <c:pt idx="4">
                  <c:v>69</c:v>
                </c:pt>
                <c:pt idx="5">
                  <c:v>70</c:v>
                </c:pt>
                <c:pt idx="6">
                  <c:v>69</c:v>
                </c:pt>
                <c:pt idx="7">
                  <c:v>54</c:v>
                </c:pt>
                <c:pt idx="8">
                  <c:v>65</c:v>
                </c:pt>
                <c:pt idx="9">
                  <c:v>87</c:v>
                </c:pt>
                <c:pt idx="10">
                  <c:v>130</c:v>
                </c:pt>
                <c:pt idx="11">
                  <c:v>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Kasangati-Matugga'!$AF$9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Kasangati-Matugga'!$AF$10:$AF$21</c:f>
              <c:numCache>
                <c:formatCode>0</c:formatCode>
                <c:ptCount val="12"/>
                <c:pt idx="0">
                  <c:v>262</c:v>
                </c:pt>
                <c:pt idx="1">
                  <c:v>285</c:v>
                </c:pt>
                <c:pt idx="2">
                  <c:v>220</c:v>
                </c:pt>
                <c:pt idx="3">
                  <c:v>167</c:v>
                </c:pt>
                <c:pt idx="4">
                  <c:v>164</c:v>
                </c:pt>
                <c:pt idx="5">
                  <c:v>173</c:v>
                </c:pt>
                <c:pt idx="6">
                  <c:v>177</c:v>
                </c:pt>
                <c:pt idx="7">
                  <c:v>134</c:v>
                </c:pt>
                <c:pt idx="8">
                  <c:v>172</c:v>
                </c:pt>
                <c:pt idx="9">
                  <c:v>216</c:v>
                </c:pt>
                <c:pt idx="10">
                  <c:v>252</c:v>
                </c:pt>
                <c:pt idx="11">
                  <c:v>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03456"/>
        <c:axId val="70804992"/>
      </c:lineChart>
      <c:catAx>
        <c:axId val="708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804992"/>
        <c:crosses val="autoZero"/>
        <c:auto val="1"/>
        <c:lblAlgn val="ctr"/>
        <c:lblOffset val="100"/>
        <c:noMultiLvlLbl val="0"/>
      </c:catAx>
      <c:valAx>
        <c:axId val="708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08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Kasangati-Matugga'!$C$59:$N$59</c:f>
              <c:numCache>
                <c:formatCode>0.0%</c:formatCode>
                <c:ptCount val="12"/>
                <c:pt idx="0">
                  <c:v>0.16396039603960397</c:v>
                </c:pt>
                <c:pt idx="1">
                  <c:v>7.4851485148514849E-2</c:v>
                </c:pt>
                <c:pt idx="2">
                  <c:v>4.0396039603960397E-2</c:v>
                </c:pt>
                <c:pt idx="3">
                  <c:v>5.7029702970297032E-2</c:v>
                </c:pt>
                <c:pt idx="4">
                  <c:v>7.9207920792079213E-4</c:v>
                </c:pt>
                <c:pt idx="5">
                  <c:v>1.1881188118811881E-3</c:v>
                </c:pt>
                <c:pt idx="6">
                  <c:v>3.4059405940594062E-2</c:v>
                </c:pt>
                <c:pt idx="7">
                  <c:v>1.9009900990099009E-2</c:v>
                </c:pt>
                <c:pt idx="8">
                  <c:v>4.3564356435643568E-3</c:v>
                </c:pt>
                <c:pt idx="9">
                  <c:v>1.5841584158415843E-3</c:v>
                </c:pt>
                <c:pt idx="10">
                  <c:v>0.60237623762376236</c:v>
                </c:pt>
                <c:pt idx="11">
                  <c:v>3.9603960396039607E-4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Kasangati-Matugga'!$S$9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Kasangati-Matugga'!$S$10:$S$21</c:f>
              <c:numCache>
                <c:formatCode>0</c:formatCode>
                <c:ptCount val="12"/>
                <c:pt idx="0">
                  <c:v>38</c:v>
                </c:pt>
                <c:pt idx="1">
                  <c:v>45</c:v>
                </c:pt>
                <c:pt idx="2">
                  <c:v>33</c:v>
                </c:pt>
                <c:pt idx="3">
                  <c:v>28</c:v>
                </c:pt>
                <c:pt idx="4">
                  <c:v>17</c:v>
                </c:pt>
                <c:pt idx="5">
                  <c:v>25</c:v>
                </c:pt>
                <c:pt idx="6">
                  <c:v>30</c:v>
                </c:pt>
                <c:pt idx="7">
                  <c:v>21</c:v>
                </c:pt>
                <c:pt idx="8">
                  <c:v>34</c:v>
                </c:pt>
                <c:pt idx="9">
                  <c:v>34</c:v>
                </c:pt>
                <c:pt idx="10">
                  <c:v>51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Kasangati-Matugga'!$T$9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Kasangati-Matugga'!$T$10:$T$21</c:f>
              <c:numCache>
                <c:formatCode>0</c:formatCode>
                <c:ptCount val="12"/>
                <c:pt idx="0">
                  <c:v>16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15</c:v>
                </c:pt>
                <c:pt idx="5">
                  <c:v>17</c:v>
                </c:pt>
                <c:pt idx="6">
                  <c:v>14</c:v>
                </c:pt>
                <c:pt idx="7">
                  <c:v>3</c:v>
                </c:pt>
                <c:pt idx="8">
                  <c:v>8</c:v>
                </c:pt>
                <c:pt idx="9">
                  <c:v>12</c:v>
                </c:pt>
                <c:pt idx="10">
                  <c:v>33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Kasangati-Matugga'!$U$9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Kasangati-Matugga'!$U$10:$U$21</c:f>
              <c:numCache>
                <c:formatCode>0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6</c:v>
                </c:pt>
                <c:pt idx="3">
                  <c:v>10</c:v>
                </c:pt>
                <c:pt idx="4">
                  <c:v>15</c:v>
                </c:pt>
                <c:pt idx="5">
                  <c:v>10</c:v>
                </c:pt>
                <c:pt idx="6">
                  <c:v>6</c:v>
                </c:pt>
                <c:pt idx="7">
                  <c:v>9</c:v>
                </c:pt>
                <c:pt idx="8">
                  <c:v>3</c:v>
                </c:pt>
                <c:pt idx="9">
                  <c:v>4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Kasangati-Matugga'!$V$9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Kasangati-Matugga'!$V$10:$V$21</c:f>
              <c:numCache>
                <c:formatCode>0</c:formatCode>
                <c:ptCount val="12"/>
                <c:pt idx="0">
                  <c:v>17</c:v>
                </c:pt>
                <c:pt idx="1">
                  <c:v>12</c:v>
                </c:pt>
                <c:pt idx="2">
                  <c:v>10</c:v>
                </c:pt>
                <c:pt idx="3">
                  <c:v>5</c:v>
                </c:pt>
                <c:pt idx="4">
                  <c:v>5</c:v>
                </c:pt>
                <c:pt idx="5">
                  <c:v>9</c:v>
                </c:pt>
                <c:pt idx="6">
                  <c:v>10</c:v>
                </c:pt>
                <c:pt idx="7">
                  <c:v>6</c:v>
                </c:pt>
                <c:pt idx="8">
                  <c:v>10</c:v>
                </c:pt>
                <c:pt idx="9">
                  <c:v>17</c:v>
                </c:pt>
                <c:pt idx="10">
                  <c:v>19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Kasangati-Matugga'!$W$9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Kasangati-Matugga'!$X$9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Kasangati-Matugga'!$Y$9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Kasangati-Matugga'!$Y$10:$Y$21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7</c:v>
                </c:pt>
                <c:pt idx="3">
                  <c:v>8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Kasangati-Matugga'!$Z$9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7</c:v>
                </c:pt>
                <c:pt idx="4">
                  <c:v>9</c:v>
                </c:pt>
                <c:pt idx="5">
                  <c:v>5</c:v>
                </c:pt>
                <c:pt idx="6">
                  <c:v>2</c:v>
                </c:pt>
                <c:pt idx="7">
                  <c:v>6</c:v>
                </c:pt>
                <c:pt idx="8">
                  <c:v>1</c:v>
                </c:pt>
                <c:pt idx="9">
                  <c:v>7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Kasangati-Matugga'!$AA$9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Kasangati-Matugga'!$AB$9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Kasangati-Matugga'!$AC$9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Kasangati-Matugga'!$AC$10:$AC$21</c:f>
              <c:numCache>
                <c:formatCode>0</c:formatCode>
                <c:ptCount val="12"/>
                <c:pt idx="0">
                  <c:v>170</c:v>
                </c:pt>
                <c:pt idx="1">
                  <c:v>195</c:v>
                </c:pt>
                <c:pt idx="2">
                  <c:v>148</c:v>
                </c:pt>
                <c:pt idx="3">
                  <c:v>96</c:v>
                </c:pt>
                <c:pt idx="4">
                  <c:v>95</c:v>
                </c:pt>
                <c:pt idx="5">
                  <c:v>103</c:v>
                </c:pt>
                <c:pt idx="6">
                  <c:v>108</c:v>
                </c:pt>
                <c:pt idx="7">
                  <c:v>80</c:v>
                </c:pt>
                <c:pt idx="8">
                  <c:v>107</c:v>
                </c:pt>
                <c:pt idx="9">
                  <c:v>129</c:v>
                </c:pt>
                <c:pt idx="10">
                  <c:v>122</c:v>
                </c:pt>
                <c:pt idx="11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Kasangati-Matugga'!$AD$9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Kasangati-Matugga'!$AD$10:$AD$21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157632"/>
        <c:axId val="71159168"/>
      </c:lineChart>
      <c:catAx>
        <c:axId val="71157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159168"/>
        <c:crosses val="autoZero"/>
        <c:auto val="1"/>
        <c:lblAlgn val="ctr"/>
        <c:lblOffset val="100"/>
        <c:noMultiLvlLbl val="0"/>
      </c:catAx>
      <c:valAx>
        <c:axId val="711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1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Kasangati-Matugga'!$C$9:$N$9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Kasangati-Matugga'!$C$60:$N$60</c:f>
              <c:numCache>
                <c:formatCode>0.00%</c:formatCode>
                <c:ptCount val="12"/>
                <c:pt idx="0">
                  <c:v>0.41235059760956178</c:v>
                </c:pt>
                <c:pt idx="1">
                  <c:v>0.18824701195219123</c:v>
                </c:pt>
                <c:pt idx="2">
                  <c:v>0.10159362549800798</c:v>
                </c:pt>
                <c:pt idx="3">
                  <c:v>0.14342629482071714</c:v>
                </c:pt>
                <c:pt idx="4">
                  <c:v>1.9920318725099601E-3</c:v>
                </c:pt>
                <c:pt idx="5">
                  <c:v>2.9880478087649402E-3</c:v>
                </c:pt>
                <c:pt idx="6">
                  <c:v>8.565737051792828E-2</c:v>
                </c:pt>
                <c:pt idx="7">
                  <c:v>4.7808764940239043E-2</c:v>
                </c:pt>
                <c:pt idx="8">
                  <c:v>1.0956175298804782E-2</c:v>
                </c:pt>
                <c:pt idx="9">
                  <c:v>3.9840637450199202E-3</c:v>
                </c:pt>
                <c:pt idx="11">
                  <c:v>9.9601593625498006E-4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Matugga-Kasangati'!$AE$9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Matugga-Kasangati'!$AE$10:$AE$21</c:f>
              <c:numCache>
                <c:formatCode>0</c:formatCode>
                <c:ptCount val="12"/>
                <c:pt idx="0">
                  <c:v>130</c:v>
                </c:pt>
                <c:pt idx="1">
                  <c:v>74</c:v>
                </c:pt>
                <c:pt idx="2">
                  <c:v>76</c:v>
                </c:pt>
                <c:pt idx="3">
                  <c:v>76</c:v>
                </c:pt>
                <c:pt idx="4">
                  <c:v>59</c:v>
                </c:pt>
                <c:pt idx="5">
                  <c:v>95</c:v>
                </c:pt>
                <c:pt idx="6">
                  <c:v>89</c:v>
                </c:pt>
                <c:pt idx="7">
                  <c:v>51</c:v>
                </c:pt>
                <c:pt idx="8">
                  <c:v>70</c:v>
                </c:pt>
                <c:pt idx="9">
                  <c:v>93</c:v>
                </c:pt>
                <c:pt idx="10">
                  <c:v>115</c:v>
                </c:pt>
                <c:pt idx="11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Matugga-Kasangati'!$AF$9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Matugga-Kasangati'!$AF$10:$AF$21</c:f>
              <c:numCache>
                <c:formatCode>0</c:formatCode>
                <c:ptCount val="12"/>
                <c:pt idx="0">
                  <c:v>347</c:v>
                </c:pt>
                <c:pt idx="1">
                  <c:v>252</c:v>
                </c:pt>
                <c:pt idx="2">
                  <c:v>261</c:v>
                </c:pt>
                <c:pt idx="3">
                  <c:v>243</c:v>
                </c:pt>
                <c:pt idx="4">
                  <c:v>202</c:v>
                </c:pt>
                <c:pt idx="5">
                  <c:v>242</c:v>
                </c:pt>
                <c:pt idx="6">
                  <c:v>262</c:v>
                </c:pt>
                <c:pt idx="7">
                  <c:v>151</c:v>
                </c:pt>
                <c:pt idx="8">
                  <c:v>188</c:v>
                </c:pt>
                <c:pt idx="9">
                  <c:v>244</c:v>
                </c:pt>
                <c:pt idx="10">
                  <c:v>305</c:v>
                </c:pt>
                <c:pt idx="11">
                  <c:v>288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284224"/>
        <c:axId val="71285760"/>
      </c:lineChart>
      <c:catAx>
        <c:axId val="712842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285760"/>
        <c:crosses val="autoZero"/>
        <c:auto val="1"/>
        <c:lblAlgn val="ctr"/>
        <c:lblOffset val="100"/>
        <c:noMultiLvlLbl val="0"/>
      </c:catAx>
      <c:valAx>
        <c:axId val="71285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28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Matugga-Kasangati'!$C$59:$N$59</c:f>
              <c:numCache>
                <c:formatCode>0.0%</c:formatCode>
                <c:ptCount val="12"/>
                <c:pt idx="0">
                  <c:v>0.18425460636515914</c:v>
                </c:pt>
                <c:pt idx="1">
                  <c:v>2.7135678391959798E-2</c:v>
                </c:pt>
                <c:pt idx="2">
                  <c:v>3.2830820770519263E-2</c:v>
                </c:pt>
                <c:pt idx="3">
                  <c:v>4.6231155778894473E-2</c:v>
                </c:pt>
                <c:pt idx="4">
                  <c:v>0</c:v>
                </c:pt>
                <c:pt idx="5">
                  <c:v>0</c:v>
                </c:pt>
                <c:pt idx="6">
                  <c:v>4.0871021775544386E-2</c:v>
                </c:pt>
                <c:pt idx="7">
                  <c:v>1.340033500837521E-2</c:v>
                </c:pt>
                <c:pt idx="8">
                  <c:v>5.360134003350084E-3</c:v>
                </c:pt>
                <c:pt idx="9">
                  <c:v>0</c:v>
                </c:pt>
                <c:pt idx="10">
                  <c:v>0.64958123953098823</c:v>
                </c:pt>
                <c:pt idx="11">
                  <c:v>3.3500837520938025E-4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Matugga-Kasangati'!$C$60:$N$60</c:f>
              <c:numCache>
                <c:formatCode>0.00%</c:formatCode>
                <c:ptCount val="12"/>
                <c:pt idx="0">
                  <c:v>0.52581261950286806</c:v>
                </c:pt>
                <c:pt idx="1">
                  <c:v>7.7437858508604213E-2</c:v>
                </c:pt>
                <c:pt idx="2">
                  <c:v>9.3690248565965584E-2</c:v>
                </c:pt>
                <c:pt idx="3">
                  <c:v>0.13193116634799235</c:v>
                </c:pt>
                <c:pt idx="4">
                  <c:v>0</c:v>
                </c:pt>
                <c:pt idx="5">
                  <c:v>0</c:v>
                </c:pt>
                <c:pt idx="6">
                  <c:v>0.11663479923518165</c:v>
                </c:pt>
                <c:pt idx="7">
                  <c:v>3.8240917782026769E-2</c:v>
                </c:pt>
                <c:pt idx="8">
                  <c:v>1.5296367112810707E-2</c:v>
                </c:pt>
                <c:pt idx="9">
                  <c:v>0</c:v>
                </c:pt>
                <c:pt idx="11">
                  <c:v>9.5602294455066918E-4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Kasangati-Matugga-24h'!$AE$9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Kasangati-Matugga-24h'!$R$10:$R$33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Kasangati-Matugga-24h'!$AE$10:$AE$33</c:f>
              <c:numCache>
                <c:formatCode>0</c:formatCode>
                <c:ptCount val="24"/>
                <c:pt idx="0">
                  <c:v>89</c:v>
                </c:pt>
                <c:pt idx="1">
                  <c:v>68</c:v>
                </c:pt>
                <c:pt idx="2">
                  <c:v>87</c:v>
                </c:pt>
                <c:pt idx="3">
                  <c:v>80</c:v>
                </c:pt>
                <c:pt idx="4">
                  <c:v>63</c:v>
                </c:pt>
                <c:pt idx="5">
                  <c:v>89</c:v>
                </c:pt>
                <c:pt idx="6">
                  <c:v>0</c:v>
                </c:pt>
                <c:pt idx="7">
                  <c:v>87</c:v>
                </c:pt>
                <c:pt idx="8">
                  <c:v>98</c:v>
                </c:pt>
                <c:pt idx="9">
                  <c:v>96</c:v>
                </c:pt>
                <c:pt idx="10">
                  <c:v>122</c:v>
                </c:pt>
                <c:pt idx="11">
                  <c:v>116</c:v>
                </c:pt>
                <c:pt idx="12">
                  <c:v>110</c:v>
                </c:pt>
                <c:pt idx="13">
                  <c:v>134</c:v>
                </c:pt>
                <c:pt idx="14">
                  <c:v>128</c:v>
                </c:pt>
                <c:pt idx="15">
                  <c:v>92</c:v>
                </c:pt>
                <c:pt idx="16">
                  <c:v>37</c:v>
                </c:pt>
                <c:pt idx="17">
                  <c:v>26</c:v>
                </c:pt>
                <c:pt idx="18">
                  <c:v>19</c:v>
                </c:pt>
                <c:pt idx="19">
                  <c:v>8</c:v>
                </c:pt>
                <c:pt idx="20">
                  <c:v>6</c:v>
                </c:pt>
                <c:pt idx="21">
                  <c:v>7</c:v>
                </c:pt>
                <c:pt idx="22">
                  <c:v>29</c:v>
                </c:pt>
                <c:pt idx="23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Kasangati-Matugga-24h'!$AF$9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Kasangati-Matugga-24h'!$R$10:$R$33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Kasangati-Matugga-24h'!$AF$10:$AF$33</c:f>
              <c:numCache>
                <c:formatCode>0</c:formatCode>
                <c:ptCount val="24"/>
                <c:pt idx="0">
                  <c:v>239</c:v>
                </c:pt>
                <c:pt idx="1">
                  <c:v>239</c:v>
                </c:pt>
                <c:pt idx="2">
                  <c:v>225</c:v>
                </c:pt>
                <c:pt idx="3">
                  <c:v>225</c:v>
                </c:pt>
                <c:pt idx="4">
                  <c:v>221</c:v>
                </c:pt>
                <c:pt idx="5">
                  <c:v>185</c:v>
                </c:pt>
                <c:pt idx="6">
                  <c:v>222</c:v>
                </c:pt>
                <c:pt idx="7">
                  <c:v>210</c:v>
                </c:pt>
                <c:pt idx="8">
                  <c:v>225</c:v>
                </c:pt>
                <c:pt idx="9">
                  <c:v>235</c:v>
                </c:pt>
                <c:pt idx="10">
                  <c:v>297</c:v>
                </c:pt>
                <c:pt idx="11">
                  <c:v>288</c:v>
                </c:pt>
                <c:pt idx="12">
                  <c:v>331</c:v>
                </c:pt>
                <c:pt idx="13">
                  <c:v>338</c:v>
                </c:pt>
                <c:pt idx="14">
                  <c:v>315</c:v>
                </c:pt>
                <c:pt idx="15">
                  <c:v>242</c:v>
                </c:pt>
                <c:pt idx="16">
                  <c:v>115</c:v>
                </c:pt>
                <c:pt idx="17">
                  <c:v>74</c:v>
                </c:pt>
                <c:pt idx="18">
                  <c:v>61</c:v>
                </c:pt>
                <c:pt idx="19">
                  <c:v>22</c:v>
                </c:pt>
                <c:pt idx="20">
                  <c:v>14</c:v>
                </c:pt>
                <c:pt idx="21">
                  <c:v>17</c:v>
                </c:pt>
                <c:pt idx="22">
                  <c:v>54</c:v>
                </c:pt>
                <c:pt idx="23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533312"/>
        <c:axId val="71534848"/>
      </c:lineChart>
      <c:catAx>
        <c:axId val="715333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534848"/>
        <c:crosses val="autoZero"/>
        <c:auto val="1"/>
        <c:lblAlgn val="ctr"/>
        <c:lblOffset val="100"/>
        <c:noMultiLvlLbl val="0"/>
      </c:catAx>
      <c:valAx>
        <c:axId val="71534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53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Kasangati-Matugga-24h'!$C$9:$N$9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Kasangati-Matugga-24h'!$C$107:$N$107</c:f>
              <c:numCache>
                <c:formatCode>0.0%</c:formatCode>
                <c:ptCount val="12"/>
                <c:pt idx="0">
                  <c:v>0.1908346247509409</c:v>
                </c:pt>
                <c:pt idx="1">
                  <c:v>5.5125083019703341E-2</c:v>
                </c:pt>
                <c:pt idx="2">
                  <c:v>3.4536196590657514E-2</c:v>
                </c:pt>
                <c:pt idx="3">
                  <c:v>5.4682311268541069E-2</c:v>
                </c:pt>
                <c:pt idx="4">
                  <c:v>1.7710870046491033E-3</c:v>
                </c:pt>
                <c:pt idx="5">
                  <c:v>0</c:v>
                </c:pt>
                <c:pt idx="6">
                  <c:v>3.6307283595306619E-2</c:v>
                </c:pt>
                <c:pt idx="7">
                  <c:v>5.7560327651095863E-3</c:v>
                </c:pt>
                <c:pt idx="8">
                  <c:v>2.4352446313925173E-3</c:v>
                </c:pt>
                <c:pt idx="9">
                  <c:v>8.8554350232455167E-4</c:v>
                </c:pt>
                <c:pt idx="10">
                  <c:v>0.61744520699579364</c:v>
                </c:pt>
                <c:pt idx="11">
                  <c:v>2.2138587558113792E-4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Kasangati-Matugga-24h'!$C$9:$N$9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Kasangati-Matugga-24h'!$C$108:$N$108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Matugga-Kasangati-24h'!$AE$9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Matugga-Kasangati-24h'!$R$10:$R$33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Matugga-Kasangati-24h'!$AE$10:$AE$33</c:f>
              <c:numCache>
                <c:formatCode>0</c:formatCode>
                <c:ptCount val="24"/>
                <c:pt idx="0">
                  <c:v>113</c:v>
                </c:pt>
                <c:pt idx="1">
                  <c:v>79</c:v>
                </c:pt>
                <c:pt idx="2">
                  <c:v>74</c:v>
                </c:pt>
                <c:pt idx="3">
                  <c:v>78</c:v>
                </c:pt>
                <c:pt idx="4">
                  <c:v>75</c:v>
                </c:pt>
                <c:pt idx="5">
                  <c:v>63</c:v>
                </c:pt>
                <c:pt idx="6">
                  <c:v>71</c:v>
                </c:pt>
                <c:pt idx="7">
                  <c:v>63</c:v>
                </c:pt>
                <c:pt idx="8">
                  <c:v>88</c:v>
                </c:pt>
                <c:pt idx="9">
                  <c:v>93</c:v>
                </c:pt>
                <c:pt idx="10">
                  <c:v>141</c:v>
                </c:pt>
                <c:pt idx="11">
                  <c:v>131</c:v>
                </c:pt>
                <c:pt idx="12">
                  <c:v>108</c:v>
                </c:pt>
                <c:pt idx="13">
                  <c:v>91</c:v>
                </c:pt>
                <c:pt idx="14">
                  <c:v>59</c:v>
                </c:pt>
                <c:pt idx="15">
                  <c:v>43</c:v>
                </c:pt>
                <c:pt idx="16">
                  <c:v>35</c:v>
                </c:pt>
                <c:pt idx="17">
                  <c:v>14</c:v>
                </c:pt>
                <c:pt idx="18">
                  <c:v>6</c:v>
                </c:pt>
                <c:pt idx="19">
                  <c:v>4</c:v>
                </c:pt>
                <c:pt idx="20">
                  <c:v>6</c:v>
                </c:pt>
                <c:pt idx="21">
                  <c:v>7</c:v>
                </c:pt>
                <c:pt idx="22">
                  <c:v>42</c:v>
                </c:pt>
                <c:pt idx="23">
                  <c:v>175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Matugga-Kasangati-24h'!$AF$9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Matugga-Kasangati-24h'!$R$10:$R$33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Matugga-Kasangati-24h'!$AF$10:$AF$33</c:f>
              <c:numCache>
                <c:formatCode>0</c:formatCode>
                <c:ptCount val="24"/>
                <c:pt idx="0">
                  <c:v>288</c:v>
                </c:pt>
                <c:pt idx="1">
                  <c:v>269</c:v>
                </c:pt>
                <c:pt idx="2">
                  <c:v>244</c:v>
                </c:pt>
                <c:pt idx="3">
                  <c:v>255</c:v>
                </c:pt>
                <c:pt idx="4">
                  <c:v>204</c:v>
                </c:pt>
                <c:pt idx="5">
                  <c:v>189</c:v>
                </c:pt>
                <c:pt idx="6">
                  <c:v>213</c:v>
                </c:pt>
                <c:pt idx="7">
                  <c:v>182</c:v>
                </c:pt>
                <c:pt idx="8">
                  <c:v>232</c:v>
                </c:pt>
                <c:pt idx="9">
                  <c:v>238</c:v>
                </c:pt>
                <c:pt idx="10">
                  <c:v>332</c:v>
                </c:pt>
                <c:pt idx="11">
                  <c:v>290</c:v>
                </c:pt>
                <c:pt idx="12">
                  <c:v>318</c:v>
                </c:pt>
                <c:pt idx="13">
                  <c:v>262</c:v>
                </c:pt>
                <c:pt idx="14">
                  <c:v>177</c:v>
                </c:pt>
                <c:pt idx="15">
                  <c:v>210</c:v>
                </c:pt>
                <c:pt idx="16">
                  <c:v>112</c:v>
                </c:pt>
                <c:pt idx="17">
                  <c:v>45</c:v>
                </c:pt>
                <c:pt idx="18">
                  <c:v>36</c:v>
                </c:pt>
                <c:pt idx="19">
                  <c:v>13</c:v>
                </c:pt>
                <c:pt idx="20">
                  <c:v>15</c:v>
                </c:pt>
                <c:pt idx="21">
                  <c:v>17</c:v>
                </c:pt>
                <c:pt idx="22">
                  <c:v>66</c:v>
                </c:pt>
                <c:pt idx="23">
                  <c:v>263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851008"/>
        <c:axId val="71865088"/>
      </c:lineChart>
      <c:catAx>
        <c:axId val="718510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865088"/>
        <c:crosses val="autoZero"/>
        <c:auto val="1"/>
        <c:lblAlgn val="ctr"/>
        <c:lblOffset val="100"/>
        <c:noMultiLvlLbl val="0"/>
      </c:catAx>
      <c:valAx>
        <c:axId val="718650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85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Matugga-Kasangati-24h'!$C$9:$N$9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Matugga-Kasangati-24h'!$C$107:$N$107</c:f>
              <c:numCache>
                <c:formatCode>0.0%</c:formatCode>
                <c:ptCount val="12"/>
                <c:pt idx="0">
                  <c:v>0.18948545861297539</c:v>
                </c:pt>
                <c:pt idx="1">
                  <c:v>4.0268456375838924E-2</c:v>
                </c:pt>
                <c:pt idx="2">
                  <c:v>3.4451901565995528E-2</c:v>
                </c:pt>
                <c:pt idx="3">
                  <c:v>5.5480984340044739E-2</c:v>
                </c:pt>
                <c:pt idx="4">
                  <c:v>2.4608501118568234E-3</c:v>
                </c:pt>
                <c:pt idx="5">
                  <c:v>2.2371364653243848E-4</c:v>
                </c:pt>
                <c:pt idx="6">
                  <c:v>3.3557046979865772E-2</c:v>
                </c:pt>
                <c:pt idx="7">
                  <c:v>1.0514541387024609E-2</c:v>
                </c:pt>
                <c:pt idx="8">
                  <c:v>3.3557046979865771E-3</c:v>
                </c:pt>
                <c:pt idx="9">
                  <c:v>1.1185682326621924E-3</c:v>
                </c:pt>
                <c:pt idx="10">
                  <c:v>0.62885906040268458</c:v>
                </c:pt>
                <c:pt idx="11">
                  <c:v>2.2371364653243848E-4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Matugga-Kasangati-24h'!$C$9:$N$9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Matugga-Kasangati-24h'!$C$108:$N$108</c:f>
              <c:numCache>
                <c:formatCode>0.00%</c:formatCode>
                <c:ptCount val="12"/>
                <c:pt idx="0">
                  <c:v>0.51054852320675104</c:v>
                </c:pt>
                <c:pt idx="1">
                  <c:v>0.10849909584086799</c:v>
                </c:pt>
                <c:pt idx="2">
                  <c:v>9.2827004219409287E-2</c:v>
                </c:pt>
                <c:pt idx="3">
                  <c:v>0.14948764315852922</c:v>
                </c:pt>
                <c:pt idx="4">
                  <c:v>6.6305003013863778E-3</c:v>
                </c:pt>
                <c:pt idx="5">
                  <c:v>6.0277275467148883E-4</c:v>
                </c:pt>
                <c:pt idx="6">
                  <c:v>9.0415913200723327E-2</c:v>
                </c:pt>
                <c:pt idx="7">
                  <c:v>2.8330319469559977E-2</c:v>
                </c:pt>
                <c:pt idx="8">
                  <c:v>9.0415913200723331E-3</c:v>
                </c:pt>
                <c:pt idx="9">
                  <c:v>3.0138637733574444E-3</c:v>
                </c:pt>
                <c:pt idx="11">
                  <c:v>6.0277275467148883E-4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Kasangati-Matugga'!$AE$9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Kasangati-Matugga'!$AE$10:$AE$21</c:f>
              <c:numCache>
                <c:formatCode>0</c:formatCode>
                <c:ptCount val="12"/>
                <c:pt idx="0">
                  <c:v>104</c:v>
                </c:pt>
                <c:pt idx="1">
                  <c:v>109</c:v>
                </c:pt>
                <c:pt idx="2">
                  <c:v>81</c:v>
                </c:pt>
                <c:pt idx="3">
                  <c:v>93</c:v>
                </c:pt>
                <c:pt idx="4">
                  <c:v>85</c:v>
                </c:pt>
                <c:pt idx="5">
                  <c:v>89</c:v>
                </c:pt>
                <c:pt idx="6">
                  <c:v>62</c:v>
                </c:pt>
                <c:pt idx="7">
                  <c:v>60</c:v>
                </c:pt>
                <c:pt idx="8">
                  <c:v>62</c:v>
                </c:pt>
                <c:pt idx="9">
                  <c:v>87</c:v>
                </c:pt>
                <c:pt idx="10">
                  <c:v>147</c:v>
                </c:pt>
                <c:pt idx="11">
                  <c:v>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Kasangati-Matugga'!$AF$9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Kasangati-Matugga'!$AF$10:$AF$21</c:f>
              <c:numCache>
                <c:formatCode>0</c:formatCode>
                <c:ptCount val="12"/>
                <c:pt idx="0">
                  <c:v>311</c:v>
                </c:pt>
                <c:pt idx="1">
                  <c:v>268</c:v>
                </c:pt>
                <c:pt idx="2">
                  <c:v>215</c:v>
                </c:pt>
                <c:pt idx="3">
                  <c:v>213</c:v>
                </c:pt>
                <c:pt idx="4">
                  <c:v>236</c:v>
                </c:pt>
                <c:pt idx="5">
                  <c:v>235</c:v>
                </c:pt>
                <c:pt idx="6">
                  <c:v>113</c:v>
                </c:pt>
                <c:pt idx="7">
                  <c:v>127</c:v>
                </c:pt>
                <c:pt idx="8">
                  <c:v>188</c:v>
                </c:pt>
                <c:pt idx="9">
                  <c:v>215</c:v>
                </c:pt>
                <c:pt idx="10">
                  <c:v>300</c:v>
                </c:pt>
                <c:pt idx="11">
                  <c:v>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01664"/>
        <c:axId val="72403200"/>
      </c:lineChart>
      <c:catAx>
        <c:axId val="7240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403200"/>
        <c:crosses val="autoZero"/>
        <c:auto val="1"/>
        <c:lblAlgn val="ctr"/>
        <c:lblOffset val="100"/>
        <c:noMultiLvlLbl val="0"/>
      </c:catAx>
      <c:valAx>
        <c:axId val="7240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40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Kasangati-Matugga'!$C$59:$N$59</c:f>
              <c:numCache>
                <c:formatCode>0.0%</c:formatCode>
                <c:ptCount val="12"/>
                <c:pt idx="0">
                  <c:v>0.15151515151515152</c:v>
                </c:pt>
                <c:pt idx="1">
                  <c:v>8.5735402808573544E-2</c:v>
                </c:pt>
                <c:pt idx="2">
                  <c:v>4.7302291204730229E-2</c:v>
                </c:pt>
                <c:pt idx="3">
                  <c:v>5.1736881005173686E-2</c:v>
                </c:pt>
                <c:pt idx="4">
                  <c:v>2.5868440502586844E-3</c:v>
                </c:pt>
                <c:pt idx="5">
                  <c:v>3.6954915003695491E-4</c:v>
                </c:pt>
                <c:pt idx="6">
                  <c:v>4.4345898004434593E-2</c:v>
                </c:pt>
                <c:pt idx="7">
                  <c:v>6.282335550628234E-3</c:v>
                </c:pt>
                <c:pt idx="8">
                  <c:v>3.3259423503325942E-3</c:v>
                </c:pt>
                <c:pt idx="9">
                  <c:v>1.1086474501108647E-3</c:v>
                </c:pt>
                <c:pt idx="10">
                  <c:v>0.60569105691056913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Kasangati-Matugga'!$S$9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Kasangati-Matugga'!$S$10:$S$21</c:f>
              <c:numCache>
                <c:formatCode>0</c:formatCode>
                <c:ptCount val="12"/>
                <c:pt idx="0">
                  <c:v>39</c:v>
                </c:pt>
                <c:pt idx="1">
                  <c:v>26</c:v>
                </c:pt>
                <c:pt idx="2">
                  <c:v>35</c:v>
                </c:pt>
                <c:pt idx="3">
                  <c:v>39</c:v>
                </c:pt>
                <c:pt idx="4">
                  <c:v>35</c:v>
                </c:pt>
                <c:pt idx="5">
                  <c:v>28</c:v>
                </c:pt>
                <c:pt idx="6">
                  <c:v>29</c:v>
                </c:pt>
                <c:pt idx="7">
                  <c:v>24</c:v>
                </c:pt>
                <c:pt idx="8">
                  <c:v>25</c:v>
                </c:pt>
                <c:pt idx="9">
                  <c:v>33</c:v>
                </c:pt>
                <c:pt idx="10">
                  <c:v>57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Kasangati-Matugga'!$T$9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Kasangati-Matugga'!$T$10:$T$21</c:f>
              <c:numCache>
                <c:formatCode>0</c:formatCode>
                <c:ptCount val="12"/>
                <c:pt idx="0">
                  <c:v>25</c:v>
                </c:pt>
                <c:pt idx="1">
                  <c:v>13</c:v>
                </c:pt>
                <c:pt idx="2">
                  <c:v>18</c:v>
                </c:pt>
                <c:pt idx="3">
                  <c:v>21</c:v>
                </c:pt>
                <c:pt idx="4">
                  <c:v>9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  <c:pt idx="8">
                  <c:v>13</c:v>
                </c:pt>
                <c:pt idx="9">
                  <c:v>21</c:v>
                </c:pt>
                <c:pt idx="10">
                  <c:v>38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Kasangati-Matugga'!$U$9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Kasangati-Matugga'!$U$10:$U$21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11</c:v>
                </c:pt>
                <c:pt idx="3">
                  <c:v>10</c:v>
                </c:pt>
                <c:pt idx="4">
                  <c:v>16</c:v>
                </c:pt>
                <c:pt idx="5">
                  <c:v>15</c:v>
                </c:pt>
                <c:pt idx="6">
                  <c:v>8</c:v>
                </c:pt>
                <c:pt idx="7">
                  <c:v>6</c:v>
                </c:pt>
                <c:pt idx="8">
                  <c:v>5</c:v>
                </c:pt>
                <c:pt idx="9">
                  <c:v>12</c:v>
                </c:pt>
                <c:pt idx="10">
                  <c:v>16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Kasangati-Matugga'!$V$9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Kasangati-Matugga'!$V$10:$V$21</c:f>
              <c:numCache>
                <c:formatCode>0</c:formatCode>
                <c:ptCount val="12"/>
                <c:pt idx="0">
                  <c:v>19</c:v>
                </c:pt>
                <c:pt idx="1">
                  <c:v>11</c:v>
                </c:pt>
                <c:pt idx="2">
                  <c:v>6</c:v>
                </c:pt>
                <c:pt idx="3">
                  <c:v>6</c:v>
                </c:pt>
                <c:pt idx="4">
                  <c:v>9</c:v>
                </c:pt>
                <c:pt idx="5">
                  <c:v>9</c:v>
                </c:pt>
                <c:pt idx="6">
                  <c:v>3</c:v>
                </c:pt>
                <c:pt idx="7">
                  <c:v>7</c:v>
                </c:pt>
                <c:pt idx="8">
                  <c:v>9</c:v>
                </c:pt>
                <c:pt idx="9">
                  <c:v>9</c:v>
                </c:pt>
                <c:pt idx="10">
                  <c:v>28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Kasangati-Matugga'!$W$9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Kasangati-Matugga'!$X$9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Kasangati-Matugga'!$Y$9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Kasangati-Matugga'!$Y$10:$Y$21</c:f>
              <c:numCache>
                <c:formatCode>0</c:formatCode>
                <c:ptCount val="12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13</c:v>
                </c:pt>
                <c:pt idx="4">
                  <c:v>13</c:v>
                </c:pt>
                <c:pt idx="5">
                  <c:v>15</c:v>
                </c:pt>
                <c:pt idx="6">
                  <c:v>8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8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Kasangati-Matugga'!$Z$9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Kasangati-Matugga'!$AA$9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Kasangati-Matugga'!$AB$9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Kasangati-Matugga'!$AC$9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Kasangati-Matugga'!$AC$10:$AC$21</c:f>
              <c:numCache>
                <c:formatCode>0</c:formatCode>
                <c:ptCount val="12"/>
                <c:pt idx="0">
                  <c:v>207</c:v>
                </c:pt>
                <c:pt idx="1">
                  <c:v>200</c:v>
                </c:pt>
                <c:pt idx="2">
                  <c:v>134</c:v>
                </c:pt>
                <c:pt idx="3">
                  <c:v>120</c:v>
                </c:pt>
                <c:pt idx="4">
                  <c:v>151</c:v>
                </c:pt>
                <c:pt idx="5">
                  <c:v>146</c:v>
                </c:pt>
                <c:pt idx="6">
                  <c:v>51</c:v>
                </c:pt>
                <c:pt idx="7">
                  <c:v>67</c:v>
                </c:pt>
                <c:pt idx="8">
                  <c:v>126</c:v>
                </c:pt>
                <c:pt idx="9">
                  <c:v>128</c:v>
                </c:pt>
                <c:pt idx="10">
                  <c:v>153</c:v>
                </c:pt>
                <c:pt idx="11">
                  <c:v>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Kasangati-Matugga'!$AD$9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Kasangati-Matugga'!$AD$10:$AD$21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768128"/>
        <c:axId val="72802688"/>
      </c:lineChart>
      <c:catAx>
        <c:axId val="7276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02688"/>
        <c:crosses val="autoZero"/>
        <c:auto val="1"/>
        <c:lblAlgn val="ctr"/>
        <c:lblOffset val="100"/>
        <c:noMultiLvlLbl val="0"/>
      </c:catAx>
      <c:valAx>
        <c:axId val="7280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768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Kasangati-Matugga'!$C$9:$N$9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Kasangati-Matugga'!$C$60:$N$60</c:f>
              <c:numCache>
                <c:formatCode>0.00%</c:formatCode>
                <c:ptCount val="12"/>
                <c:pt idx="0">
                  <c:v>0.37003610108303248</c:v>
                </c:pt>
                <c:pt idx="1">
                  <c:v>0.20938628158844766</c:v>
                </c:pt>
                <c:pt idx="2">
                  <c:v>0.11552346570397112</c:v>
                </c:pt>
                <c:pt idx="3">
                  <c:v>0.1263537906137184</c:v>
                </c:pt>
                <c:pt idx="4">
                  <c:v>6.3176895306859202E-3</c:v>
                </c:pt>
                <c:pt idx="5">
                  <c:v>9.025270758122744E-4</c:v>
                </c:pt>
                <c:pt idx="6">
                  <c:v>0.10830324909747292</c:v>
                </c:pt>
                <c:pt idx="7">
                  <c:v>1.5342960288808664E-2</c:v>
                </c:pt>
                <c:pt idx="8">
                  <c:v>8.1227436823104685E-3</c:v>
                </c:pt>
                <c:pt idx="9">
                  <c:v>2.707581227436823E-3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Matugga-Kasangati'!$AE$9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Matugga-Kasangati'!$AE$10:$AE$21</c:f>
              <c:numCache>
                <c:formatCode>0</c:formatCode>
                <c:ptCount val="12"/>
                <c:pt idx="0">
                  <c:v>120</c:v>
                </c:pt>
                <c:pt idx="1">
                  <c:v>77</c:v>
                </c:pt>
                <c:pt idx="2">
                  <c:v>80</c:v>
                </c:pt>
                <c:pt idx="3">
                  <c:v>110</c:v>
                </c:pt>
                <c:pt idx="4">
                  <c:v>131</c:v>
                </c:pt>
                <c:pt idx="5">
                  <c:v>72</c:v>
                </c:pt>
                <c:pt idx="6">
                  <c:v>66</c:v>
                </c:pt>
                <c:pt idx="7">
                  <c:v>81</c:v>
                </c:pt>
                <c:pt idx="8">
                  <c:v>95</c:v>
                </c:pt>
                <c:pt idx="9">
                  <c:v>110</c:v>
                </c:pt>
                <c:pt idx="10">
                  <c:v>126</c:v>
                </c:pt>
                <c:pt idx="11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Matugga-Kasangati'!$AF$9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Matugga-Kasangati'!$AF$10:$AF$21</c:f>
              <c:numCache>
                <c:formatCode>0</c:formatCode>
                <c:ptCount val="12"/>
                <c:pt idx="0">
                  <c:v>307</c:v>
                </c:pt>
                <c:pt idx="1">
                  <c:v>330</c:v>
                </c:pt>
                <c:pt idx="2">
                  <c:v>275</c:v>
                </c:pt>
                <c:pt idx="3">
                  <c:v>290</c:v>
                </c:pt>
                <c:pt idx="4">
                  <c:v>235</c:v>
                </c:pt>
                <c:pt idx="5">
                  <c:v>214</c:v>
                </c:pt>
                <c:pt idx="6">
                  <c:v>126</c:v>
                </c:pt>
                <c:pt idx="7">
                  <c:v>147</c:v>
                </c:pt>
                <c:pt idx="8">
                  <c:v>237</c:v>
                </c:pt>
                <c:pt idx="9">
                  <c:v>284</c:v>
                </c:pt>
                <c:pt idx="10">
                  <c:v>305</c:v>
                </c:pt>
                <c:pt idx="11">
                  <c:v>325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984832"/>
        <c:axId val="73076736"/>
      </c:lineChart>
      <c:catAx>
        <c:axId val="72984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076736"/>
        <c:crosses val="autoZero"/>
        <c:auto val="1"/>
        <c:lblAlgn val="ctr"/>
        <c:lblOffset val="100"/>
        <c:noMultiLvlLbl val="0"/>
      </c:catAx>
      <c:valAx>
        <c:axId val="73076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98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Matugga-Kasangati'!$C$59:$N$59</c:f>
              <c:numCache>
                <c:formatCode>0.0%</c:formatCode>
                <c:ptCount val="12"/>
                <c:pt idx="0">
                  <c:v>0.20195121951219513</c:v>
                </c:pt>
                <c:pt idx="1">
                  <c:v>3.3170731707317075E-2</c:v>
                </c:pt>
                <c:pt idx="2">
                  <c:v>3.8048780487804877E-2</c:v>
                </c:pt>
                <c:pt idx="3">
                  <c:v>4.1951219512195125E-2</c:v>
                </c:pt>
                <c:pt idx="4">
                  <c:v>1.9512195121951219E-3</c:v>
                </c:pt>
                <c:pt idx="5">
                  <c:v>0</c:v>
                </c:pt>
                <c:pt idx="6">
                  <c:v>3.8699186991869916E-2</c:v>
                </c:pt>
                <c:pt idx="7">
                  <c:v>9.1056910569105691E-3</c:v>
                </c:pt>
                <c:pt idx="8">
                  <c:v>2.9268292682926829E-3</c:v>
                </c:pt>
                <c:pt idx="9">
                  <c:v>1.3008130081300813E-3</c:v>
                </c:pt>
                <c:pt idx="10">
                  <c:v>0.61268292682926828</c:v>
                </c:pt>
                <c:pt idx="11">
                  <c:v>1.8211382113821138E-2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Matugga-Kasangati'!$S$9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Matugga-Kasangati'!$S$10:$S$21</c:f>
              <c:numCache>
                <c:formatCode>0</c:formatCode>
                <c:ptCount val="12"/>
                <c:pt idx="0">
                  <c:v>95</c:v>
                </c:pt>
                <c:pt idx="1">
                  <c:v>51</c:v>
                </c:pt>
                <c:pt idx="2">
                  <c:v>43</c:v>
                </c:pt>
                <c:pt idx="3">
                  <c:v>50</c:v>
                </c:pt>
                <c:pt idx="4">
                  <c:v>39</c:v>
                </c:pt>
                <c:pt idx="5">
                  <c:v>40</c:v>
                </c:pt>
                <c:pt idx="6">
                  <c:v>31</c:v>
                </c:pt>
                <c:pt idx="7">
                  <c:v>42</c:v>
                </c:pt>
                <c:pt idx="8">
                  <c:v>51</c:v>
                </c:pt>
                <c:pt idx="9">
                  <c:v>65</c:v>
                </c:pt>
                <c:pt idx="10">
                  <c:v>55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Matugga-Kasangati'!$T$9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Matugga-Kasangati'!$T$10:$T$21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7</c:v>
                </c:pt>
                <c:pt idx="3">
                  <c:v>13</c:v>
                </c:pt>
                <c:pt idx="4">
                  <c:v>2</c:v>
                </c:pt>
                <c:pt idx="5">
                  <c:v>5</c:v>
                </c:pt>
                <c:pt idx="6">
                  <c:v>8</c:v>
                </c:pt>
                <c:pt idx="7">
                  <c:v>6</c:v>
                </c:pt>
                <c:pt idx="8">
                  <c:v>12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Matugga-Kasangati'!$U$9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Matugga-Kasangati'!$U$10:$U$21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11</c:v>
                </c:pt>
                <c:pt idx="8">
                  <c:v>16</c:v>
                </c:pt>
                <c:pt idx="9">
                  <c:v>7</c:v>
                </c:pt>
                <c:pt idx="10">
                  <c:v>16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Matugga-Kasangati'!$V$9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Matugga-Kasangati'!$V$10:$V$21</c:f>
              <c:numCache>
                <c:formatCode>0</c:formatCode>
                <c:ptCount val="12"/>
                <c:pt idx="0">
                  <c:v>13</c:v>
                </c:pt>
                <c:pt idx="1">
                  <c:v>10</c:v>
                </c:pt>
                <c:pt idx="2">
                  <c:v>9</c:v>
                </c:pt>
                <c:pt idx="3">
                  <c:v>5</c:v>
                </c:pt>
                <c:pt idx="4">
                  <c:v>12</c:v>
                </c:pt>
                <c:pt idx="5">
                  <c:v>5</c:v>
                </c:pt>
                <c:pt idx="6">
                  <c:v>5</c:v>
                </c:pt>
                <c:pt idx="7">
                  <c:v>8</c:v>
                </c:pt>
                <c:pt idx="8">
                  <c:v>7</c:v>
                </c:pt>
                <c:pt idx="9">
                  <c:v>9</c:v>
                </c:pt>
                <c:pt idx="10">
                  <c:v>24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Matugga-Kasangati'!$W$9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Matugga-Kasangati'!$X$9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Matugga-Kasangati'!$Y$9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Matugga-Kasangati'!$Y$10:$Y$21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7</c:v>
                </c:pt>
                <c:pt idx="3">
                  <c:v>25</c:v>
                </c:pt>
                <c:pt idx="4">
                  <c:v>7</c:v>
                </c:pt>
                <c:pt idx="5">
                  <c:v>10</c:v>
                </c:pt>
                <c:pt idx="6">
                  <c:v>10</c:v>
                </c:pt>
                <c:pt idx="7">
                  <c:v>9</c:v>
                </c:pt>
                <c:pt idx="8">
                  <c:v>9</c:v>
                </c:pt>
                <c:pt idx="9">
                  <c:v>13</c:v>
                </c:pt>
                <c:pt idx="10">
                  <c:v>11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Matugga-Kasangati'!$Z$9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6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Matugga-Kasangati'!$AA$9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Matugga-Kasangati'!$AB$9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Matugga-Kasangati'!$AC$9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Matugga-Kasangati'!$AC$10:$AC$21</c:f>
              <c:numCache>
                <c:formatCode>0</c:formatCode>
                <c:ptCount val="12"/>
                <c:pt idx="0">
                  <c:v>187</c:v>
                </c:pt>
                <c:pt idx="1">
                  <c:v>253</c:v>
                </c:pt>
                <c:pt idx="2">
                  <c:v>195</c:v>
                </c:pt>
                <c:pt idx="3">
                  <c:v>180</c:v>
                </c:pt>
                <c:pt idx="4">
                  <c:v>104</c:v>
                </c:pt>
                <c:pt idx="5">
                  <c:v>142</c:v>
                </c:pt>
                <c:pt idx="6">
                  <c:v>60</c:v>
                </c:pt>
                <c:pt idx="7">
                  <c:v>66</c:v>
                </c:pt>
                <c:pt idx="8">
                  <c:v>142</c:v>
                </c:pt>
                <c:pt idx="9">
                  <c:v>174</c:v>
                </c:pt>
                <c:pt idx="10">
                  <c:v>179</c:v>
                </c:pt>
                <c:pt idx="11">
                  <c:v>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Matugga-Kasangati'!$AD$9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Matugga-Kasangati'!$AD$10:$AD$21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478528"/>
        <c:axId val="73480064"/>
      </c:lineChart>
      <c:catAx>
        <c:axId val="7347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480064"/>
        <c:crosses val="autoZero"/>
        <c:auto val="1"/>
        <c:lblAlgn val="ctr"/>
        <c:lblOffset val="100"/>
        <c:noMultiLvlLbl val="0"/>
      </c:catAx>
      <c:valAx>
        <c:axId val="7348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47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Matugga-Kasangati'!$C$60:$N$60</c:f>
              <c:numCache>
                <c:formatCode>0.00%</c:formatCode>
                <c:ptCount val="12"/>
                <c:pt idx="0">
                  <c:v>0.52141057934508817</c:v>
                </c:pt>
                <c:pt idx="1">
                  <c:v>8.5642317380352648E-2</c:v>
                </c:pt>
                <c:pt idx="2">
                  <c:v>9.8236775818639793E-2</c:v>
                </c:pt>
                <c:pt idx="3">
                  <c:v>0.10831234256926953</c:v>
                </c:pt>
                <c:pt idx="4">
                  <c:v>5.0377833753148613E-3</c:v>
                </c:pt>
                <c:pt idx="5">
                  <c:v>0</c:v>
                </c:pt>
                <c:pt idx="6">
                  <c:v>9.9916036943744749E-2</c:v>
                </c:pt>
                <c:pt idx="7">
                  <c:v>2.3509655751469353E-2</c:v>
                </c:pt>
                <c:pt idx="8">
                  <c:v>7.556675062972292E-3</c:v>
                </c:pt>
                <c:pt idx="9">
                  <c:v>3.3585222502099076E-3</c:v>
                </c:pt>
                <c:pt idx="11">
                  <c:v>4.7019311502938706E-2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Kasangati-Matugga-24h'!$AE$9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Kasangati-Matugga-24h'!$R$10:$R$33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Kasangati-Matugga-24h'!$AE$10:$AE$33</c:f>
              <c:numCache>
                <c:formatCode>0</c:formatCode>
                <c:ptCount val="24"/>
                <c:pt idx="0">
                  <c:v>58</c:v>
                </c:pt>
                <c:pt idx="1">
                  <c:v>87</c:v>
                </c:pt>
                <c:pt idx="2">
                  <c:v>130</c:v>
                </c:pt>
                <c:pt idx="3">
                  <c:v>114</c:v>
                </c:pt>
                <c:pt idx="4">
                  <c:v>136</c:v>
                </c:pt>
                <c:pt idx="5">
                  <c:v>120</c:v>
                </c:pt>
                <c:pt idx="6">
                  <c:v>122</c:v>
                </c:pt>
                <c:pt idx="7">
                  <c:v>100</c:v>
                </c:pt>
                <c:pt idx="8">
                  <c:v>118</c:v>
                </c:pt>
                <c:pt idx="9">
                  <c:v>165</c:v>
                </c:pt>
                <c:pt idx="10">
                  <c:v>127</c:v>
                </c:pt>
                <c:pt idx="11">
                  <c:v>114</c:v>
                </c:pt>
                <c:pt idx="12">
                  <c:v>96</c:v>
                </c:pt>
                <c:pt idx="13">
                  <c:v>140</c:v>
                </c:pt>
                <c:pt idx="14">
                  <c:v>156</c:v>
                </c:pt>
                <c:pt idx="15">
                  <c:v>123</c:v>
                </c:pt>
                <c:pt idx="16">
                  <c:v>59</c:v>
                </c:pt>
                <c:pt idx="17">
                  <c:v>41</c:v>
                </c:pt>
                <c:pt idx="18">
                  <c:v>21</c:v>
                </c:pt>
                <c:pt idx="19">
                  <c:v>11</c:v>
                </c:pt>
                <c:pt idx="20">
                  <c:v>12</c:v>
                </c:pt>
                <c:pt idx="21">
                  <c:v>9</c:v>
                </c:pt>
                <c:pt idx="22">
                  <c:v>10</c:v>
                </c:pt>
                <c:pt idx="23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Kasangati-Matugga-24h'!$AF$9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Kasangati-Matugga-24h'!$R$10:$R$33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Kasangati-Matugga-24h'!$AF$10:$AF$33</c:f>
              <c:numCache>
                <c:formatCode>0</c:formatCode>
                <c:ptCount val="24"/>
                <c:pt idx="0">
                  <c:v>191</c:v>
                </c:pt>
                <c:pt idx="1">
                  <c:v>241</c:v>
                </c:pt>
                <c:pt idx="2">
                  <c:v>307</c:v>
                </c:pt>
                <c:pt idx="3">
                  <c:v>295</c:v>
                </c:pt>
                <c:pt idx="4">
                  <c:v>331</c:v>
                </c:pt>
                <c:pt idx="5">
                  <c:v>258</c:v>
                </c:pt>
                <c:pt idx="6">
                  <c:v>240</c:v>
                </c:pt>
                <c:pt idx="7">
                  <c:v>257</c:v>
                </c:pt>
                <c:pt idx="8">
                  <c:v>261</c:v>
                </c:pt>
                <c:pt idx="9">
                  <c:v>288</c:v>
                </c:pt>
                <c:pt idx="10">
                  <c:v>288</c:v>
                </c:pt>
                <c:pt idx="11">
                  <c:v>292</c:v>
                </c:pt>
                <c:pt idx="12">
                  <c:v>322</c:v>
                </c:pt>
                <c:pt idx="13">
                  <c:v>382</c:v>
                </c:pt>
                <c:pt idx="14">
                  <c:v>400</c:v>
                </c:pt>
                <c:pt idx="15">
                  <c:v>299</c:v>
                </c:pt>
                <c:pt idx="16">
                  <c:v>168</c:v>
                </c:pt>
                <c:pt idx="17">
                  <c:v>85</c:v>
                </c:pt>
                <c:pt idx="18">
                  <c:v>56</c:v>
                </c:pt>
                <c:pt idx="19">
                  <c:v>32</c:v>
                </c:pt>
                <c:pt idx="20">
                  <c:v>27</c:v>
                </c:pt>
                <c:pt idx="21">
                  <c:v>23</c:v>
                </c:pt>
                <c:pt idx="22">
                  <c:v>32</c:v>
                </c:pt>
                <c:pt idx="23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908992"/>
        <c:axId val="73910528"/>
      </c:lineChart>
      <c:catAx>
        <c:axId val="739089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910528"/>
        <c:crosses val="autoZero"/>
        <c:auto val="1"/>
        <c:lblAlgn val="ctr"/>
        <c:lblOffset val="100"/>
        <c:noMultiLvlLbl val="0"/>
      </c:catAx>
      <c:valAx>
        <c:axId val="73910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390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Kasangati-Matugga-24h'!$C$9:$N$9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Kasangati-Matugga-24h'!$C$107:$N$107</c:f>
              <c:numCache>
                <c:formatCode>0.0%</c:formatCode>
                <c:ptCount val="12"/>
                <c:pt idx="0">
                  <c:v>0.21320681642137879</c:v>
                </c:pt>
                <c:pt idx="1">
                  <c:v>6.254841208365608E-2</c:v>
                </c:pt>
                <c:pt idx="2">
                  <c:v>4.1053446940356314E-2</c:v>
                </c:pt>
                <c:pt idx="3">
                  <c:v>4.0666150271107669E-2</c:v>
                </c:pt>
                <c:pt idx="4">
                  <c:v>1.7428350116189002E-3</c:v>
                </c:pt>
                <c:pt idx="5">
                  <c:v>3.8729666924864449E-4</c:v>
                </c:pt>
                <c:pt idx="6">
                  <c:v>3.6793183578621221E-2</c:v>
                </c:pt>
                <c:pt idx="7">
                  <c:v>5.422153369481022E-3</c:v>
                </c:pt>
                <c:pt idx="8">
                  <c:v>2.517428350116189E-3</c:v>
                </c:pt>
                <c:pt idx="9">
                  <c:v>2.1301316808675446E-3</c:v>
                </c:pt>
                <c:pt idx="10">
                  <c:v>0.59333849728892329</c:v>
                </c:pt>
                <c:pt idx="11">
                  <c:v>1.9364833462432224E-4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Kasangati-Matugga-24h'!$C$9:$N$9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Kasangati-Matugga-24h'!$C$108:$N$108</c:f>
              <c:numCache>
                <c:formatCode>0.00%</c:formatCode>
                <c:ptCount val="12"/>
                <c:pt idx="0">
                  <c:v>0.52428571428571424</c:v>
                </c:pt>
                <c:pt idx="1">
                  <c:v>0.15380952380952381</c:v>
                </c:pt>
                <c:pt idx="2">
                  <c:v>0.10095238095238095</c:v>
                </c:pt>
                <c:pt idx="3">
                  <c:v>0.1</c:v>
                </c:pt>
                <c:pt idx="4">
                  <c:v>4.2857142857142859E-3</c:v>
                </c:pt>
                <c:pt idx="5">
                  <c:v>9.5238095238095238E-4</c:v>
                </c:pt>
                <c:pt idx="6">
                  <c:v>9.0476190476190474E-2</c:v>
                </c:pt>
                <c:pt idx="7">
                  <c:v>1.3333333333333334E-2</c:v>
                </c:pt>
                <c:pt idx="8">
                  <c:v>6.1904761904761907E-3</c:v>
                </c:pt>
                <c:pt idx="9">
                  <c:v>5.2380952380952379E-3</c:v>
                </c:pt>
                <c:pt idx="11">
                  <c:v>4.7619047619047619E-4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Matugga-Kasangati-24h'!$AE$9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Matugga-Kasangati-24h'!$R$10:$R$33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Matugga-Kasangati-24h'!$AE$10:$AE$33</c:f>
              <c:numCache>
                <c:formatCode>0</c:formatCode>
                <c:ptCount val="24"/>
                <c:pt idx="0">
                  <c:v>84</c:v>
                </c:pt>
                <c:pt idx="1">
                  <c:v>133</c:v>
                </c:pt>
                <c:pt idx="2">
                  <c:v>127</c:v>
                </c:pt>
                <c:pt idx="3">
                  <c:v>129</c:v>
                </c:pt>
                <c:pt idx="4">
                  <c:v>165</c:v>
                </c:pt>
                <c:pt idx="5">
                  <c:v>119</c:v>
                </c:pt>
                <c:pt idx="6">
                  <c:v>101</c:v>
                </c:pt>
                <c:pt idx="7">
                  <c:v>102</c:v>
                </c:pt>
                <c:pt idx="8">
                  <c:v>103</c:v>
                </c:pt>
                <c:pt idx="9">
                  <c:v>102</c:v>
                </c:pt>
                <c:pt idx="10">
                  <c:v>135</c:v>
                </c:pt>
                <c:pt idx="11">
                  <c:v>172</c:v>
                </c:pt>
                <c:pt idx="12">
                  <c:v>136</c:v>
                </c:pt>
                <c:pt idx="13">
                  <c:v>143</c:v>
                </c:pt>
                <c:pt idx="14">
                  <c:v>103</c:v>
                </c:pt>
                <c:pt idx="15">
                  <c:v>72</c:v>
                </c:pt>
                <c:pt idx="16">
                  <c:v>40</c:v>
                </c:pt>
                <c:pt idx="17">
                  <c:v>15</c:v>
                </c:pt>
                <c:pt idx="18">
                  <c:v>15</c:v>
                </c:pt>
                <c:pt idx="19">
                  <c:v>8</c:v>
                </c:pt>
                <c:pt idx="20">
                  <c:v>6</c:v>
                </c:pt>
                <c:pt idx="21">
                  <c:v>0</c:v>
                </c:pt>
                <c:pt idx="22">
                  <c:v>5</c:v>
                </c:pt>
                <c:pt idx="23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Matugga-Kasangati-24h'!$AF$9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Matugga-Kasangati-24h'!$R$10:$R$33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Matugga-Kasangati-24h'!$AF$10:$AF$33</c:f>
              <c:numCache>
                <c:formatCode>0</c:formatCode>
                <c:ptCount val="24"/>
                <c:pt idx="0">
                  <c:v>255</c:v>
                </c:pt>
                <c:pt idx="1">
                  <c:v>365</c:v>
                </c:pt>
                <c:pt idx="2">
                  <c:v>313</c:v>
                </c:pt>
                <c:pt idx="3">
                  <c:v>323</c:v>
                </c:pt>
                <c:pt idx="4">
                  <c:v>344</c:v>
                </c:pt>
                <c:pt idx="5">
                  <c:v>295</c:v>
                </c:pt>
                <c:pt idx="6">
                  <c:v>294</c:v>
                </c:pt>
                <c:pt idx="7">
                  <c:v>270</c:v>
                </c:pt>
                <c:pt idx="8">
                  <c:v>264</c:v>
                </c:pt>
                <c:pt idx="9">
                  <c:v>253</c:v>
                </c:pt>
                <c:pt idx="10">
                  <c:v>318</c:v>
                </c:pt>
                <c:pt idx="11">
                  <c:v>336</c:v>
                </c:pt>
                <c:pt idx="12">
                  <c:v>355</c:v>
                </c:pt>
                <c:pt idx="13">
                  <c:v>353</c:v>
                </c:pt>
                <c:pt idx="14">
                  <c:v>278</c:v>
                </c:pt>
                <c:pt idx="15">
                  <c:v>194</c:v>
                </c:pt>
                <c:pt idx="16">
                  <c:v>131</c:v>
                </c:pt>
                <c:pt idx="17">
                  <c:v>45</c:v>
                </c:pt>
                <c:pt idx="18">
                  <c:v>39</c:v>
                </c:pt>
                <c:pt idx="19">
                  <c:v>22</c:v>
                </c:pt>
                <c:pt idx="20">
                  <c:v>26</c:v>
                </c:pt>
                <c:pt idx="21">
                  <c:v>17</c:v>
                </c:pt>
                <c:pt idx="22">
                  <c:v>17</c:v>
                </c:pt>
                <c:pt idx="23">
                  <c:v>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17600"/>
        <c:axId val="75023488"/>
      </c:lineChart>
      <c:catAx>
        <c:axId val="75017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23488"/>
        <c:crosses val="autoZero"/>
        <c:auto val="1"/>
        <c:lblAlgn val="ctr"/>
        <c:lblOffset val="100"/>
        <c:noMultiLvlLbl val="0"/>
      </c:catAx>
      <c:valAx>
        <c:axId val="75023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01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Matugga-Kasangati-24h'!$C$9:$N$9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Matugga-Kasangati-24h'!$C$107:$N$107</c:f>
              <c:numCache>
                <c:formatCode>0.0%</c:formatCode>
                <c:ptCount val="12"/>
                <c:pt idx="0">
                  <c:v>0.22807692307692307</c:v>
                </c:pt>
                <c:pt idx="1">
                  <c:v>3.7115384615384613E-2</c:v>
                </c:pt>
                <c:pt idx="2">
                  <c:v>3.7307692307692306E-2</c:v>
                </c:pt>
                <c:pt idx="3">
                  <c:v>4.403846153846154E-2</c:v>
                </c:pt>
                <c:pt idx="4">
                  <c:v>1.7307692307692308E-3</c:v>
                </c:pt>
                <c:pt idx="5">
                  <c:v>1.9230769230769231E-4</c:v>
                </c:pt>
                <c:pt idx="6">
                  <c:v>3.8461538461538464E-2</c:v>
                </c:pt>
                <c:pt idx="7">
                  <c:v>4.4230769230769228E-3</c:v>
                </c:pt>
                <c:pt idx="8">
                  <c:v>4.807692307692308E-3</c:v>
                </c:pt>
                <c:pt idx="9">
                  <c:v>3.8461538461538462E-4</c:v>
                </c:pt>
                <c:pt idx="10">
                  <c:v>0.60346153846153849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Matugga-Kasangati-24h'!$C$9:$N$9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Matugga-Kasangati-24h'!$C$108:$N$108</c:f>
              <c:numCache>
                <c:formatCode>0.00%</c:formatCode>
                <c:ptCount val="12"/>
                <c:pt idx="0">
                  <c:v>0.57516973811833172</c:v>
                </c:pt>
                <c:pt idx="1">
                  <c:v>9.3598448108632396E-2</c:v>
                </c:pt>
                <c:pt idx="2">
                  <c:v>9.4083414161008724E-2</c:v>
                </c:pt>
                <c:pt idx="3">
                  <c:v>0.11105722599418041</c:v>
                </c:pt>
                <c:pt idx="4">
                  <c:v>4.3646944713870029E-3</c:v>
                </c:pt>
                <c:pt idx="5">
                  <c:v>4.8496605237633366E-4</c:v>
                </c:pt>
                <c:pt idx="6">
                  <c:v>9.6993210475266725E-2</c:v>
                </c:pt>
                <c:pt idx="7">
                  <c:v>1.1154219204655674E-2</c:v>
                </c:pt>
                <c:pt idx="8">
                  <c:v>1.2124151309408341E-2</c:v>
                </c:pt>
                <c:pt idx="9">
                  <c:v>9.6993210475266732E-4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'[1]28.09 Matuga-Kasangati-24h'!$AE$9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'[1]28.09 Matuga-Kasangati-24h'!$R$10:$R$33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'[1]28.09 Matuga-Kasangati-24h'!$AE$10:$AE$33</c:f>
              <c:numCache>
                <c:formatCode>General</c:formatCode>
                <c:ptCount val="24"/>
                <c:pt idx="0">
                  <c:v>84</c:v>
                </c:pt>
                <c:pt idx="1">
                  <c:v>133</c:v>
                </c:pt>
                <c:pt idx="2">
                  <c:v>127</c:v>
                </c:pt>
                <c:pt idx="3">
                  <c:v>129</c:v>
                </c:pt>
                <c:pt idx="4">
                  <c:v>165</c:v>
                </c:pt>
                <c:pt idx="5">
                  <c:v>119</c:v>
                </c:pt>
                <c:pt idx="6">
                  <c:v>101</c:v>
                </c:pt>
                <c:pt idx="7">
                  <c:v>102</c:v>
                </c:pt>
                <c:pt idx="8">
                  <c:v>103</c:v>
                </c:pt>
                <c:pt idx="9">
                  <c:v>102</c:v>
                </c:pt>
                <c:pt idx="10">
                  <c:v>135</c:v>
                </c:pt>
                <c:pt idx="11">
                  <c:v>172</c:v>
                </c:pt>
                <c:pt idx="12">
                  <c:v>136</c:v>
                </c:pt>
                <c:pt idx="13">
                  <c:v>143</c:v>
                </c:pt>
                <c:pt idx="14">
                  <c:v>103</c:v>
                </c:pt>
                <c:pt idx="15">
                  <c:v>72</c:v>
                </c:pt>
                <c:pt idx="16">
                  <c:v>40</c:v>
                </c:pt>
                <c:pt idx="17">
                  <c:v>15</c:v>
                </c:pt>
                <c:pt idx="18">
                  <c:v>15</c:v>
                </c:pt>
                <c:pt idx="19">
                  <c:v>8</c:v>
                </c:pt>
                <c:pt idx="20">
                  <c:v>6</c:v>
                </c:pt>
                <c:pt idx="21">
                  <c:v>0</c:v>
                </c:pt>
                <c:pt idx="22">
                  <c:v>5</c:v>
                </c:pt>
                <c:pt idx="23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C7E-4C6C-9CF9-F3F7BFB23D28}"/>
            </c:ext>
          </c:extLst>
        </c:ser>
        <c:ser>
          <c:idx val="1"/>
          <c:order val="1"/>
          <c:tx>
            <c:strRef>
              <c:f>'[1]28.09 Matuga-Kasangati-24h'!$AF$9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'[1]28.09 Matuga-Kasangati-24h'!$R$10:$R$33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'[1]28.09 Matuga-Kasangati-24h'!$AF$10:$AF$33</c:f>
              <c:numCache>
                <c:formatCode>General</c:formatCode>
                <c:ptCount val="24"/>
                <c:pt idx="0">
                  <c:v>255</c:v>
                </c:pt>
                <c:pt idx="1">
                  <c:v>365</c:v>
                </c:pt>
                <c:pt idx="2">
                  <c:v>313</c:v>
                </c:pt>
                <c:pt idx="3">
                  <c:v>323</c:v>
                </c:pt>
                <c:pt idx="4">
                  <c:v>344</c:v>
                </c:pt>
                <c:pt idx="5">
                  <c:v>295</c:v>
                </c:pt>
                <c:pt idx="6">
                  <c:v>294</c:v>
                </c:pt>
                <c:pt idx="7">
                  <c:v>270</c:v>
                </c:pt>
                <c:pt idx="8">
                  <c:v>264</c:v>
                </c:pt>
                <c:pt idx="9">
                  <c:v>253</c:v>
                </c:pt>
                <c:pt idx="10">
                  <c:v>318</c:v>
                </c:pt>
                <c:pt idx="11">
                  <c:v>336</c:v>
                </c:pt>
                <c:pt idx="12">
                  <c:v>355</c:v>
                </c:pt>
                <c:pt idx="13">
                  <c:v>353</c:v>
                </c:pt>
                <c:pt idx="14">
                  <c:v>278</c:v>
                </c:pt>
                <c:pt idx="15">
                  <c:v>194</c:v>
                </c:pt>
                <c:pt idx="16">
                  <c:v>131</c:v>
                </c:pt>
                <c:pt idx="17">
                  <c:v>45</c:v>
                </c:pt>
                <c:pt idx="18">
                  <c:v>39</c:v>
                </c:pt>
                <c:pt idx="19">
                  <c:v>22</c:v>
                </c:pt>
                <c:pt idx="20">
                  <c:v>26</c:v>
                </c:pt>
                <c:pt idx="21">
                  <c:v>17</c:v>
                </c:pt>
                <c:pt idx="22">
                  <c:v>17</c:v>
                </c:pt>
                <c:pt idx="23">
                  <c:v>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C7E-4C6C-9CF9-F3F7BFB23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200384"/>
        <c:axId val="115201920"/>
      </c:lineChart>
      <c:catAx>
        <c:axId val="115200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201920"/>
        <c:crosses val="autoZero"/>
        <c:auto val="1"/>
        <c:lblAlgn val="ctr"/>
        <c:lblOffset val="100"/>
        <c:noMultiLvlLbl val="0"/>
      </c:catAx>
      <c:valAx>
        <c:axId val="115201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20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072-4B49-83C2-E9ECD9106D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072-4B49-83C2-E9ECD9106D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072-4B49-83C2-E9ECD9106D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072-4B49-83C2-E9ECD9106D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072-4B49-83C2-E9ECD9106D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072-4B49-83C2-E9ECD9106D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072-4B49-83C2-E9ECD9106D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072-4B49-83C2-E9ECD9106D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072-4B49-83C2-E9ECD9106D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072-4B49-83C2-E9ECD9106D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072-4B49-83C2-E9ECD9106D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072-4B49-83C2-E9ECD9106DF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072-4B49-83C2-E9ECD9106D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'[1]28.09 Matuga-Kasangati-24h'!$C$9:$N$9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'[1]28.09 Matuga-Kasangati-24h'!$C$107:$N$107</c:f>
              <c:numCache>
                <c:formatCode>General</c:formatCode>
                <c:ptCount val="12"/>
                <c:pt idx="0">
                  <c:v>0.22807692307692309</c:v>
                </c:pt>
                <c:pt idx="1">
                  <c:v>3.7115384615384626E-2</c:v>
                </c:pt>
                <c:pt idx="2">
                  <c:v>3.7307692307692306E-2</c:v>
                </c:pt>
                <c:pt idx="3">
                  <c:v>4.4038461538461568E-2</c:v>
                </c:pt>
                <c:pt idx="4">
                  <c:v>1.7307692307692308E-3</c:v>
                </c:pt>
                <c:pt idx="5">
                  <c:v>1.9230769230769247E-4</c:v>
                </c:pt>
                <c:pt idx="6">
                  <c:v>3.8461538461538464E-2</c:v>
                </c:pt>
                <c:pt idx="7">
                  <c:v>4.4230769230769228E-3</c:v>
                </c:pt>
                <c:pt idx="8">
                  <c:v>4.8076923076923097E-3</c:v>
                </c:pt>
                <c:pt idx="9">
                  <c:v>3.8461538461538478E-4</c:v>
                </c:pt>
                <c:pt idx="10">
                  <c:v>0.6034615384615386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072-4B49-83C2-E9ECD9106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95B-48B9-B7FB-2D4186804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95B-48B9-B7FB-2D4186804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95B-48B9-B7FB-2D4186804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95B-48B9-B7FB-2D4186804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95B-48B9-B7FB-2D4186804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95B-48B9-B7FB-2D4186804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95B-48B9-B7FB-2D4186804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95B-48B9-B7FB-2D4186804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95B-48B9-B7FB-2D4186804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95B-48B9-B7FB-2D418680456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95B-48B9-B7FB-2D418680456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95B-48B9-B7FB-2D4186804564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95B-48B9-B7FB-2D41868045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'[1]28.09 Matuga-Kasangati-24h'!$C$9:$N$9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'[1]28.09 Matuga-Kasangati-24h'!$C$108:$N$108</c:f>
              <c:numCache>
                <c:formatCode>General</c:formatCode>
                <c:ptCount val="12"/>
                <c:pt idx="0">
                  <c:v>0.57516973811833172</c:v>
                </c:pt>
                <c:pt idx="1">
                  <c:v>9.359844810863252E-2</c:v>
                </c:pt>
                <c:pt idx="2">
                  <c:v>9.408341416100871E-2</c:v>
                </c:pt>
                <c:pt idx="3">
                  <c:v>0.11105722599418041</c:v>
                </c:pt>
                <c:pt idx="4">
                  <c:v>4.3646944713870012E-3</c:v>
                </c:pt>
                <c:pt idx="5">
                  <c:v>4.849660523763342E-4</c:v>
                </c:pt>
                <c:pt idx="6">
                  <c:v>9.6993210475266711E-2</c:v>
                </c:pt>
                <c:pt idx="7">
                  <c:v>1.1154219204655679E-2</c:v>
                </c:pt>
                <c:pt idx="8">
                  <c:v>1.2124151309408348E-2</c:v>
                </c:pt>
                <c:pt idx="9">
                  <c:v>9.6993210475266743E-4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95B-48B9-B7FB-2D4186804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Kasangati-Matugga'!$AE$9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Kasangati-Matugga'!$AE$10:$AE$21</c:f>
              <c:numCache>
                <c:formatCode>0</c:formatCode>
                <c:ptCount val="12"/>
                <c:pt idx="0">
                  <c:v>66</c:v>
                </c:pt>
                <c:pt idx="1">
                  <c:v>85</c:v>
                </c:pt>
                <c:pt idx="2">
                  <c:v>90</c:v>
                </c:pt>
                <c:pt idx="3">
                  <c:v>87</c:v>
                </c:pt>
                <c:pt idx="4">
                  <c:v>114</c:v>
                </c:pt>
                <c:pt idx="5">
                  <c:v>121</c:v>
                </c:pt>
                <c:pt idx="6">
                  <c:v>117</c:v>
                </c:pt>
                <c:pt idx="7">
                  <c:v>115</c:v>
                </c:pt>
                <c:pt idx="8">
                  <c:v>99</c:v>
                </c:pt>
                <c:pt idx="9">
                  <c:v>111</c:v>
                </c:pt>
                <c:pt idx="10">
                  <c:v>114</c:v>
                </c:pt>
                <c:pt idx="11">
                  <c:v>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Kasangati-Matugga'!$AF$9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Kasangati-Matugga'!$AF$10:$AF$21</c:f>
              <c:numCache>
                <c:formatCode>0</c:formatCode>
                <c:ptCount val="12"/>
                <c:pt idx="0">
                  <c:v>204</c:v>
                </c:pt>
                <c:pt idx="1">
                  <c:v>235</c:v>
                </c:pt>
                <c:pt idx="2">
                  <c:v>271</c:v>
                </c:pt>
                <c:pt idx="3">
                  <c:v>249</c:v>
                </c:pt>
                <c:pt idx="4">
                  <c:v>338</c:v>
                </c:pt>
                <c:pt idx="5">
                  <c:v>306</c:v>
                </c:pt>
                <c:pt idx="6">
                  <c:v>285</c:v>
                </c:pt>
                <c:pt idx="7">
                  <c:v>271</c:v>
                </c:pt>
                <c:pt idx="8">
                  <c:v>262</c:v>
                </c:pt>
                <c:pt idx="9">
                  <c:v>283</c:v>
                </c:pt>
                <c:pt idx="10">
                  <c:v>286</c:v>
                </c:pt>
                <c:pt idx="11">
                  <c:v>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595904"/>
        <c:axId val="115642752"/>
      </c:lineChart>
      <c:catAx>
        <c:axId val="115595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642752"/>
        <c:crosses val="autoZero"/>
        <c:auto val="1"/>
        <c:lblAlgn val="ctr"/>
        <c:lblOffset val="100"/>
        <c:noMultiLvlLbl val="0"/>
      </c:catAx>
      <c:valAx>
        <c:axId val="115642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59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Kasangati-Matugga'!$C$59:$N$59</c:f>
              <c:numCache>
                <c:formatCode>0.0%</c:formatCode>
                <c:ptCount val="12"/>
                <c:pt idx="0">
                  <c:v>0.1876155268022181</c:v>
                </c:pt>
                <c:pt idx="1">
                  <c:v>8.7800369685767099E-2</c:v>
                </c:pt>
                <c:pt idx="2">
                  <c:v>2.6802218114602587E-2</c:v>
                </c:pt>
                <c:pt idx="3">
                  <c:v>4.0973505853357982E-2</c:v>
                </c:pt>
                <c:pt idx="4">
                  <c:v>6.1614294516327791E-4</c:v>
                </c:pt>
                <c:pt idx="5">
                  <c:v>0</c:v>
                </c:pt>
                <c:pt idx="6">
                  <c:v>2.649414664202095E-2</c:v>
                </c:pt>
                <c:pt idx="7">
                  <c:v>4.3130006161429448E-3</c:v>
                </c:pt>
                <c:pt idx="8">
                  <c:v>1.5403573629081946E-3</c:v>
                </c:pt>
                <c:pt idx="9">
                  <c:v>1.2322858903265558E-3</c:v>
                </c:pt>
                <c:pt idx="10">
                  <c:v>0.62230437461491062</c:v>
                </c:pt>
                <c:pt idx="11">
                  <c:v>3.0807147258163895E-4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Kasangati-Matugga'!$S$9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Kasangati-Matugga'!$S$10:$S$21</c:f>
              <c:numCache>
                <c:formatCode>0</c:formatCode>
                <c:ptCount val="12"/>
                <c:pt idx="0">
                  <c:v>25</c:v>
                </c:pt>
                <c:pt idx="1">
                  <c:v>38</c:v>
                </c:pt>
                <c:pt idx="2">
                  <c:v>40</c:v>
                </c:pt>
                <c:pt idx="3">
                  <c:v>44</c:v>
                </c:pt>
                <c:pt idx="4">
                  <c:v>61</c:v>
                </c:pt>
                <c:pt idx="5">
                  <c:v>63</c:v>
                </c:pt>
                <c:pt idx="6">
                  <c:v>65</c:v>
                </c:pt>
                <c:pt idx="7">
                  <c:v>59</c:v>
                </c:pt>
                <c:pt idx="8">
                  <c:v>40</c:v>
                </c:pt>
                <c:pt idx="9">
                  <c:v>66</c:v>
                </c:pt>
                <c:pt idx="10">
                  <c:v>66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Kasangati-Matugga'!$T$9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Kasangati-Matugga'!$R$10:$R$21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Kasangati-Matugga'!$T$10:$T$21</c:f>
              <c:numCache>
                <c:formatCode>0</c:formatCode>
                <c:ptCount val="12"/>
                <c:pt idx="0">
                  <c:v>17</c:v>
                </c:pt>
                <c:pt idx="1">
                  <c:v>21</c:v>
                </c:pt>
                <c:pt idx="2">
                  <c:v>18</c:v>
                </c:pt>
                <c:pt idx="3">
                  <c:v>16</c:v>
                </c:pt>
                <c:pt idx="4">
                  <c:v>23</c:v>
                </c:pt>
                <c:pt idx="5">
                  <c:v>21</c:v>
                </c:pt>
                <c:pt idx="6">
                  <c:v>23</c:v>
                </c:pt>
                <c:pt idx="7">
                  <c:v>35</c:v>
                </c:pt>
                <c:pt idx="8">
                  <c:v>24</c:v>
                </c:pt>
                <c:pt idx="9">
                  <c:v>26</c:v>
                </c:pt>
                <c:pt idx="10">
                  <c:v>26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Kasangati-Matugga'!$U$9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Kasangati-Matugga'!$U$10:$U$21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6</c:v>
                </c:pt>
                <c:pt idx="3">
                  <c:v>7</c:v>
                </c:pt>
                <c:pt idx="4">
                  <c:v>12</c:v>
                </c:pt>
                <c:pt idx="5">
                  <c:v>10</c:v>
                </c:pt>
                <c:pt idx="6">
                  <c:v>9</c:v>
                </c:pt>
                <c:pt idx="7">
                  <c:v>5</c:v>
                </c:pt>
                <c:pt idx="8">
                  <c:v>9</c:v>
                </c:pt>
                <c:pt idx="9">
                  <c:v>3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Kasangati-Matugga'!$V$9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Kasangati-Matugga'!$V$10:$V$21</c:f>
              <c:numCache>
                <c:formatCode>0</c:formatCode>
                <c:ptCount val="12"/>
                <c:pt idx="0">
                  <c:v>15</c:v>
                </c:pt>
                <c:pt idx="1">
                  <c:v>11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11</c:v>
                </c:pt>
                <c:pt idx="6">
                  <c:v>12</c:v>
                </c:pt>
                <c:pt idx="7">
                  <c:v>6</c:v>
                </c:pt>
                <c:pt idx="8">
                  <c:v>13</c:v>
                </c:pt>
                <c:pt idx="9">
                  <c:v>7</c:v>
                </c:pt>
                <c:pt idx="10">
                  <c:v>9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Kasangati-Matugga'!$W$9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Kasangati-Matugga'!$X$9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Kasangati-Matugga'!$Y$9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Kasangati-Matugga'!$Y$10:$Y$21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13</c:v>
                </c:pt>
                <c:pt idx="3">
                  <c:v>8</c:v>
                </c:pt>
                <c:pt idx="4">
                  <c:v>4</c:v>
                </c:pt>
                <c:pt idx="5">
                  <c:v>12</c:v>
                </c:pt>
                <c:pt idx="6">
                  <c:v>5</c:v>
                </c:pt>
                <c:pt idx="7">
                  <c:v>7</c:v>
                </c:pt>
                <c:pt idx="8">
                  <c:v>13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Kasangati-Matugga'!$Z$9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Kasangati-Matugga'!$AA$9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Kasangati-Matugga'!$AA$10:$AA$21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Kasangati-Matugga'!$AB$9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Kasangati-Matugga'!$AC$9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Kasangati-Matugga'!$AC$10:$AC$21</c:f>
              <c:numCache>
                <c:formatCode>0</c:formatCode>
                <c:ptCount val="12"/>
                <c:pt idx="0">
                  <c:v>138</c:v>
                </c:pt>
                <c:pt idx="1">
                  <c:v>150</c:v>
                </c:pt>
                <c:pt idx="2">
                  <c:v>181</c:v>
                </c:pt>
                <c:pt idx="3">
                  <c:v>162</c:v>
                </c:pt>
                <c:pt idx="4">
                  <c:v>224</c:v>
                </c:pt>
                <c:pt idx="5">
                  <c:v>185</c:v>
                </c:pt>
                <c:pt idx="6">
                  <c:v>168</c:v>
                </c:pt>
                <c:pt idx="7">
                  <c:v>156</c:v>
                </c:pt>
                <c:pt idx="8">
                  <c:v>163</c:v>
                </c:pt>
                <c:pt idx="9">
                  <c:v>172</c:v>
                </c:pt>
                <c:pt idx="10">
                  <c:v>172</c:v>
                </c:pt>
                <c:pt idx="11">
                  <c:v>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Kasangati-Matugga'!$AD$9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Kasangati-Matugga'!$AD$10:$AD$21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93696"/>
        <c:axId val="116095232"/>
      </c:lineChart>
      <c:catAx>
        <c:axId val="116093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095232"/>
        <c:crosses val="autoZero"/>
        <c:auto val="1"/>
        <c:lblAlgn val="ctr"/>
        <c:lblOffset val="100"/>
        <c:noMultiLvlLbl val="0"/>
      </c:catAx>
      <c:valAx>
        <c:axId val="11609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09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Kasangati-Matugga'!$C$9:$N$9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Kasangati-Matugga'!$C$60:$N$60</c:f>
              <c:numCache>
                <c:formatCode>0.00%</c:formatCode>
                <c:ptCount val="12"/>
                <c:pt idx="0">
                  <c:v>0.49673735725938012</c:v>
                </c:pt>
                <c:pt idx="1">
                  <c:v>0.23246329526916804</c:v>
                </c:pt>
                <c:pt idx="2">
                  <c:v>7.096247960848287E-2</c:v>
                </c:pt>
                <c:pt idx="3">
                  <c:v>0.10848287112561175</c:v>
                </c:pt>
                <c:pt idx="4">
                  <c:v>1.6313213703099511E-3</c:v>
                </c:pt>
                <c:pt idx="5">
                  <c:v>0</c:v>
                </c:pt>
                <c:pt idx="6">
                  <c:v>7.01468189233279E-2</c:v>
                </c:pt>
                <c:pt idx="7">
                  <c:v>1.1419249592169658E-2</c:v>
                </c:pt>
                <c:pt idx="8">
                  <c:v>4.0783034257748773E-3</c:v>
                </c:pt>
                <c:pt idx="9">
                  <c:v>3.2626427406199023E-3</c:v>
                </c:pt>
                <c:pt idx="11">
                  <c:v>8.1566068515497557E-4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'[1]29.09 Kasangati-Matuga'!$AE$9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'[1]29.09 Kasangati-Matuga'!$R$10:$R$21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'[1]29.09 Kasangati-Matuga'!$AE$10:$AE$21</c:f>
              <c:numCache>
                <c:formatCode>General</c:formatCode>
                <c:ptCount val="12"/>
                <c:pt idx="0">
                  <c:v>66</c:v>
                </c:pt>
                <c:pt idx="1">
                  <c:v>85</c:v>
                </c:pt>
                <c:pt idx="2">
                  <c:v>90</c:v>
                </c:pt>
                <c:pt idx="3">
                  <c:v>87</c:v>
                </c:pt>
                <c:pt idx="4">
                  <c:v>114</c:v>
                </c:pt>
                <c:pt idx="5">
                  <c:v>121</c:v>
                </c:pt>
                <c:pt idx="6">
                  <c:v>117</c:v>
                </c:pt>
                <c:pt idx="7">
                  <c:v>115</c:v>
                </c:pt>
                <c:pt idx="8">
                  <c:v>99</c:v>
                </c:pt>
                <c:pt idx="9">
                  <c:v>111</c:v>
                </c:pt>
                <c:pt idx="10">
                  <c:v>114</c:v>
                </c:pt>
                <c:pt idx="11">
                  <c:v>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FD-470E-9989-A4B75142F7AB}"/>
            </c:ext>
          </c:extLst>
        </c:ser>
        <c:ser>
          <c:idx val="1"/>
          <c:order val="1"/>
          <c:tx>
            <c:strRef>
              <c:f>'[1]29.09 Kasangati-Matuga'!$AF$9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'[1]29.09 Kasangati-Matuga'!$R$10:$R$21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'[1]29.09 Kasangati-Matuga'!$AF$10:$AF$21</c:f>
              <c:numCache>
                <c:formatCode>General</c:formatCode>
                <c:ptCount val="12"/>
                <c:pt idx="0">
                  <c:v>204</c:v>
                </c:pt>
                <c:pt idx="1">
                  <c:v>235</c:v>
                </c:pt>
                <c:pt idx="2">
                  <c:v>271</c:v>
                </c:pt>
                <c:pt idx="3">
                  <c:v>249</c:v>
                </c:pt>
                <c:pt idx="4">
                  <c:v>338</c:v>
                </c:pt>
                <c:pt idx="5">
                  <c:v>306</c:v>
                </c:pt>
                <c:pt idx="6">
                  <c:v>285</c:v>
                </c:pt>
                <c:pt idx="7">
                  <c:v>271</c:v>
                </c:pt>
                <c:pt idx="8">
                  <c:v>262</c:v>
                </c:pt>
                <c:pt idx="9">
                  <c:v>283</c:v>
                </c:pt>
                <c:pt idx="10">
                  <c:v>286</c:v>
                </c:pt>
                <c:pt idx="11">
                  <c:v>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FD-470E-9989-A4B75142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15616"/>
        <c:axId val="121229696"/>
      </c:lineChart>
      <c:catAx>
        <c:axId val="121215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229696"/>
        <c:crosses val="autoZero"/>
        <c:auto val="1"/>
        <c:lblAlgn val="ctr"/>
        <c:lblOffset val="100"/>
        <c:noMultiLvlLbl val="0"/>
      </c:catAx>
      <c:valAx>
        <c:axId val="1212296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21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86B-4832-AD40-C7DCBC2DD6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86B-4832-AD40-C7DCBC2DD6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86B-4832-AD40-C7DCBC2DD6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86B-4832-AD40-C7DCBC2DD6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86B-4832-AD40-C7DCBC2DD6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86B-4832-AD40-C7DCBC2DD6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86B-4832-AD40-C7DCBC2DD6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86B-4832-AD40-C7DCBC2DD6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86B-4832-AD40-C7DCBC2DD6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86B-4832-AD40-C7DCBC2DD6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86B-4832-AD40-C7DCBC2DD6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86B-4832-AD40-C7DCBC2DD6D9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86B-4832-AD40-C7DCBC2DD6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'[1]29.09 Kasangati-Matuga'!$C$9:$N$9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'[1]29.09 Kasangati-Matuga'!$C$59:$N$59</c:f>
              <c:numCache>
                <c:formatCode>General</c:formatCode>
                <c:ptCount val="12"/>
                <c:pt idx="0">
                  <c:v>0.18761552680221816</c:v>
                </c:pt>
                <c:pt idx="1">
                  <c:v>8.7800369685767141E-2</c:v>
                </c:pt>
                <c:pt idx="2">
                  <c:v>2.6802218114602604E-2</c:v>
                </c:pt>
                <c:pt idx="3">
                  <c:v>4.0973505853357975E-2</c:v>
                </c:pt>
                <c:pt idx="4">
                  <c:v>6.1614294516327813E-4</c:v>
                </c:pt>
                <c:pt idx="5">
                  <c:v>0</c:v>
                </c:pt>
                <c:pt idx="6">
                  <c:v>2.6494146642020964E-2</c:v>
                </c:pt>
                <c:pt idx="7">
                  <c:v>4.3130006161429448E-3</c:v>
                </c:pt>
                <c:pt idx="8">
                  <c:v>1.5403573629081955E-3</c:v>
                </c:pt>
                <c:pt idx="9">
                  <c:v>1.2322858903265565E-3</c:v>
                </c:pt>
                <c:pt idx="10">
                  <c:v>0.62230437461491062</c:v>
                </c:pt>
                <c:pt idx="11">
                  <c:v>3.0807147258163923E-4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86B-4832-AD40-C7DCBC2DD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023-43D7-A211-398C96856D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023-43D7-A211-398C96856D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023-43D7-A211-398C96856D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023-43D7-A211-398C96856D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023-43D7-A211-398C96856D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023-43D7-A211-398C96856D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023-43D7-A211-398C96856D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023-43D7-A211-398C96856D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023-43D7-A211-398C96856D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023-43D7-A211-398C96856D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023-43D7-A211-398C96856D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023-43D7-A211-398C96856D99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023-43D7-A211-398C96856D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'[1]29.09 Kasangati-Matuga'!$C$9:$N$9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'[1]29.09 Kasangati-Matuga'!$C$60:$N$60</c:f>
              <c:numCache>
                <c:formatCode>General</c:formatCode>
                <c:ptCount val="12"/>
                <c:pt idx="0">
                  <c:v>0.49673735725938012</c:v>
                </c:pt>
                <c:pt idx="1">
                  <c:v>0.23246329526916809</c:v>
                </c:pt>
                <c:pt idx="2">
                  <c:v>7.0962479608482884E-2</c:v>
                </c:pt>
                <c:pt idx="3">
                  <c:v>0.10848287112561178</c:v>
                </c:pt>
                <c:pt idx="4">
                  <c:v>1.6313213703099507E-3</c:v>
                </c:pt>
                <c:pt idx="5">
                  <c:v>0</c:v>
                </c:pt>
                <c:pt idx="6">
                  <c:v>7.01468189233279E-2</c:v>
                </c:pt>
                <c:pt idx="7">
                  <c:v>1.141924959216966E-2</c:v>
                </c:pt>
                <c:pt idx="8">
                  <c:v>4.0783034257748825E-3</c:v>
                </c:pt>
                <c:pt idx="9">
                  <c:v>3.2626427406199036E-3</c:v>
                </c:pt>
                <c:pt idx="11">
                  <c:v>8.1566068515497654E-4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023-43D7-A211-398C96856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Matugga-Kasangati'!$AE$9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Matugga-Kasangati'!$AE$10:$AE$21</c:f>
              <c:numCache>
                <c:formatCode>0</c:formatCode>
                <c:ptCount val="12"/>
                <c:pt idx="0">
                  <c:v>65</c:v>
                </c:pt>
                <c:pt idx="1">
                  <c:v>66</c:v>
                </c:pt>
                <c:pt idx="2">
                  <c:v>120</c:v>
                </c:pt>
                <c:pt idx="3">
                  <c:v>80</c:v>
                </c:pt>
                <c:pt idx="4">
                  <c:v>139</c:v>
                </c:pt>
                <c:pt idx="5">
                  <c:v>94</c:v>
                </c:pt>
                <c:pt idx="6">
                  <c:v>90</c:v>
                </c:pt>
                <c:pt idx="7">
                  <c:v>110</c:v>
                </c:pt>
                <c:pt idx="8">
                  <c:v>97</c:v>
                </c:pt>
                <c:pt idx="9">
                  <c:v>116</c:v>
                </c:pt>
                <c:pt idx="10">
                  <c:v>120</c:v>
                </c:pt>
                <c:pt idx="11">
                  <c:v>170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Matugga-Kasangati'!$AF$9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Matugga-Kasangati'!$AF$10:$AF$21</c:f>
              <c:numCache>
                <c:formatCode>0</c:formatCode>
                <c:ptCount val="12"/>
                <c:pt idx="0">
                  <c:v>216</c:v>
                </c:pt>
                <c:pt idx="1">
                  <c:v>237</c:v>
                </c:pt>
                <c:pt idx="2">
                  <c:v>338</c:v>
                </c:pt>
                <c:pt idx="3">
                  <c:v>274</c:v>
                </c:pt>
                <c:pt idx="4">
                  <c:v>368</c:v>
                </c:pt>
                <c:pt idx="5">
                  <c:v>252</c:v>
                </c:pt>
                <c:pt idx="6">
                  <c:v>206</c:v>
                </c:pt>
                <c:pt idx="7">
                  <c:v>272</c:v>
                </c:pt>
                <c:pt idx="8">
                  <c:v>268</c:v>
                </c:pt>
                <c:pt idx="9">
                  <c:v>274</c:v>
                </c:pt>
                <c:pt idx="10">
                  <c:v>283</c:v>
                </c:pt>
                <c:pt idx="11">
                  <c:v>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53120"/>
        <c:axId val="121654656"/>
      </c:lineChart>
      <c:catAx>
        <c:axId val="121653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654656"/>
        <c:crosses val="autoZero"/>
        <c:auto val="1"/>
        <c:lblAlgn val="ctr"/>
        <c:lblOffset val="100"/>
        <c:noMultiLvlLbl val="0"/>
      </c:catAx>
      <c:valAx>
        <c:axId val="121654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165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Matugga-Kasangati'!$C$59:$N$59</c:f>
              <c:numCache>
                <c:formatCode>0.0%</c:formatCode>
                <c:ptCount val="12"/>
                <c:pt idx="0">
                  <c:v>0.22808074721301597</c:v>
                </c:pt>
                <c:pt idx="1">
                  <c:v>4.2783971075625191E-2</c:v>
                </c:pt>
                <c:pt idx="2">
                  <c:v>3.3745103946971979E-2</c:v>
                </c:pt>
                <c:pt idx="3">
                  <c:v>4.5495631214221149E-2</c:v>
                </c:pt>
                <c:pt idx="4">
                  <c:v>6.0259114191021392E-4</c:v>
                </c:pt>
                <c:pt idx="5">
                  <c:v>0</c:v>
                </c:pt>
                <c:pt idx="6">
                  <c:v>2.470623681831877E-2</c:v>
                </c:pt>
                <c:pt idx="7">
                  <c:v>3.3142512805061767E-3</c:v>
                </c:pt>
                <c:pt idx="8">
                  <c:v>1.5064778547755348E-3</c:v>
                </c:pt>
                <c:pt idx="9">
                  <c:v>1.2051822838204278E-3</c:v>
                </c:pt>
                <c:pt idx="10">
                  <c:v>0.61825851159987943</c:v>
                </c:pt>
                <c:pt idx="11">
                  <c:v>3.0129557095510696E-4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Matugga-Kasangati'!$S$9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Matugga-Kasangati'!$S$10:$S$21</c:f>
              <c:numCache>
                <c:formatCode>0</c:formatCode>
                <c:ptCount val="12"/>
                <c:pt idx="0">
                  <c:v>41</c:v>
                </c:pt>
                <c:pt idx="1">
                  <c:v>42</c:v>
                </c:pt>
                <c:pt idx="2">
                  <c:v>67</c:v>
                </c:pt>
                <c:pt idx="3">
                  <c:v>50</c:v>
                </c:pt>
                <c:pt idx="4">
                  <c:v>79</c:v>
                </c:pt>
                <c:pt idx="5">
                  <c:v>60</c:v>
                </c:pt>
                <c:pt idx="6">
                  <c:v>57</c:v>
                </c:pt>
                <c:pt idx="7">
                  <c:v>68</c:v>
                </c:pt>
                <c:pt idx="8">
                  <c:v>60</c:v>
                </c:pt>
                <c:pt idx="9">
                  <c:v>77</c:v>
                </c:pt>
                <c:pt idx="10">
                  <c:v>61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Matugga-Kasangati'!$T$9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Matugga-Kasangati'!$T$10:$T$21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18</c:v>
                </c:pt>
                <c:pt idx="3">
                  <c:v>7</c:v>
                </c:pt>
                <c:pt idx="4">
                  <c:v>21</c:v>
                </c:pt>
                <c:pt idx="5">
                  <c:v>5</c:v>
                </c:pt>
                <c:pt idx="6">
                  <c:v>8</c:v>
                </c:pt>
                <c:pt idx="7">
                  <c:v>11</c:v>
                </c:pt>
                <c:pt idx="8">
                  <c:v>10</c:v>
                </c:pt>
                <c:pt idx="9">
                  <c:v>8</c:v>
                </c:pt>
                <c:pt idx="10">
                  <c:v>22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Matugga-Kasangati'!$U$9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Matugga-Kasangati'!$U$10:$U$21</c:f>
              <c:numCache>
                <c:formatCode>0</c:formatCode>
                <c:ptCount val="12"/>
                <c:pt idx="0">
                  <c:v>4</c:v>
                </c:pt>
                <c:pt idx="1">
                  <c:v>8</c:v>
                </c:pt>
                <c:pt idx="2">
                  <c:v>8</c:v>
                </c:pt>
                <c:pt idx="3">
                  <c:v>7</c:v>
                </c:pt>
                <c:pt idx="4">
                  <c:v>12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10</c:v>
                </c:pt>
                <c:pt idx="9">
                  <c:v>9</c:v>
                </c:pt>
                <c:pt idx="10">
                  <c:v>7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Matugga-Kasangati'!$V$9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Matugga-Kasangati'!$V$10:$V$21</c:f>
              <c:numCache>
                <c:formatCode>0</c:formatCode>
                <c:ptCount val="12"/>
                <c:pt idx="0">
                  <c:v>10</c:v>
                </c:pt>
                <c:pt idx="1">
                  <c:v>8</c:v>
                </c:pt>
                <c:pt idx="2">
                  <c:v>16</c:v>
                </c:pt>
                <c:pt idx="3">
                  <c:v>9</c:v>
                </c:pt>
                <c:pt idx="4">
                  <c:v>11</c:v>
                </c:pt>
                <c:pt idx="5">
                  <c:v>9</c:v>
                </c:pt>
                <c:pt idx="6">
                  <c:v>10</c:v>
                </c:pt>
                <c:pt idx="7">
                  <c:v>15</c:v>
                </c:pt>
                <c:pt idx="8">
                  <c:v>8</c:v>
                </c:pt>
                <c:pt idx="9">
                  <c:v>11</c:v>
                </c:pt>
                <c:pt idx="10">
                  <c:v>23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Matugga-Kasangati'!$W$9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Matugga-Kasangati'!$X$9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Matugga-Kasangati'!$Y$9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10</c:v>
                </c:pt>
                <c:pt idx="3">
                  <c:v>5</c:v>
                </c:pt>
                <c:pt idx="4">
                  <c:v>14</c:v>
                </c:pt>
                <c:pt idx="5">
                  <c:v>11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Matugga-Kasangati'!$Z$9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Matugga-Kasangati'!$AA$9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Matugga-Kasangati'!$AB$9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Matugga-Kasangati'!$AC$9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Matugga-Kasangati'!$AC$10:$AC$21</c:f>
              <c:numCache>
                <c:formatCode>0</c:formatCode>
                <c:ptCount val="12"/>
                <c:pt idx="0">
                  <c:v>151</c:v>
                </c:pt>
                <c:pt idx="1">
                  <c:v>171</c:v>
                </c:pt>
                <c:pt idx="2">
                  <c:v>218</c:v>
                </c:pt>
                <c:pt idx="3">
                  <c:v>194</c:v>
                </c:pt>
                <c:pt idx="4">
                  <c:v>229</c:v>
                </c:pt>
                <c:pt idx="5">
                  <c:v>158</c:v>
                </c:pt>
                <c:pt idx="6">
                  <c:v>116</c:v>
                </c:pt>
                <c:pt idx="7">
                  <c:v>162</c:v>
                </c:pt>
                <c:pt idx="8">
                  <c:v>171</c:v>
                </c:pt>
                <c:pt idx="9">
                  <c:v>158</c:v>
                </c:pt>
                <c:pt idx="10">
                  <c:v>163</c:v>
                </c:pt>
                <c:pt idx="11">
                  <c:v>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Matugga-Kasangati'!$AD$9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Matugga-Kasangati'!$AD$10:$AD$21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932672"/>
        <c:axId val="123934208"/>
      </c:lineChart>
      <c:catAx>
        <c:axId val="12393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3934208"/>
        <c:crosses val="autoZero"/>
        <c:auto val="1"/>
        <c:lblAlgn val="ctr"/>
        <c:lblOffset val="100"/>
        <c:noMultiLvlLbl val="0"/>
      </c:catAx>
      <c:valAx>
        <c:axId val="12393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393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Matugga-Kasangati'!$C$60:$N$60</c:f>
              <c:numCache>
                <c:formatCode>0.00%</c:formatCode>
                <c:ptCount val="12"/>
                <c:pt idx="0">
                  <c:v>0.59747434885556427</c:v>
                </c:pt>
                <c:pt idx="1">
                  <c:v>0.11207576953433307</c:v>
                </c:pt>
                <c:pt idx="2">
                  <c:v>8.8397790055248615E-2</c:v>
                </c:pt>
                <c:pt idx="3">
                  <c:v>0.11917916337805841</c:v>
                </c:pt>
                <c:pt idx="4">
                  <c:v>1.5785319652722968E-3</c:v>
                </c:pt>
                <c:pt idx="5">
                  <c:v>0</c:v>
                </c:pt>
                <c:pt idx="6">
                  <c:v>6.4719810576164161E-2</c:v>
                </c:pt>
                <c:pt idx="7">
                  <c:v>8.6819258089976328E-3</c:v>
                </c:pt>
                <c:pt idx="8">
                  <c:v>3.9463299131807421E-3</c:v>
                </c:pt>
                <c:pt idx="9">
                  <c:v>3.1570639305445935E-3</c:v>
                </c:pt>
                <c:pt idx="11">
                  <c:v>7.8926598263614838E-4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15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'[1]29.09 Matuga-Kasangati'!$AE$9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'[1]29.09 Matuga-Kasangati'!$R$10:$R$21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'[1]29.09 Matuga-Kasangati'!$AE$10:$AE$21</c:f>
              <c:numCache>
                <c:formatCode>General</c:formatCode>
                <c:ptCount val="12"/>
                <c:pt idx="0">
                  <c:v>65</c:v>
                </c:pt>
                <c:pt idx="1">
                  <c:v>66</c:v>
                </c:pt>
                <c:pt idx="2">
                  <c:v>120</c:v>
                </c:pt>
                <c:pt idx="3">
                  <c:v>80</c:v>
                </c:pt>
                <c:pt idx="4">
                  <c:v>139</c:v>
                </c:pt>
                <c:pt idx="5">
                  <c:v>94</c:v>
                </c:pt>
                <c:pt idx="6">
                  <c:v>90</c:v>
                </c:pt>
                <c:pt idx="7">
                  <c:v>110</c:v>
                </c:pt>
                <c:pt idx="8">
                  <c:v>97</c:v>
                </c:pt>
                <c:pt idx="9">
                  <c:v>116</c:v>
                </c:pt>
                <c:pt idx="10">
                  <c:v>120</c:v>
                </c:pt>
                <c:pt idx="11">
                  <c:v>170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232-4ED8-ADCA-AAF80A243634}"/>
            </c:ext>
          </c:extLst>
        </c:ser>
        <c:ser>
          <c:idx val="1"/>
          <c:order val="1"/>
          <c:tx>
            <c:strRef>
              <c:f>'[1]29.09 Matuga-Kasangati'!$AF$9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'[1]29.09 Matuga-Kasangati'!$R$10:$R$21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'[1]29.09 Matuga-Kasangati'!$AF$10:$AF$21</c:f>
              <c:numCache>
                <c:formatCode>General</c:formatCode>
                <c:ptCount val="12"/>
                <c:pt idx="0">
                  <c:v>216</c:v>
                </c:pt>
                <c:pt idx="1">
                  <c:v>237</c:v>
                </c:pt>
                <c:pt idx="2">
                  <c:v>338</c:v>
                </c:pt>
                <c:pt idx="3">
                  <c:v>274</c:v>
                </c:pt>
                <c:pt idx="4">
                  <c:v>368</c:v>
                </c:pt>
                <c:pt idx="5">
                  <c:v>252</c:v>
                </c:pt>
                <c:pt idx="6">
                  <c:v>206</c:v>
                </c:pt>
                <c:pt idx="7">
                  <c:v>272</c:v>
                </c:pt>
                <c:pt idx="8">
                  <c:v>268</c:v>
                </c:pt>
                <c:pt idx="9">
                  <c:v>274</c:v>
                </c:pt>
                <c:pt idx="10">
                  <c:v>283</c:v>
                </c:pt>
                <c:pt idx="11">
                  <c:v>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232-4ED8-ADCA-AAF80A243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248256"/>
        <c:axId val="127249792"/>
      </c:lineChart>
      <c:catAx>
        <c:axId val="127248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249792"/>
        <c:crosses val="autoZero"/>
        <c:auto val="1"/>
        <c:lblAlgn val="ctr"/>
        <c:lblOffset val="100"/>
        <c:noMultiLvlLbl val="0"/>
      </c:catAx>
      <c:valAx>
        <c:axId val="127249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248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84C-4CAA-9124-493AF3780C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84C-4CAA-9124-493AF3780C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84C-4CAA-9124-493AF3780C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84C-4CAA-9124-493AF3780C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84C-4CAA-9124-493AF3780C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84C-4CAA-9124-493AF3780C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84C-4CAA-9124-493AF3780C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84C-4CAA-9124-493AF3780C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84C-4CAA-9124-493AF3780C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84C-4CAA-9124-493AF3780C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84C-4CAA-9124-493AF3780C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84C-4CAA-9124-493AF3780CA7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84C-4CAA-9124-493AF3780C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'[1]29.09 Matuga-Kasangati'!$C$9:$N$9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'[1]29.09 Matuga-Kasangati'!$C$59:$N$59</c:f>
              <c:numCache>
                <c:formatCode>General</c:formatCode>
                <c:ptCount val="12"/>
                <c:pt idx="0">
                  <c:v>0.22808074721301588</c:v>
                </c:pt>
                <c:pt idx="1">
                  <c:v>4.2783971075625232E-2</c:v>
                </c:pt>
                <c:pt idx="2">
                  <c:v>3.3745103946971985E-2</c:v>
                </c:pt>
                <c:pt idx="3">
                  <c:v>4.5495631214221191E-2</c:v>
                </c:pt>
                <c:pt idx="4">
                  <c:v>6.0259114191021403E-4</c:v>
                </c:pt>
                <c:pt idx="5">
                  <c:v>0</c:v>
                </c:pt>
                <c:pt idx="6">
                  <c:v>2.4706236818318777E-2</c:v>
                </c:pt>
                <c:pt idx="7">
                  <c:v>3.314251280506178E-3</c:v>
                </c:pt>
                <c:pt idx="8">
                  <c:v>1.5064778547755357E-3</c:v>
                </c:pt>
                <c:pt idx="9">
                  <c:v>1.2051822838204281E-3</c:v>
                </c:pt>
                <c:pt idx="10">
                  <c:v>0.61825851159987988</c:v>
                </c:pt>
                <c:pt idx="11">
                  <c:v>3.0129557095510696E-4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84C-4CAA-9124-493AF3780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4D5-4086-954B-5BD6C42637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4D5-4086-954B-5BD6C42637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4D5-4086-954B-5BD6C42637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4D5-4086-954B-5BD6C42637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4D5-4086-954B-5BD6C42637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4D5-4086-954B-5BD6C42637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4D5-4086-954B-5BD6C42637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4D5-4086-954B-5BD6C42637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4D5-4086-954B-5BD6C42637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4D5-4086-954B-5BD6C42637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4D5-4086-954B-5BD6C42637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4D5-4086-954B-5BD6C4263763}"/>
              </c:ext>
            </c:extLst>
          </c:dPt>
          <c:dLbls>
            <c:dLbl>
              <c:idx val="10"/>
              <c:layout>
                <c:manualLayout>
                  <c:x val="-2.6175304576939715E-2"/>
                  <c:y val="-3.2434080003295167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4D5-4086-954B-5BD6C42637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'[1]29.09 Matuga-Kasangati'!$C$9:$N$9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'[1]29.09 Matuga-Kasangati'!$C$60:$N$60</c:f>
              <c:numCache>
                <c:formatCode>General</c:formatCode>
                <c:ptCount val="12"/>
                <c:pt idx="0">
                  <c:v>0.59747434885556405</c:v>
                </c:pt>
                <c:pt idx="1">
                  <c:v>0.11207576953433307</c:v>
                </c:pt>
                <c:pt idx="2">
                  <c:v>8.8397790055248657E-2</c:v>
                </c:pt>
                <c:pt idx="3">
                  <c:v>0.11917916337805842</c:v>
                </c:pt>
                <c:pt idx="4">
                  <c:v>1.5785319652722976E-3</c:v>
                </c:pt>
                <c:pt idx="5">
                  <c:v>0</c:v>
                </c:pt>
                <c:pt idx="6">
                  <c:v>6.4719810576164161E-2</c:v>
                </c:pt>
                <c:pt idx="7">
                  <c:v>8.6819258089976328E-3</c:v>
                </c:pt>
                <c:pt idx="8">
                  <c:v>3.9463299131807421E-3</c:v>
                </c:pt>
                <c:pt idx="9">
                  <c:v>3.1570639305445944E-3</c:v>
                </c:pt>
                <c:pt idx="11">
                  <c:v>7.8926598263614838E-4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4D5-4086-954B-5BD6C4263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Kaasangati-Matugga'!$AE$9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Kaasangati-Matugga'!$AE$10:$AE$21</c:f>
              <c:numCache>
                <c:formatCode>0</c:formatCode>
                <c:ptCount val="12"/>
                <c:pt idx="0">
                  <c:v>93.857142857142861</c:v>
                </c:pt>
                <c:pt idx="1">
                  <c:v>87.428571428571431</c:v>
                </c:pt>
                <c:pt idx="2">
                  <c:v>83.428571428571431</c:v>
                </c:pt>
                <c:pt idx="3">
                  <c:v>88.571428571428569</c:v>
                </c:pt>
                <c:pt idx="4">
                  <c:v>97.428571428571416</c:v>
                </c:pt>
                <c:pt idx="5">
                  <c:v>87.142857142857153</c:v>
                </c:pt>
                <c:pt idx="6">
                  <c:v>90.285714285714278</c:v>
                </c:pt>
                <c:pt idx="7">
                  <c:v>82.428571428571431</c:v>
                </c:pt>
                <c:pt idx="8">
                  <c:v>87.142857142857139</c:v>
                </c:pt>
                <c:pt idx="9">
                  <c:v>108.85714285714285</c:v>
                </c:pt>
                <c:pt idx="10">
                  <c:v>120.57142857142858</c:v>
                </c:pt>
                <c:pt idx="11">
                  <c:v>120.85714285714285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Kaasangati-Matugga'!$AF$9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Kaasangati-Matugga'!$R$10:$R$21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Kaasangati-Matugga'!$AF$10:$AF$21</c:f>
              <c:numCache>
                <c:formatCode>0</c:formatCode>
                <c:ptCount val="12"/>
                <c:pt idx="0">
                  <c:v>254.57142857142858</c:v>
                </c:pt>
                <c:pt idx="1">
                  <c:v>273.57142857142856</c:v>
                </c:pt>
                <c:pt idx="2">
                  <c:v>262.14285714285711</c:v>
                </c:pt>
                <c:pt idx="3">
                  <c:v>237.42857142857142</c:v>
                </c:pt>
                <c:pt idx="4">
                  <c:v>250.42857142857142</c:v>
                </c:pt>
                <c:pt idx="5">
                  <c:v>231</c:v>
                </c:pt>
                <c:pt idx="6">
                  <c:v>213.28571428571428</c:v>
                </c:pt>
                <c:pt idx="7">
                  <c:v>198.28571428571428</c:v>
                </c:pt>
                <c:pt idx="8">
                  <c:v>222.42857142857144</c:v>
                </c:pt>
                <c:pt idx="9">
                  <c:v>256.42857142857144</c:v>
                </c:pt>
                <c:pt idx="10">
                  <c:v>280.42857142857144</c:v>
                </c:pt>
                <c:pt idx="11">
                  <c:v>291.71428571428572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916992"/>
        <c:axId val="138918528"/>
      </c:lineChart>
      <c:catAx>
        <c:axId val="1389169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918528"/>
        <c:crosses val="autoZero"/>
        <c:auto val="1"/>
        <c:lblAlgn val="ctr"/>
        <c:lblOffset val="100"/>
        <c:noMultiLvlLbl val="0"/>
      </c:catAx>
      <c:valAx>
        <c:axId val="138918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91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Kaasangati-Matugga'!$C$107:$N$107</c:f>
              <c:numCache>
                <c:formatCode>0.0%</c:formatCode>
                <c:ptCount val="12"/>
                <c:pt idx="0">
                  <c:v>0.19636749264387385</c:v>
                </c:pt>
                <c:pt idx="1">
                  <c:v>5.560783259398662E-2</c:v>
                </c:pt>
                <c:pt idx="2">
                  <c:v>3.5324341682723179E-2</c:v>
                </c:pt>
                <c:pt idx="3">
                  <c:v>4.468939971023584E-2</c:v>
                </c:pt>
                <c:pt idx="4">
                  <c:v>1.7475467132679122E-3</c:v>
                </c:pt>
                <c:pt idx="5">
                  <c:v>4.3315260414332859E-4</c:v>
                </c:pt>
                <c:pt idx="6">
                  <c:v>3.2232528266941493E-2</c:v>
                </c:pt>
                <c:pt idx="7">
                  <c:v>9.0215232035369183E-3</c:v>
                </c:pt>
                <c:pt idx="8">
                  <c:v>2.1806993174112409E-3</c:v>
                </c:pt>
                <c:pt idx="9">
                  <c:v>1.2397126256515954E-3</c:v>
                </c:pt>
                <c:pt idx="10">
                  <c:v>0.61921405206793034</c:v>
                </c:pt>
                <c:pt idx="11">
                  <c:v>1.94171857029768E-3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Kaasangati-Matugga'!$C$9:$N$9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Kaasangati-Matugga'!$C$108:$N$108</c:f>
              <c:numCache>
                <c:formatCode>0.00%</c:formatCode>
                <c:ptCount val="12"/>
                <c:pt idx="0">
                  <c:v>0.5156899662665726</c:v>
                </c:pt>
                <c:pt idx="1">
                  <c:v>0.14603436102612377</c:v>
                </c:pt>
                <c:pt idx="2">
                  <c:v>9.2766925551110074E-2</c:v>
                </c:pt>
                <c:pt idx="3">
                  <c:v>0.11736094767396252</c:v>
                </c:pt>
                <c:pt idx="4">
                  <c:v>4.5893151329724647E-3</c:v>
                </c:pt>
                <c:pt idx="5">
                  <c:v>1.1375225543265083E-3</c:v>
                </c:pt>
                <c:pt idx="6">
                  <c:v>8.4647368008158808E-2</c:v>
                </c:pt>
                <c:pt idx="7">
                  <c:v>2.3691849062524528E-2</c:v>
                </c:pt>
                <c:pt idx="8">
                  <c:v>5.7268376872989732E-3</c:v>
                </c:pt>
                <c:pt idx="9">
                  <c:v>3.2556680003137991E-3</c:v>
                </c:pt>
                <c:pt idx="11">
                  <c:v>5.0992390366360711E-3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Matugga-Kasangati'!$AE$9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Matugga-Kasangati'!$AE$10:$AE$21</c:f>
              <c:numCache>
                <c:formatCode>0</c:formatCode>
                <c:ptCount val="12"/>
                <c:pt idx="0">
                  <c:v>108.71428571428571</c:v>
                </c:pt>
                <c:pt idx="1">
                  <c:v>86.428571428571416</c:v>
                </c:pt>
                <c:pt idx="2">
                  <c:v>89.714285714285722</c:v>
                </c:pt>
                <c:pt idx="3">
                  <c:v>84.285714285714278</c:v>
                </c:pt>
                <c:pt idx="4">
                  <c:v>96</c:v>
                </c:pt>
                <c:pt idx="5">
                  <c:v>82.142857142857139</c:v>
                </c:pt>
                <c:pt idx="6">
                  <c:v>79.571428571428569</c:v>
                </c:pt>
                <c:pt idx="7">
                  <c:v>74.285714285714278</c:v>
                </c:pt>
                <c:pt idx="8">
                  <c:v>83.714285714285694</c:v>
                </c:pt>
                <c:pt idx="9">
                  <c:v>100.71428571428572</c:v>
                </c:pt>
                <c:pt idx="10">
                  <c:v>120.71428571428572</c:v>
                </c:pt>
                <c:pt idx="11">
                  <c:v>144.14285714285714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Matugga-Kasangati'!$AF$9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Matugga-Kasangati'!$R$10:$R$21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Matugga-Kasangati'!$AF$10:$AF$21</c:f>
              <c:numCache>
                <c:formatCode>0</c:formatCode>
                <c:ptCount val="12"/>
                <c:pt idx="0">
                  <c:v>292</c:v>
                </c:pt>
                <c:pt idx="1">
                  <c:v>282.85714285714283</c:v>
                </c:pt>
                <c:pt idx="2">
                  <c:v>267.28571428571428</c:v>
                </c:pt>
                <c:pt idx="3">
                  <c:v>247.14285714285714</c:v>
                </c:pt>
                <c:pt idx="4">
                  <c:v>254</c:v>
                </c:pt>
                <c:pt idx="5">
                  <c:v>233.28571428571428</c:v>
                </c:pt>
                <c:pt idx="6">
                  <c:v>218.14285714285714</c:v>
                </c:pt>
                <c:pt idx="7">
                  <c:v>201</c:v>
                </c:pt>
                <c:pt idx="8">
                  <c:v>228.71428571428569</c:v>
                </c:pt>
                <c:pt idx="9">
                  <c:v>242.71428571428572</c:v>
                </c:pt>
                <c:pt idx="10">
                  <c:v>294.57142857142856</c:v>
                </c:pt>
                <c:pt idx="11">
                  <c:v>312.57142857142856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4080"/>
        <c:axId val="140099968"/>
      </c:lineChart>
      <c:catAx>
        <c:axId val="1400940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099968"/>
        <c:crosses val="autoZero"/>
        <c:auto val="1"/>
        <c:lblAlgn val="ctr"/>
        <c:lblOffset val="100"/>
        <c:noMultiLvlLbl val="0"/>
      </c:catAx>
      <c:valAx>
        <c:axId val="140099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09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Matugga-Kasangati'!$C$107:$N$107</c:f>
              <c:numCache>
                <c:formatCode>0.0%</c:formatCode>
                <c:ptCount val="12"/>
                <c:pt idx="0">
                  <c:v>0.20028409090909094</c:v>
                </c:pt>
                <c:pt idx="1">
                  <c:v>4.1378458498023719E-2</c:v>
                </c:pt>
                <c:pt idx="2">
                  <c:v>3.5094491106719382E-2</c:v>
                </c:pt>
                <c:pt idx="3">
                  <c:v>4.9391674901185782E-2</c:v>
                </c:pt>
                <c:pt idx="4">
                  <c:v>2.2078804347826094E-3</c:v>
                </c:pt>
                <c:pt idx="5">
                  <c:v>1.5439723320158106E-4</c:v>
                </c:pt>
                <c:pt idx="6">
                  <c:v>3.4940093873517798E-2</c:v>
                </c:pt>
                <c:pt idx="7">
                  <c:v>7.7044219367588948E-3</c:v>
                </c:pt>
                <c:pt idx="8">
                  <c:v>3.7981719367588956E-3</c:v>
                </c:pt>
                <c:pt idx="9">
                  <c:v>1.1579792490118577E-3</c:v>
                </c:pt>
                <c:pt idx="10">
                  <c:v>0.62379570158102793</c:v>
                </c:pt>
                <c:pt idx="11">
                  <c:v>9.2638339920948637E-5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8868236099643566E-2"/>
          <c:y val="0.11683716808126259"/>
          <c:w val="0.82998731296695327"/>
          <c:h val="0.8023517060367454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Matugga-Kasangati'!$C$9:$N$9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Matugga-Kasangati'!$C$108:$N$108</c:f>
              <c:numCache>
                <c:formatCode>0.00%</c:formatCode>
                <c:ptCount val="12"/>
                <c:pt idx="0">
                  <c:v>0.53238118689977831</c:v>
                </c:pt>
                <c:pt idx="1">
                  <c:v>0.10998932939341703</c:v>
                </c:pt>
                <c:pt idx="2">
                  <c:v>9.3285726011655579E-2</c:v>
                </c:pt>
                <c:pt idx="3">
                  <c:v>0.13128950176475415</c:v>
                </c:pt>
                <c:pt idx="4">
                  <c:v>5.8688336206188952E-3</c:v>
                </c:pt>
                <c:pt idx="5">
                  <c:v>4.1040794549782473E-4</c:v>
                </c:pt>
                <c:pt idx="6">
                  <c:v>9.2875318066157758E-2</c:v>
                </c:pt>
                <c:pt idx="7">
                  <c:v>2.0479356480341455E-2</c:v>
                </c:pt>
                <c:pt idx="8">
                  <c:v>1.0096035459246493E-2</c:v>
                </c:pt>
                <c:pt idx="9">
                  <c:v>3.0780595912336855E-3</c:v>
                </c:pt>
                <c:pt idx="11">
                  <c:v>2.4624476729869486E-4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Kasangati-Matugga-2Dir'!$C$9:$N$9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Kasangati-Matugga-2Dir'!$C$107:$N$107</c:f>
              <c:numCache>
                <c:formatCode>0.0%</c:formatCode>
                <c:ptCount val="12"/>
                <c:pt idx="0">
                  <c:v>0.19829333657255219</c:v>
                </c:pt>
                <c:pt idx="1">
                  <c:v>4.8611058389450248E-2</c:v>
                </c:pt>
                <c:pt idx="2">
                  <c:v>3.5211321069853238E-2</c:v>
                </c:pt>
                <c:pt idx="3">
                  <c:v>4.7001571527266375E-2</c:v>
                </c:pt>
                <c:pt idx="4">
                  <c:v>1.9738989819236409E-3</c:v>
                </c:pt>
                <c:pt idx="5">
                  <c:v>2.9608484728854608E-4</c:v>
                </c:pt>
                <c:pt idx="6">
                  <c:v>3.3563874611863137E-2</c:v>
                </c:pt>
                <c:pt idx="7">
                  <c:v>8.3738868348529824E-3</c:v>
                </c:pt>
                <c:pt idx="8">
                  <c:v>2.9760323112079496E-3</c:v>
                </c:pt>
                <c:pt idx="9">
                  <c:v>1.1995232274766743E-3</c:v>
                </c:pt>
                <c:pt idx="10">
                  <c:v>0.62146691062033577</c:v>
                </c:pt>
                <c:pt idx="11">
                  <c:v>1.0325010059292889E-3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Kasangati-Matugga-2Dir'!$C$9:$N$9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Kasangati-Matugga-2Dir'!$C$108:$N$108</c:f>
              <c:numCache>
                <c:formatCode>0.00%</c:formatCode>
                <c:ptCount val="12"/>
                <c:pt idx="0">
                  <c:v>0.52384677095868437</c:v>
                </c:pt>
                <c:pt idx="1">
                  <c:v>0.12841957480946645</c:v>
                </c:pt>
                <c:pt idx="2">
                  <c:v>9.3020457280385063E-2</c:v>
                </c:pt>
                <c:pt idx="3">
                  <c:v>0.12416766947452867</c:v>
                </c:pt>
                <c:pt idx="4">
                  <c:v>5.2146008824709199E-3</c:v>
                </c:pt>
                <c:pt idx="5">
                  <c:v>7.8219013237063777E-4</c:v>
                </c:pt>
                <c:pt idx="6">
                  <c:v>8.8668271159245901E-2</c:v>
                </c:pt>
                <c:pt idx="7">
                  <c:v>2.2121941436020854E-2</c:v>
                </c:pt>
                <c:pt idx="8">
                  <c:v>7.862013638186921E-3</c:v>
                </c:pt>
                <c:pt idx="9">
                  <c:v>3.1688728439630979E-3</c:v>
                </c:pt>
                <c:pt idx="11">
                  <c:v>2.7276373846770955E-3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Kasangati-Matugga-2Dir'!$AE$9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Kasangati-Matugga-2Dir'!$R$10:$R$33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Kasangati-Matugga-2Dir'!$AE$10:$AE$33</c:f>
              <c:numCache>
                <c:formatCode>0</c:formatCode>
                <c:ptCount val="24"/>
                <c:pt idx="0">
                  <c:v>202.57142857142861</c:v>
                </c:pt>
                <c:pt idx="1">
                  <c:v>173.85714285714289</c:v>
                </c:pt>
                <c:pt idx="2">
                  <c:v>173.14285714285714</c:v>
                </c:pt>
                <c:pt idx="3">
                  <c:v>172.85714285714286</c:v>
                </c:pt>
                <c:pt idx="4">
                  <c:v>193.42857142857144</c:v>
                </c:pt>
                <c:pt idx="5">
                  <c:v>169.28571428571428</c:v>
                </c:pt>
                <c:pt idx="6">
                  <c:v>169.85714285714286</c:v>
                </c:pt>
                <c:pt idx="7">
                  <c:v>156.71428571428572</c:v>
                </c:pt>
                <c:pt idx="8">
                  <c:v>170.85714285714289</c:v>
                </c:pt>
                <c:pt idx="9">
                  <c:v>209.57142857142856</c:v>
                </c:pt>
                <c:pt idx="10">
                  <c:v>241.28571428571428</c:v>
                </c:pt>
                <c:pt idx="11">
                  <c:v>265</c:v>
                </c:pt>
                <c:pt idx="12">
                  <c:v>225</c:v>
                </c:pt>
                <c:pt idx="13">
                  <c:v>254</c:v>
                </c:pt>
                <c:pt idx="14">
                  <c:v>223</c:v>
                </c:pt>
                <c:pt idx="15">
                  <c:v>165</c:v>
                </c:pt>
                <c:pt idx="16">
                  <c:v>85.5</c:v>
                </c:pt>
                <c:pt idx="17">
                  <c:v>48</c:v>
                </c:pt>
                <c:pt idx="18">
                  <c:v>30.5</c:v>
                </c:pt>
                <c:pt idx="19">
                  <c:v>15.5</c:v>
                </c:pt>
                <c:pt idx="20">
                  <c:v>15</c:v>
                </c:pt>
                <c:pt idx="21">
                  <c:v>11.5</c:v>
                </c:pt>
                <c:pt idx="22">
                  <c:v>43</c:v>
                </c:pt>
                <c:pt idx="23">
                  <c:v>147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850-498B-9070-A1DBF59644D4}"/>
            </c:ext>
          </c:extLst>
        </c:ser>
        <c:ser>
          <c:idx val="1"/>
          <c:order val="1"/>
          <c:tx>
            <c:strRef>
              <c:f>'Avg Week Kasangati-Matugga-2Dir'!$AF$9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Kasangati-Matugga-2Dir'!$R$10:$R$33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Kasangati-Matugga-2Dir'!$AF$10:$AF$33</c:f>
              <c:numCache>
                <c:formatCode>0</c:formatCode>
                <c:ptCount val="24"/>
                <c:pt idx="0">
                  <c:v>546.57142857142867</c:v>
                </c:pt>
                <c:pt idx="1">
                  <c:v>556.42857142857144</c:v>
                </c:pt>
                <c:pt idx="2">
                  <c:v>529.42857142857144</c:v>
                </c:pt>
                <c:pt idx="3">
                  <c:v>484.57142857142856</c:v>
                </c:pt>
                <c:pt idx="4">
                  <c:v>504.42857142857139</c:v>
                </c:pt>
                <c:pt idx="5">
                  <c:v>464.28571428571433</c:v>
                </c:pt>
                <c:pt idx="6">
                  <c:v>431.42857142857144</c:v>
                </c:pt>
                <c:pt idx="7">
                  <c:v>399.28571428571433</c:v>
                </c:pt>
                <c:pt idx="8">
                  <c:v>451.14285714285722</c:v>
                </c:pt>
                <c:pt idx="9">
                  <c:v>499.14285714285717</c:v>
                </c:pt>
                <c:pt idx="10">
                  <c:v>575</c:v>
                </c:pt>
                <c:pt idx="11">
                  <c:v>604.28571428571422</c:v>
                </c:pt>
                <c:pt idx="12">
                  <c:v>663</c:v>
                </c:pt>
                <c:pt idx="13">
                  <c:v>667.5</c:v>
                </c:pt>
                <c:pt idx="14">
                  <c:v>585</c:v>
                </c:pt>
                <c:pt idx="15">
                  <c:v>472.5</c:v>
                </c:pt>
                <c:pt idx="16">
                  <c:v>263</c:v>
                </c:pt>
                <c:pt idx="17">
                  <c:v>124.5</c:v>
                </c:pt>
                <c:pt idx="18">
                  <c:v>96</c:v>
                </c:pt>
                <c:pt idx="19">
                  <c:v>44.5</c:v>
                </c:pt>
                <c:pt idx="20">
                  <c:v>41</c:v>
                </c:pt>
                <c:pt idx="21">
                  <c:v>37</c:v>
                </c:pt>
                <c:pt idx="22">
                  <c:v>84.5</c:v>
                </c:pt>
                <c:pt idx="23">
                  <c:v>284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850-498B-9070-A1DBF59644D4}"/>
            </c:ext>
          </c:extLst>
        </c:ser>
        <c:ser>
          <c:idx val="5"/>
          <c:order val="2"/>
          <c:tx>
            <c:strRef>
              <c:f>'Avg Week Kasangati-Matugga-2Dir'!$AC$9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Kasangati-Matugga-2Dir'!$R$10:$R$33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Kasangati-Matugga-2Dir'!$AC$10:$AC$33</c:f>
              <c:numCache>
                <c:formatCode>0</c:formatCode>
                <c:ptCount val="24"/>
                <c:pt idx="0">
                  <c:v>344</c:v>
                </c:pt>
                <c:pt idx="1">
                  <c:v>382.57142857142856</c:v>
                </c:pt>
                <c:pt idx="2">
                  <c:v>356.28571428571428</c:v>
                </c:pt>
                <c:pt idx="3">
                  <c:v>311.71428571428572</c:v>
                </c:pt>
                <c:pt idx="4">
                  <c:v>311</c:v>
                </c:pt>
                <c:pt idx="5">
                  <c:v>295</c:v>
                </c:pt>
                <c:pt idx="6">
                  <c:v>261.57142857142856</c:v>
                </c:pt>
                <c:pt idx="7">
                  <c:v>242.57142857142861</c:v>
                </c:pt>
                <c:pt idx="8">
                  <c:v>280.28571428571428</c:v>
                </c:pt>
                <c:pt idx="9">
                  <c:v>289.57142857142856</c:v>
                </c:pt>
                <c:pt idx="10">
                  <c:v>333.71428571428567</c:v>
                </c:pt>
                <c:pt idx="11">
                  <c:v>339.28571428571428</c:v>
                </c:pt>
                <c:pt idx="12">
                  <c:v>438</c:v>
                </c:pt>
                <c:pt idx="13">
                  <c:v>413.5</c:v>
                </c:pt>
                <c:pt idx="14">
                  <c:v>362</c:v>
                </c:pt>
                <c:pt idx="15">
                  <c:v>307.5</c:v>
                </c:pt>
                <c:pt idx="16">
                  <c:v>177.5</c:v>
                </c:pt>
                <c:pt idx="17">
                  <c:v>76.5</c:v>
                </c:pt>
                <c:pt idx="18">
                  <c:v>65.5</c:v>
                </c:pt>
                <c:pt idx="19">
                  <c:v>29</c:v>
                </c:pt>
                <c:pt idx="20">
                  <c:v>26</c:v>
                </c:pt>
                <c:pt idx="21">
                  <c:v>25.5</c:v>
                </c:pt>
                <c:pt idx="22">
                  <c:v>41.5</c:v>
                </c:pt>
                <c:pt idx="23">
                  <c:v>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50-498B-9070-A1DBF5964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505792"/>
        <c:axId val="157506944"/>
      </c:lineChart>
      <c:catAx>
        <c:axId val="1575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6944"/>
        <c:crosses val="autoZero"/>
        <c:auto val="1"/>
        <c:lblAlgn val="ctr"/>
        <c:lblOffset val="100"/>
        <c:noMultiLvlLbl val="0"/>
      </c:catAx>
      <c:valAx>
        <c:axId val="157506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50579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Kasangati-Matugga-2Dir'!$S$9:$AF$9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Kasangati-Matugga-2Dir'!$S$41:$AF$41</c:f>
              <c:numCache>
                <c:formatCode>_(* #,##0_);_(* \(#,##0\);_(* "-"_);_(@_)</c:formatCode>
                <c:ptCount val="14"/>
                <c:pt idx="0">
                  <c:v>1865.6428571428569</c:v>
                </c:pt>
                <c:pt idx="1">
                  <c:v>457.35714285714283</c:v>
                </c:pt>
                <c:pt idx="2">
                  <c:v>331.28571428571433</c:v>
                </c:pt>
                <c:pt idx="3">
                  <c:v>442.21428571428572</c:v>
                </c:pt>
                <c:pt idx="4">
                  <c:v>18.571428571428569</c:v>
                </c:pt>
                <c:pt idx="5">
                  <c:v>2.7857142857142856</c:v>
                </c:pt>
                <c:pt idx="6">
                  <c:v>315.78571428571422</c:v>
                </c:pt>
                <c:pt idx="7">
                  <c:v>78.785714285714278</c:v>
                </c:pt>
                <c:pt idx="8">
                  <c:v>27.999999999999996</c:v>
                </c:pt>
                <c:pt idx="9">
                  <c:v>11.285714285714285</c:v>
                </c:pt>
                <c:pt idx="10">
                  <c:v>5847.0714285714284</c:v>
                </c:pt>
                <c:pt idx="11">
                  <c:v>9.7142857142857135</c:v>
                </c:pt>
                <c:pt idx="12">
                  <c:v>3561.4285714285716</c:v>
                </c:pt>
                <c:pt idx="13">
                  <c:v>9408.5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EB-44A3-ACBB-AFF2FD1856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15168"/>
        <c:axId val="157816704"/>
      </c:barChart>
      <c:catAx>
        <c:axId val="1578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6704"/>
        <c:crosses val="autoZero"/>
        <c:auto val="1"/>
        <c:lblAlgn val="ctr"/>
        <c:lblOffset val="100"/>
        <c:noMultiLvlLbl val="0"/>
      </c:catAx>
      <c:valAx>
        <c:axId val="15781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6"/>
          <c:y val="2.254314649517310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3"/>
          <c:w val="0.64701098217985931"/>
          <c:h val="0.78282496245212663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Kasangati-Matugga-2Dir'!$S$9:$AF$9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Kasangati-Matugga-2Dir'!$S$42:$AF$42</c:f>
              <c:numCache>
                <c:formatCode>0.000</c:formatCode>
                <c:ptCount val="14"/>
                <c:pt idx="0">
                  <c:v>1.6640545361875638</c:v>
                </c:pt>
                <c:pt idx="1">
                  <c:v>1.3740343347639485</c:v>
                </c:pt>
                <c:pt idx="2">
                  <c:v>1.4903598971722365</c:v>
                </c:pt>
                <c:pt idx="3">
                  <c:v>1.5753180661577608</c:v>
                </c:pt>
                <c:pt idx="4">
                  <c:v>1.6049382716049381</c:v>
                </c:pt>
                <c:pt idx="5">
                  <c:v>1.21875</c:v>
                </c:pt>
                <c:pt idx="6">
                  <c:v>1.359471094710947</c:v>
                </c:pt>
                <c:pt idx="7">
                  <c:v>1.3517156862745099</c:v>
                </c:pt>
                <c:pt idx="8">
                  <c:v>1.4000000000000001</c:v>
                </c:pt>
                <c:pt idx="9">
                  <c:v>1.3620689655172413</c:v>
                </c:pt>
                <c:pt idx="10">
                  <c:v>1.5602294819502154</c:v>
                </c:pt>
                <c:pt idx="11">
                  <c:v>1.1147540983606556</c:v>
                </c:pt>
                <c:pt idx="12">
                  <c:v>1.549505873578221</c:v>
                </c:pt>
                <c:pt idx="13">
                  <c:v>1.5561528283162422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0D-4DE0-9225-887E0E99AD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57861376"/>
        <c:axId val="157862912"/>
      </c:barChart>
      <c:catAx>
        <c:axId val="15786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2912"/>
        <c:crosses val="autoZero"/>
        <c:auto val="1"/>
        <c:lblAlgn val="ctr"/>
        <c:lblOffset val="100"/>
        <c:noMultiLvlLbl val="0"/>
      </c:catAx>
      <c:valAx>
        <c:axId val="1578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86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45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44.xml"/><Relationship Id="rId2" Type="http://schemas.openxmlformats.org/officeDocument/2006/relationships/image" Target="../media/image1.emf"/><Relationship Id="rId16" Type="http://schemas.openxmlformats.org/officeDocument/2006/relationships/chart" Target="../charts/chart43.xml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1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50.xml"/><Relationship Id="rId2" Type="http://schemas.openxmlformats.org/officeDocument/2006/relationships/image" Target="../media/image1.emf"/><Relationship Id="rId16" Type="http://schemas.openxmlformats.org/officeDocument/2006/relationships/chart" Target="../charts/chart49.xml"/><Relationship Id="rId1" Type="http://schemas.openxmlformats.org/officeDocument/2006/relationships/chart" Target="../charts/chart4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8.xml"/><Relationship Id="rId10" Type="http://schemas.openxmlformats.org/officeDocument/2006/relationships/image" Target="../media/image9.jpeg"/><Relationship Id="rId19" Type="http://schemas.openxmlformats.org/officeDocument/2006/relationships/chart" Target="../charts/chart52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7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8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57.xml"/><Relationship Id="rId2" Type="http://schemas.openxmlformats.org/officeDocument/2006/relationships/image" Target="../media/image1.emf"/><Relationship Id="rId16" Type="http://schemas.openxmlformats.org/officeDocument/2006/relationships/chart" Target="../charts/chart56.xml"/><Relationship Id="rId1" Type="http://schemas.openxmlformats.org/officeDocument/2006/relationships/chart" Target="../charts/chart5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5.xml"/><Relationship Id="rId10" Type="http://schemas.openxmlformats.org/officeDocument/2006/relationships/image" Target="../media/image9.jpeg"/><Relationship Id="rId19" Type="http://schemas.openxmlformats.org/officeDocument/2006/relationships/chart" Target="../charts/chart59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4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6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1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6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4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66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70.xml"/><Relationship Id="rId2" Type="http://schemas.openxmlformats.org/officeDocument/2006/relationships/image" Target="../media/image2.emf"/><Relationship Id="rId16" Type="http://schemas.openxmlformats.org/officeDocument/2006/relationships/chart" Target="../charts/chart69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68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E78E423-FAB4-418C-9B1A-80D9DFEE1D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94D6A47-3631-405B-A16B-87092A47A5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99C4C56-45FF-4290-B806-AA538ED155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25E5639-0E64-4BB4-A43C-67C95D312B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6D3788-5498-4BC5-8669-EE3BC29B3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EA4C0F3-C957-4A75-912D-5C09838281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C295B2A-4D08-4884-9DD2-F51705DC95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166DEA7-3C4F-4E02-B150-053210AFF0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F4EAACB9-9B2B-4014-BB2D-50693F11D0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6" name="Picture 4">
          <a:extLst>
            <a:ext uri="{FF2B5EF4-FFF2-40B4-BE49-F238E27FC236}">
              <a16:creationId xmlns:a16="http://schemas.microsoft.com/office/drawing/2014/main" id="{90A267EE-BF23-4425-8D80-81389B137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F137064-2F16-46B5-89D0-DE0EBCB05D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7E7A5CD-C7B9-4F1B-8E19-C2A9ED03D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EFFA03E-4DD3-4FA7-AC3F-F2B44D578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53480CC-53F2-48CC-B616-76F84CF60A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5EEDA03-DF58-4956-B313-35CDBADD1B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00EE913-D68F-4530-B64D-C9E72FF040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1975F01-5F81-4E76-93B0-38E7CA2376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753459A-A6C5-4677-B89F-699192AAE4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59FFBA5-4966-4C5E-B017-32CF358BF2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E88A44-5338-4B2A-98EF-FCCAC2C92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B130A51-868F-4667-8252-3C987CDBA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2B3F925-03BF-4194-835E-ABB0B5587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9F6EBD0A-2AF5-4A0F-B975-D0C81A0D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8A150E8-F7BC-4200-8ED3-2A8813F36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3336BC1B-A848-4F76-8EC5-0CF1ADDFE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E98EA45A-A926-4EAE-A305-C293037374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62C9F8F-C147-4EB7-8439-9C7DE29F28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044057C-AF9B-44B1-986E-40094B189F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DD81427-FA2F-4C94-B6CC-71F73780F6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363783B-CD0B-4080-9DB8-F9B5439DBD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CB2C8794-56E3-46E1-91BD-72742C58E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15B17B3-66EF-4DED-8B1E-8C7F636212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5A18695-5F2D-455B-B7D7-A1E29C5D3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68CC89A-741A-4585-8C7D-3903D7B00F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8E5A670-0FC1-4D57-B6C0-80BBCB1B92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5B30202-8606-4F2F-B03A-967BEE38D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B797A76-7BE6-463B-804A-BA4C89BB6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2C5157CB-1537-4795-A301-17BFB6ACEA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F759AB6-5265-4D50-B44D-23D6A097E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7F50F08-9708-420F-AC4E-3E8422572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F1353CE2-5E8F-4B08-9092-4D45B903C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3F18353D-45D8-4B2D-BB10-505A5F6B47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A8489D2-41F4-4C1D-864A-635ECA912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72772D7-781E-4884-B953-6A888B879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216A22B-C4D4-49EC-8C37-37D9062253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5D35512A-1759-4997-AEB3-4225C4E2E5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C6BD5A7-1326-49DE-84BA-C280095EA1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727B55CB-3539-4C4D-8611-911872837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AC3AFDAA-1EC5-4610-B464-1896D924B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F3C72941-C76F-4C06-86DE-6B6914690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AF8ABCD-351C-42C5-946D-48A6DBAF2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4E50FD7-CFB9-4C94-82DF-E9BC7529D6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E81BCC7F-319E-4831-A907-453C9C7C73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737848</xdr:colOff>
      <xdr:row>7</xdr:row>
      <xdr:rowOff>292100</xdr:rowOff>
    </xdr:from>
    <xdr:to>
      <xdr:col>5</xdr:col>
      <xdr:colOff>572748</xdr:colOff>
      <xdr:row>8</xdr:row>
      <xdr:rowOff>50800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A146A24-AFDE-4873-A0CE-3362CC193A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947773" y="2120900"/>
          <a:ext cx="739775" cy="396875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B019F87-DE63-494E-87D6-669EBF3A4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4FD8E78-D375-4729-B3CC-930029F5F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B8D1B80-675A-44CA-9C22-EEDACD9F12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22225</xdr:rowOff>
    </xdr:from>
    <xdr:to>
      <xdr:col>27</xdr:col>
      <xdr:colOff>698500</xdr:colOff>
      <xdr:row>57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57</xdr:row>
      <xdr:rowOff>279400</xdr:rowOff>
    </xdr:from>
    <xdr:to>
      <xdr:col>23</xdr:col>
      <xdr:colOff>15876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15876</xdr:colOff>
      <xdr:row>57</xdr:row>
      <xdr:rowOff>269876</xdr:rowOff>
    </xdr:from>
    <xdr:to>
      <xdr:col>31</xdr:col>
      <xdr:colOff>0</xdr:colOff>
      <xdr:row>74</xdr:row>
      <xdr:rowOff>15876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6350</xdr:rowOff>
    </xdr:from>
    <xdr:to>
      <xdr:col>27</xdr:col>
      <xdr:colOff>714374</xdr:colOff>
      <xdr:row>57</xdr:row>
      <xdr:rowOff>15876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57</xdr:row>
      <xdr:rowOff>279400</xdr:rowOff>
    </xdr:from>
    <xdr:to>
      <xdr:col>23</xdr:col>
      <xdr:colOff>15875</xdr:colOff>
      <xdr:row>73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0</xdr:colOff>
      <xdr:row>58</xdr:row>
      <xdr:rowOff>15876</xdr:rowOff>
    </xdr:from>
    <xdr:to>
      <xdr:col>31</xdr:col>
      <xdr:colOff>31750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9525</xdr:rowOff>
    </xdr:from>
    <xdr:to>
      <xdr:col>24</xdr:col>
      <xdr:colOff>0</xdr:colOff>
      <xdr:row>72</xdr:row>
      <xdr:rowOff>238124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72</xdr:row>
      <xdr:rowOff>238125</xdr:rowOff>
    </xdr:from>
    <xdr:to>
      <xdr:col>24</xdr:col>
      <xdr:colOff>0</xdr:colOff>
      <xdr:row>88</xdr:row>
      <xdr:rowOff>254000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0</xdr:rowOff>
    </xdr:from>
    <xdr:to>
      <xdr:col>27</xdr:col>
      <xdr:colOff>698500</xdr:colOff>
      <xdr:row>58</xdr:row>
      <xdr:rowOff>15875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58</xdr:row>
      <xdr:rowOff>1</xdr:rowOff>
    </xdr:from>
    <xdr:to>
      <xdr:col>30</xdr:col>
      <xdr:colOff>698500</xdr:colOff>
      <xdr:row>72</xdr:row>
      <xdr:rowOff>238125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0</xdr:colOff>
      <xdr:row>72</xdr:row>
      <xdr:rowOff>238125</xdr:rowOff>
    </xdr:from>
    <xdr:to>
      <xdr:col>30</xdr:col>
      <xdr:colOff>698499</xdr:colOff>
      <xdr:row>88</xdr:row>
      <xdr:rowOff>252413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Steward%20Consultancy\Preliminary%20Data%20For%20Review\EDMP-DATA-1.10%20KITANDWE%20JOEL\MCC-C2-STN-68-%20Matuga-Kasangati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- Kasangati-Matuga"/>
      <sheetName val="23.09- Matuga -Kasangati"/>
      <sheetName val="24.09 Kasangati-Matugga"/>
      <sheetName val="24.09 Matugga-Kasangati"/>
      <sheetName val="25.09 Kasangati-Matugga"/>
      <sheetName val="25.09 Matugga-Kasangati"/>
      <sheetName val="25.07 Kibuye-Makindye"/>
      <sheetName val="25.07 Makindye-Kibuye"/>
      <sheetName val="26.07 Kibuye-Makindye-24h"/>
      <sheetName val="26.07 Makindye-Kibuye-24h"/>
      <sheetName val="28.09 Kasangati-Matuga-24h"/>
      <sheetName val="28.09 Matuga-Kasangati-24h"/>
      <sheetName val="29.09 Kasangati-Matuga"/>
      <sheetName val="29.09 Matuga-Kasangati"/>
      <sheetName val="Avg Week Kibuye-Makindye"/>
      <sheetName val="Avg Week Makindye-Kibuye"/>
      <sheetName val="Avg Week Makindye-Kibuye-2Dir"/>
    </sheetNames>
    <sheetDataSet>
      <sheetData sheetId="0" refreshError="1">
        <row r="3">
          <cell r="C3" t="str">
            <v>MCC - C12- STN-68-MATUGA-KASANGATI- ROAD</v>
          </cell>
        </row>
        <row r="6">
          <cell r="D6" t="str">
            <v>Kasangati</v>
          </cell>
          <cell r="G6" t="str">
            <v>matugga</v>
          </cell>
        </row>
      </sheetData>
      <sheetData sheetId="1" refreshError="1">
        <row r="3">
          <cell r="C3" t="str">
            <v>MCC - C12- STN-68-MATUGA-KASANGATI- ROAD</v>
          </cell>
        </row>
        <row r="6">
          <cell r="D6" t="str">
            <v>Matuga</v>
          </cell>
          <cell r="G6" t="str">
            <v>Kasangati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5">
          <cell r="G5" t="str">
            <v>Kiiza-besigye road</v>
          </cell>
          <cell r="K5" t="str">
            <v>Nakiwugwe. Allen</v>
          </cell>
        </row>
        <row r="6">
          <cell r="K6" t="str">
            <v>lawrence</v>
          </cell>
        </row>
      </sheetData>
      <sheetData sheetId="10" refreshError="1">
        <row r="5">
          <cell r="D5" t="str">
            <v>28.09.19</v>
          </cell>
          <cell r="G5" t="str">
            <v>Kiiza-besigye road</v>
          </cell>
          <cell r="K5" t="str">
            <v>Nakiwugwe. Allen</v>
          </cell>
        </row>
        <row r="6">
          <cell r="K6" t="str">
            <v>lawrence</v>
          </cell>
        </row>
      </sheetData>
      <sheetData sheetId="11" refreshError="1">
        <row r="5">
          <cell r="G5" t="str">
            <v>Kiiza-besigye road</v>
          </cell>
          <cell r="K5" t="str">
            <v>Nakiwugwe. Allen</v>
          </cell>
        </row>
        <row r="6">
          <cell r="K6" t="str">
            <v>lawrence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84</v>
          </cell>
          <cell r="AF10">
            <v>255</v>
          </cell>
        </row>
        <row r="11">
          <cell r="R11" t="str">
            <v>0800-0900</v>
          </cell>
          <cell r="AE11">
            <v>133</v>
          </cell>
          <cell r="AF11">
            <v>365</v>
          </cell>
        </row>
        <row r="12">
          <cell r="R12" t="str">
            <v>0900-1000</v>
          </cell>
          <cell r="AE12">
            <v>127</v>
          </cell>
          <cell r="AF12">
            <v>313</v>
          </cell>
        </row>
        <row r="13">
          <cell r="R13" t="str">
            <v>1000-1100</v>
          </cell>
          <cell r="AE13">
            <v>129</v>
          </cell>
          <cell r="AF13">
            <v>323</v>
          </cell>
        </row>
        <row r="14">
          <cell r="R14" t="str">
            <v>1100-1200</v>
          </cell>
          <cell r="AE14">
            <v>165</v>
          </cell>
          <cell r="AF14">
            <v>344</v>
          </cell>
        </row>
        <row r="15">
          <cell r="R15" t="str">
            <v>1200-1300</v>
          </cell>
          <cell r="AE15">
            <v>119</v>
          </cell>
          <cell r="AF15">
            <v>295</v>
          </cell>
        </row>
        <row r="16">
          <cell r="R16" t="str">
            <v>1300-1400</v>
          </cell>
          <cell r="AE16">
            <v>101</v>
          </cell>
          <cell r="AF16">
            <v>294</v>
          </cell>
        </row>
        <row r="17">
          <cell r="R17" t="str">
            <v>1400-1500</v>
          </cell>
          <cell r="AE17">
            <v>102</v>
          </cell>
          <cell r="AF17">
            <v>270</v>
          </cell>
        </row>
        <row r="18">
          <cell r="R18" t="str">
            <v>1500-1600</v>
          </cell>
          <cell r="AE18">
            <v>103</v>
          </cell>
          <cell r="AF18">
            <v>264</v>
          </cell>
        </row>
        <row r="19">
          <cell r="R19" t="str">
            <v>1600-1700</v>
          </cell>
          <cell r="AE19">
            <v>102</v>
          </cell>
          <cell r="AF19">
            <v>253</v>
          </cell>
        </row>
        <row r="20">
          <cell r="R20" t="str">
            <v>1700-1800</v>
          </cell>
          <cell r="AE20">
            <v>135</v>
          </cell>
          <cell r="AF20">
            <v>318</v>
          </cell>
        </row>
        <row r="21">
          <cell r="R21" t="str">
            <v>1800-1900</v>
          </cell>
          <cell r="AE21">
            <v>172</v>
          </cell>
          <cell r="AF21">
            <v>336</v>
          </cell>
        </row>
        <row r="22">
          <cell r="R22" t="str">
            <v>1900-2000</v>
          </cell>
          <cell r="AE22">
            <v>136</v>
          </cell>
          <cell r="AF22">
            <v>355</v>
          </cell>
        </row>
        <row r="23">
          <cell r="R23" t="str">
            <v>2000-2100</v>
          </cell>
          <cell r="AE23">
            <v>143</v>
          </cell>
          <cell r="AF23">
            <v>353</v>
          </cell>
        </row>
        <row r="24">
          <cell r="R24" t="str">
            <v>2100-2200</v>
          </cell>
          <cell r="AE24">
            <v>103</v>
          </cell>
          <cell r="AF24">
            <v>278</v>
          </cell>
        </row>
        <row r="25">
          <cell r="R25" t="str">
            <v>2200-2300</v>
          </cell>
          <cell r="AE25">
            <v>72</v>
          </cell>
          <cell r="AF25">
            <v>194</v>
          </cell>
        </row>
        <row r="26">
          <cell r="R26" t="str">
            <v>2300-0000</v>
          </cell>
          <cell r="AE26">
            <v>40</v>
          </cell>
          <cell r="AF26">
            <v>131</v>
          </cell>
        </row>
        <row r="27">
          <cell r="R27" t="str">
            <v>0000-0100</v>
          </cell>
          <cell r="AE27">
            <v>15</v>
          </cell>
          <cell r="AF27">
            <v>45</v>
          </cell>
        </row>
        <row r="28">
          <cell r="R28" t="str">
            <v>0100-0200</v>
          </cell>
          <cell r="AE28">
            <v>15</v>
          </cell>
          <cell r="AF28">
            <v>39</v>
          </cell>
        </row>
        <row r="29">
          <cell r="R29" t="str">
            <v>0200-0300</v>
          </cell>
          <cell r="AE29">
            <v>8</v>
          </cell>
          <cell r="AF29">
            <v>22</v>
          </cell>
        </row>
        <row r="30">
          <cell r="R30" t="str">
            <v>0300-0400</v>
          </cell>
          <cell r="AE30">
            <v>6</v>
          </cell>
          <cell r="AF30">
            <v>26</v>
          </cell>
        </row>
        <row r="31">
          <cell r="R31" t="str">
            <v>0400-0500</v>
          </cell>
          <cell r="AE31">
            <v>0</v>
          </cell>
          <cell r="AF31">
            <v>17</v>
          </cell>
        </row>
        <row r="32">
          <cell r="R32" t="str">
            <v>0500-0600</v>
          </cell>
          <cell r="AE32">
            <v>5</v>
          </cell>
          <cell r="AF32">
            <v>17</v>
          </cell>
        </row>
        <row r="33">
          <cell r="R33" t="str">
            <v>0600-0700</v>
          </cell>
          <cell r="AE33">
            <v>47</v>
          </cell>
          <cell r="AF33">
            <v>93</v>
          </cell>
        </row>
        <row r="107">
          <cell r="C107">
            <v>0.22807692307692307</v>
          </cell>
          <cell r="D107">
            <v>3.7115384615384613E-2</v>
          </cell>
          <cell r="E107">
            <v>3.7307692307692306E-2</v>
          </cell>
          <cell r="F107">
            <v>4.403846153846154E-2</v>
          </cell>
          <cell r="G107">
            <v>1.7307692307692308E-3</v>
          </cell>
          <cell r="H107">
            <v>1.9230769230769231E-4</v>
          </cell>
          <cell r="I107">
            <v>3.8461538461538464E-2</v>
          </cell>
          <cell r="J107">
            <v>4.4230769230769228E-3</v>
          </cell>
          <cell r="K107">
            <v>4.807692307692308E-3</v>
          </cell>
          <cell r="L107">
            <v>3.8461538461538462E-4</v>
          </cell>
          <cell r="M107">
            <v>0.60346153846153849</v>
          </cell>
          <cell r="N107">
            <v>0</v>
          </cell>
        </row>
        <row r="108">
          <cell r="C108">
            <v>0.57516973811833172</v>
          </cell>
          <cell r="D108">
            <v>9.3598448108632396E-2</v>
          </cell>
          <cell r="E108">
            <v>9.4083414161008724E-2</v>
          </cell>
          <cell r="F108">
            <v>0.11105722599418041</v>
          </cell>
          <cell r="G108">
            <v>4.3646944713870029E-3</v>
          </cell>
          <cell r="H108">
            <v>4.8496605237633366E-4</v>
          </cell>
          <cell r="I108">
            <v>9.6993210475266725E-2</v>
          </cell>
          <cell r="J108">
            <v>1.1154219204655674E-2</v>
          </cell>
          <cell r="K108">
            <v>1.2124151309408341E-2</v>
          </cell>
          <cell r="L108">
            <v>9.6993210475266732E-4</v>
          </cell>
          <cell r="N108">
            <v>0</v>
          </cell>
        </row>
      </sheetData>
      <sheetData sheetId="12" refreshError="1">
        <row r="5">
          <cell r="D5" t="str">
            <v>29.09.19</v>
          </cell>
          <cell r="G5" t="str">
            <v>Kiiza-besigye road</v>
          </cell>
          <cell r="K5" t="str">
            <v>Nakiwugwe. Allen</v>
          </cell>
        </row>
        <row r="6">
          <cell r="K6" t="str">
            <v>lawrence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66</v>
          </cell>
          <cell r="AF10">
            <v>204</v>
          </cell>
        </row>
        <row r="11">
          <cell r="R11" t="str">
            <v>0800-0900</v>
          </cell>
          <cell r="AE11">
            <v>85</v>
          </cell>
          <cell r="AF11">
            <v>235</v>
          </cell>
        </row>
        <row r="12">
          <cell r="R12" t="str">
            <v>0900-1000</v>
          </cell>
          <cell r="AE12">
            <v>90</v>
          </cell>
          <cell r="AF12">
            <v>271</v>
          </cell>
        </row>
        <row r="13">
          <cell r="R13" t="str">
            <v>1000-1100</v>
          </cell>
          <cell r="AE13">
            <v>87</v>
          </cell>
          <cell r="AF13">
            <v>249</v>
          </cell>
        </row>
        <row r="14">
          <cell r="R14" t="str">
            <v>1100-1200</v>
          </cell>
          <cell r="AE14">
            <v>114</v>
          </cell>
          <cell r="AF14">
            <v>338</v>
          </cell>
        </row>
        <row r="15">
          <cell r="R15" t="str">
            <v>1200-1300</v>
          </cell>
          <cell r="AE15">
            <v>121</v>
          </cell>
          <cell r="AF15">
            <v>306</v>
          </cell>
        </row>
        <row r="16">
          <cell r="R16" t="str">
            <v>1300-1400</v>
          </cell>
          <cell r="AE16">
            <v>117</v>
          </cell>
          <cell r="AF16">
            <v>285</v>
          </cell>
        </row>
        <row r="17">
          <cell r="R17" t="str">
            <v>1400-1500</v>
          </cell>
          <cell r="AE17">
            <v>115</v>
          </cell>
          <cell r="AF17">
            <v>271</v>
          </cell>
        </row>
        <row r="18">
          <cell r="R18" t="str">
            <v>1500-1600</v>
          </cell>
          <cell r="AE18">
            <v>99</v>
          </cell>
          <cell r="AF18">
            <v>262</v>
          </cell>
        </row>
        <row r="19">
          <cell r="R19" t="str">
            <v>1600-1700</v>
          </cell>
          <cell r="AE19">
            <v>111</v>
          </cell>
          <cell r="AF19">
            <v>283</v>
          </cell>
        </row>
        <row r="20">
          <cell r="R20" t="str">
            <v>1700-1800</v>
          </cell>
          <cell r="AE20">
            <v>114</v>
          </cell>
          <cell r="AF20">
            <v>286</v>
          </cell>
        </row>
        <row r="21">
          <cell r="R21" t="str">
            <v>1800-1900</v>
          </cell>
          <cell r="AE21">
            <v>107</v>
          </cell>
          <cell r="AF21">
            <v>256</v>
          </cell>
        </row>
        <row r="59">
          <cell r="C59">
            <v>0.1876155268022181</v>
          </cell>
          <cell r="D59">
            <v>8.7800369685767099E-2</v>
          </cell>
          <cell r="E59">
            <v>2.6802218114602587E-2</v>
          </cell>
          <cell r="F59">
            <v>4.0973505853357982E-2</v>
          </cell>
          <cell r="G59">
            <v>6.1614294516327791E-4</v>
          </cell>
          <cell r="H59">
            <v>0</v>
          </cell>
          <cell r="I59">
            <v>2.649414664202095E-2</v>
          </cell>
          <cell r="J59">
            <v>4.3130006161429448E-3</v>
          </cell>
          <cell r="K59">
            <v>1.5403573629081946E-3</v>
          </cell>
          <cell r="L59">
            <v>1.2322858903265558E-3</v>
          </cell>
          <cell r="M59">
            <v>0.62230437461491062</v>
          </cell>
          <cell r="N59">
            <v>3.0807147258163895E-4</v>
          </cell>
        </row>
        <row r="60">
          <cell r="C60">
            <v>0.49673735725938012</v>
          </cell>
          <cell r="D60">
            <v>0.23246329526916804</v>
          </cell>
          <cell r="E60">
            <v>7.096247960848287E-2</v>
          </cell>
          <cell r="F60">
            <v>0.10848287112561175</v>
          </cell>
          <cell r="G60">
            <v>1.6313213703099511E-3</v>
          </cell>
          <cell r="H60">
            <v>0</v>
          </cell>
          <cell r="I60">
            <v>7.01468189233279E-2</v>
          </cell>
          <cell r="J60">
            <v>1.1419249592169658E-2</v>
          </cell>
          <cell r="K60">
            <v>4.0783034257748773E-3</v>
          </cell>
          <cell r="L60">
            <v>3.2626427406199023E-3</v>
          </cell>
          <cell r="N60">
            <v>8.1566068515497557E-4</v>
          </cell>
        </row>
      </sheetData>
      <sheetData sheetId="13" refreshError="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65</v>
          </cell>
          <cell r="AF10">
            <v>216</v>
          </cell>
        </row>
        <row r="11">
          <cell r="R11" t="str">
            <v>0800-0900</v>
          </cell>
          <cell r="AE11">
            <v>66</v>
          </cell>
          <cell r="AF11">
            <v>237</v>
          </cell>
        </row>
        <row r="12">
          <cell r="R12" t="str">
            <v>0900-1000</v>
          </cell>
          <cell r="AE12">
            <v>120</v>
          </cell>
          <cell r="AF12">
            <v>338</v>
          </cell>
        </row>
        <row r="13">
          <cell r="R13" t="str">
            <v>1000-1100</v>
          </cell>
          <cell r="AE13">
            <v>80</v>
          </cell>
          <cell r="AF13">
            <v>274</v>
          </cell>
        </row>
        <row r="14">
          <cell r="R14" t="str">
            <v>1100-1200</v>
          </cell>
          <cell r="AE14">
            <v>139</v>
          </cell>
          <cell r="AF14">
            <v>368</v>
          </cell>
        </row>
        <row r="15">
          <cell r="R15" t="str">
            <v>1200-1300</v>
          </cell>
          <cell r="AE15">
            <v>94</v>
          </cell>
          <cell r="AF15">
            <v>252</v>
          </cell>
        </row>
        <row r="16">
          <cell r="R16" t="str">
            <v>1300-1400</v>
          </cell>
          <cell r="AE16">
            <v>90</v>
          </cell>
          <cell r="AF16">
            <v>206</v>
          </cell>
        </row>
        <row r="17">
          <cell r="R17" t="str">
            <v>1400-1500</v>
          </cell>
          <cell r="AE17">
            <v>110</v>
          </cell>
          <cell r="AF17">
            <v>272</v>
          </cell>
        </row>
        <row r="18">
          <cell r="R18" t="str">
            <v>1500-1600</v>
          </cell>
          <cell r="AE18">
            <v>97</v>
          </cell>
          <cell r="AF18">
            <v>268</v>
          </cell>
        </row>
        <row r="19">
          <cell r="R19" t="str">
            <v>1600-1700</v>
          </cell>
          <cell r="AE19">
            <v>116</v>
          </cell>
          <cell r="AF19">
            <v>274</v>
          </cell>
        </row>
        <row r="20">
          <cell r="R20" t="str">
            <v>1700-1800</v>
          </cell>
          <cell r="AE20">
            <v>120</v>
          </cell>
          <cell r="AF20">
            <v>283</v>
          </cell>
        </row>
        <row r="21">
          <cell r="R21" t="str">
            <v>1800-1900</v>
          </cell>
          <cell r="AE21">
            <v>170</v>
          </cell>
          <cell r="AF21">
            <v>331</v>
          </cell>
        </row>
        <row r="59">
          <cell r="C59">
            <v>0.22808074721301597</v>
          </cell>
          <cell r="D59">
            <v>4.2783971075625191E-2</v>
          </cell>
          <cell r="E59">
            <v>3.3745103946971979E-2</v>
          </cell>
          <cell r="F59">
            <v>4.5495631214221149E-2</v>
          </cell>
          <cell r="G59">
            <v>6.0259114191021392E-4</v>
          </cell>
          <cell r="H59">
            <v>0</v>
          </cell>
          <cell r="I59">
            <v>2.470623681831877E-2</v>
          </cell>
          <cell r="J59">
            <v>3.3142512805061767E-3</v>
          </cell>
          <cell r="K59">
            <v>1.5064778547755348E-3</v>
          </cell>
          <cell r="L59">
            <v>1.2051822838204278E-3</v>
          </cell>
          <cell r="M59">
            <v>0.61825851159987943</v>
          </cell>
          <cell r="N59">
            <v>3.0129557095510696E-4</v>
          </cell>
        </row>
        <row r="60">
          <cell r="C60">
            <v>0.59747434885556427</v>
          </cell>
          <cell r="D60">
            <v>0.11207576953433307</v>
          </cell>
          <cell r="E60">
            <v>8.8397790055248615E-2</v>
          </cell>
          <cell r="F60">
            <v>0.11917916337805841</v>
          </cell>
          <cell r="G60">
            <v>1.5785319652722968E-3</v>
          </cell>
          <cell r="H60">
            <v>0</v>
          </cell>
          <cell r="I60">
            <v>6.4719810576164161E-2</v>
          </cell>
          <cell r="J60">
            <v>8.6819258089976328E-3</v>
          </cell>
          <cell r="K60">
            <v>3.9463299131807421E-3</v>
          </cell>
          <cell r="L60">
            <v>3.1570639305445935E-3</v>
          </cell>
          <cell r="N60">
            <v>7.8926598263614838E-4</v>
          </cell>
        </row>
      </sheetData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10" zoomScale="62" zoomScaleSheetLayoutView="62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1" t="s">
        <v>96</v>
      </c>
      <c r="C3" s="155" t="s">
        <v>175</v>
      </c>
      <c r="D3" s="155"/>
      <c r="E3" s="155"/>
      <c r="F3" s="155"/>
      <c r="G3" s="155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150" t="s">
        <v>165</v>
      </c>
      <c r="H5" s="151"/>
      <c r="I5" s="14"/>
      <c r="J5" s="2" t="s">
        <v>5</v>
      </c>
      <c r="K5" s="150" t="s">
        <v>167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">
        <v>164</v>
      </c>
      <c r="E6" s="151"/>
      <c r="F6" s="2" t="s">
        <v>2</v>
      </c>
      <c r="G6" s="150" t="s">
        <v>166</v>
      </c>
      <c r="H6" s="151"/>
      <c r="J6" s="2" t="s">
        <v>21</v>
      </c>
      <c r="K6" s="150" t="s">
        <v>168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31</v>
      </c>
      <c r="D10" s="50">
        <v>4</v>
      </c>
      <c r="E10" s="50">
        <v>6</v>
      </c>
      <c r="F10" s="50">
        <v>8</v>
      </c>
      <c r="G10" s="50">
        <v>0</v>
      </c>
      <c r="H10" s="50">
        <v>0</v>
      </c>
      <c r="I10" s="50">
        <v>6</v>
      </c>
      <c r="J10" s="50">
        <v>0</v>
      </c>
      <c r="K10" s="50">
        <v>0</v>
      </c>
      <c r="L10" s="50">
        <v>2</v>
      </c>
      <c r="M10" s="50">
        <v>35</v>
      </c>
      <c r="N10" s="50">
        <v>0</v>
      </c>
      <c r="O10" s="15">
        <f t="shared" ref="O10:O57" si="0">SUM(C10:L10,N10)</f>
        <v>57</v>
      </c>
      <c r="P10" s="15">
        <f t="shared" ref="P10:P57" si="1">SUM(C10:N10)</f>
        <v>92</v>
      </c>
      <c r="R10" s="1" t="s">
        <v>6</v>
      </c>
      <c r="S10" s="17">
        <f t="shared" ref="S10:AF10" si="2">SUM(C10:C13)</f>
        <v>65</v>
      </c>
      <c r="T10" s="17">
        <f t="shared" si="2"/>
        <v>26</v>
      </c>
      <c r="U10" s="17">
        <f t="shared" si="2"/>
        <v>10</v>
      </c>
      <c r="V10" s="17">
        <f t="shared" si="2"/>
        <v>17</v>
      </c>
      <c r="W10" s="17">
        <f t="shared" si="2"/>
        <v>0</v>
      </c>
      <c r="X10" s="17">
        <f t="shared" si="2"/>
        <v>0</v>
      </c>
      <c r="Y10" s="17">
        <f t="shared" si="2"/>
        <v>18</v>
      </c>
      <c r="Z10" s="17">
        <f t="shared" si="2"/>
        <v>2</v>
      </c>
      <c r="AA10" s="17">
        <f t="shared" si="2"/>
        <v>0</v>
      </c>
      <c r="AB10" s="17">
        <f t="shared" si="2"/>
        <v>2</v>
      </c>
      <c r="AC10" s="17">
        <f t="shared" si="2"/>
        <v>185</v>
      </c>
      <c r="AD10" s="17">
        <f t="shared" si="2"/>
        <v>0</v>
      </c>
      <c r="AE10" s="31">
        <f t="shared" si="2"/>
        <v>140</v>
      </c>
      <c r="AF10" s="31">
        <f t="shared" si="2"/>
        <v>325</v>
      </c>
    </row>
    <row r="11" spans="2:32" s="6" customFormat="1" ht="23.1" customHeight="1" x14ac:dyDescent="0.25">
      <c r="B11" s="23" t="s">
        <v>38</v>
      </c>
      <c r="C11" s="50">
        <v>16</v>
      </c>
      <c r="D11" s="50">
        <v>8</v>
      </c>
      <c r="E11" s="50">
        <v>2</v>
      </c>
      <c r="F11" s="50">
        <v>3</v>
      </c>
      <c r="G11" s="50">
        <v>0</v>
      </c>
      <c r="H11" s="50">
        <v>0</v>
      </c>
      <c r="I11" s="50">
        <v>9</v>
      </c>
      <c r="J11" s="50">
        <v>1</v>
      </c>
      <c r="K11" s="50">
        <v>0</v>
      </c>
      <c r="L11" s="50">
        <v>0</v>
      </c>
      <c r="M11" s="50">
        <v>58</v>
      </c>
      <c r="N11" s="50">
        <v>0</v>
      </c>
      <c r="O11" s="15">
        <f t="shared" si="0"/>
        <v>39</v>
      </c>
      <c r="P11" s="15">
        <f t="shared" si="1"/>
        <v>97</v>
      </c>
      <c r="R11" s="1" t="s">
        <v>7</v>
      </c>
      <c r="S11" s="17">
        <f t="shared" ref="S11:AF11" si="3">SUM(C14:C17)</f>
        <v>41</v>
      </c>
      <c r="T11" s="17">
        <f t="shared" si="3"/>
        <v>22</v>
      </c>
      <c r="U11" s="17">
        <f t="shared" si="3"/>
        <v>7</v>
      </c>
      <c r="V11" s="17">
        <f t="shared" si="3"/>
        <v>15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3</v>
      </c>
      <c r="AA11" s="17">
        <f t="shared" si="3"/>
        <v>2</v>
      </c>
      <c r="AB11" s="17">
        <f t="shared" si="3"/>
        <v>0</v>
      </c>
      <c r="AC11" s="17">
        <f t="shared" si="3"/>
        <v>223</v>
      </c>
      <c r="AD11" s="17">
        <f t="shared" si="3"/>
        <v>0</v>
      </c>
      <c r="AE11" s="31">
        <f t="shared" si="3"/>
        <v>97</v>
      </c>
      <c r="AF11" s="31">
        <f t="shared" si="3"/>
        <v>320</v>
      </c>
    </row>
    <row r="12" spans="2:32" ht="23.1" customHeight="1" x14ac:dyDescent="0.25">
      <c r="B12" s="23" t="s">
        <v>39</v>
      </c>
      <c r="C12" s="50">
        <v>6</v>
      </c>
      <c r="D12" s="50">
        <v>1</v>
      </c>
      <c r="E12" s="50">
        <v>0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34</v>
      </c>
      <c r="N12" s="50">
        <v>0</v>
      </c>
      <c r="O12" s="15">
        <f t="shared" si="0"/>
        <v>11</v>
      </c>
      <c r="P12" s="15">
        <f t="shared" si="1"/>
        <v>45</v>
      </c>
      <c r="R12" s="1" t="s">
        <v>8</v>
      </c>
      <c r="S12" s="17">
        <f t="shared" ref="S12:AF12" si="4">SUM(C18:C21)</f>
        <v>29</v>
      </c>
      <c r="T12" s="17">
        <f t="shared" si="4"/>
        <v>12</v>
      </c>
      <c r="U12" s="17">
        <f t="shared" si="4"/>
        <v>12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6</v>
      </c>
      <c r="AA12" s="17">
        <f t="shared" si="4"/>
        <v>1</v>
      </c>
      <c r="AB12" s="17">
        <f t="shared" si="4"/>
        <v>0</v>
      </c>
      <c r="AC12" s="17">
        <f t="shared" si="4"/>
        <v>215</v>
      </c>
      <c r="AD12" s="17">
        <f t="shared" si="4"/>
        <v>0</v>
      </c>
      <c r="AE12" s="31">
        <f t="shared" si="4"/>
        <v>75</v>
      </c>
      <c r="AF12" s="31">
        <f t="shared" si="4"/>
        <v>290</v>
      </c>
    </row>
    <row r="13" spans="2:32" ht="23.1" customHeight="1" x14ac:dyDescent="0.25">
      <c r="B13" s="23" t="s">
        <v>40</v>
      </c>
      <c r="C13" s="50">
        <v>12</v>
      </c>
      <c r="D13" s="50">
        <v>13</v>
      </c>
      <c r="E13" s="50">
        <v>2</v>
      </c>
      <c r="F13" s="50">
        <v>3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58</v>
      </c>
      <c r="N13" s="50">
        <v>0</v>
      </c>
      <c r="O13" s="15">
        <f t="shared" si="0"/>
        <v>33</v>
      </c>
      <c r="P13" s="15">
        <f t="shared" si="1"/>
        <v>91</v>
      </c>
      <c r="R13" s="1" t="s">
        <v>9</v>
      </c>
      <c r="S13" s="17">
        <f t="shared" ref="S13:AF13" si="5">SUM(C22:C25)</f>
        <v>22</v>
      </c>
      <c r="T13" s="17">
        <f t="shared" si="5"/>
        <v>11</v>
      </c>
      <c r="U13" s="17">
        <f t="shared" si="5"/>
        <v>8</v>
      </c>
      <c r="V13" s="17">
        <f t="shared" si="5"/>
        <v>8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8</v>
      </c>
      <c r="AA13" s="17">
        <f t="shared" si="5"/>
        <v>0</v>
      </c>
      <c r="AB13" s="17">
        <f t="shared" si="5"/>
        <v>0</v>
      </c>
      <c r="AC13" s="17">
        <f t="shared" si="5"/>
        <v>157</v>
      </c>
      <c r="AD13" s="17">
        <f t="shared" si="5"/>
        <v>0</v>
      </c>
      <c r="AE13" s="31">
        <f t="shared" si="5"/>
        <v>67</v>
      </c>
      <c r="AF13" s="31">
        <f t="shared" si="5"/>
        <v>224</v>
      </c>
    </row>
    <row r="14" spans="2:32" ht="23.1" customHeight="1" x14ac:dyDescent="0.25">
      <c r="B14" s="23" t="s">
        <v>41</v>
      </c>
      <c r="C14" s="50">
        <v>9</v>
      </c>
      <c r="D14" s="50">
        <v>4</v>
      </c>
      <c r="E14" s="50">
        <v>2</v>
      </c>
      <c r="F14" s="50">
        <v>3</v>
      </c>
      <c r="G14" s="50">
        <v>0</v>
      </c>
      <c r="H14" s="50">
        <v>0</v>
      </c>
      <c r="I14" s="50">
        <v>2</v>
      </c>
      <c r="J14" s="50">
        <v>0</v>
      </c>
      <c r="K14" s="50">
        <v>1</v>
      </c>
      <c r="L14" s="50">
        <v>0</v>
      </c>
      <c r="M14" s="50">
        <v>51</v>
      </c>
      <c r="N14" s="50">
        <v>0</v>
      </c>
      <c r="O14" s="15">
        <f t="shared" si="0"/>
        <v>21</v>
      </c>
      <c r="P14" s="15">
        <f t="shared" si="1"/>
        <v>72</v>
      </c>
      <c r="R14" s="1" t="s">
        <v>10</v>
      </c>
      <c r="S14" s="17">
        <f t="shared" ref="S14:AF14" si="6">SUM(C26:C29)</f>
        <v>23</v>
      </c>
      <c r="T14" s="17">
        <f t="shared" si="6"/>
        <v>16</v>
      </c>
      <c r="U14" s="17">
        <f t="shared" si="6"/>
        <v>10</v>
      </c>
      <c r="V14" s="17">
        <f t="shared" si="6"/>
        <v>8</v>
      </c>
      <c r="W14" s="17">
        <f t="shared" si="6"/>
        <v>1</v>
      </c>
      <c r="X14" s="17">
        <f t="shared" si="6"/>
        <v>0</v>
      </c>
      <c r="Y14" s="17">
        <f t="shared" si="6"/>
        <v>12</v>
      </c>
      <c r="Z14" s="17">
        <f t="shared" si="6"/>
        <v>1</v>
      </c>
      <c r="AA14" s="17">
        <f t="shared" si="6"/>
        <v>1</v>
      </c>
      <c r="AB14" s="17">
        <f t="shared" si="6"/>
        <v>1</v>
      </c>
      <c r="AC14" s="17">
        <f t="shared" si="6"/>
        <v>162</v>
      </c>
      <c r="AD14" s="17">
        <f t="shared" si="6"/>
        <v>0</v>
      </c>
      <c r="AE14" s="31">
        <f t="shared" si="6"/>
        <v>73</v>
      </c>
      <c r="AF14" s="31">
        <f t="shared" si="6"/>
        <v>235</v>
      </c>
    </row>
    <row r="15" spans="2:32" ht="23.1" customHeight="1" x14ac:dyDescent="0.25">
      <c r="B15" s="23" t="s">
        <v>42</v>
      </c>
      <c r="C15" s="50">
        <v>8</v>
      </c>
      <c r="D15" s="50">
        <v>5</v>
      </c>
      <c r="E15" s="50">
        <v>1</v>
      </c>
      <c r="F15" s="50">
        <v>3</v>
      </c>
      <c r="G15" s="50">
        <v>0</v>
      </c>
      <c r="H15" s="50">
        <v>0</v>
      </c>
      <c r="I15" s="50">
        <v>1</v>
      </c>
      <c r="J15" s="50">
        <v>2</v>
      </c>
      <c r="K15" s="50">
        <v>1</v>
      </c>
      <c r="L15" s="50">
        <v>0</v>
      </c>
      <c r="M15" s="50">
        <v>49</v>
      </c>
      <c r="N15" s="50">
        <v>0</v>
      </c>
      <c r="O15" s="15">
        <f t="shared" si="0"/>
        <v>21</v>
      </c>
      <c r="P15" s="15">
        <f t="shared" si="1"/>
        <v>70</v>
      </c>
      <c r="R15" s="1" t="s">
        <v>11</v>
      </c>
      <c r="S15" s="17">
        <f t="shared" ref="S15:AF15" si="7">SUM(C30:C33)</f>
        <v>35</v>
      </c>
      <c r="T15" s="17">
        <f t="shared" si="7"/>
        <v>11</v>
      </c>
      <c r="U15" s="17">
        <f t="shared" si="7"/>
        <v>11</v>
      </c>
      <c r="V15" s="17">
        <f t="shared" si="7"/>
        <v>11</v>
      </c>
      <c r="W15" s="17">
        <f t="shared" si="7"/>
        <v>1</v>
      </c>
      <c r="X15" s="17">
        <f t="shared" si="7"/>
        <v>0</v>
      </c>
      <c r="Y15" s="17">
        <f t="shared" si="7"/>
        <v>12</v>
      </c>
      <c r="Z15" s="17">
        <f t="shared" si="7"/>
        <v>7</v>
      </c>
      <c r="AA15" s="17">
        <f t="shared" si="7"/>
        <v>0</v>
      </c>
      <c r="AB15" s="17">
        <f t="shared" si="7"/>
        <v>0</v>
      </c>
      <c r="AC15" s="17">
        <f t="shared" si="7"/>
        <v>169</v>
      </c>
      <c r="AD15" s="17">
        <f t="shared" si="7"/>
        <v>0</v>
      </c>
      <c r="AE15" s="31">
        <f t="shared" si="7"/>
        <v>88</v>
      </c>
      <c r="AF15" s="31">
        <f t="shared" si="7"/>
        <v>257</v>
      </c>
    </row>
    <row r="16" spans="2:32" ht="23.1" customHeight="1" x14ac:dyDescent="0.25">
      <c r="B16" s="23" t="s">
        <v>43</v>
      </c>
      <c r="C16" s="50">
        <v>9</v>
      </c>
      <c r="D16" s="50">
        <v>6</v>
      </c>
      <c r="E16" s="50">
        <v>2</v>
      </c>
      <c r="F16" s="50">
        <v>4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56</v>
      </c>
      <c r="N16" s="50">
        <v>0</v>
      </c>
      <c r="O16" s="15">
        <f t="shared" si="0"/>
        <v>25</v>
      </c>
      <c r="P16" s="15">
        <f t="shared" si="1"/>
        <v>81</v>
      </c>
      <c r="R16" s="1" t="s">
        <v>12</v>
      </c>
      <c r="S16" s="17">
        <f t="shared" ref="S16:AF16" si="8">SUM(C34:C37)</f>
        <v>38</v>
      </c>
      <c r="T16" s="17">
        <f t="shared" si="8"/>
        <v>17</v>
      </c>
      <c r="U16" s="17">
        <f t="shared" si="8"/>
        <v>13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16</v>
      </c>
      <c r="Z16" s="17">
        <f t="shared" si="8"/>
        <v>4</v>
      </c>
      <c r="AA16" s="17">
        <f t="shared" si="8"/>
        <v>2</v>
      </c>
      <c r="AB16" s="17">
        <f t="shared" si="8"/>
        <v>0</v>
      </c>
      <c r="AC16" s="17">
        <f t="shared" si="8"/>
        <v>128</v>
      </c>
      <c r="AD16" s="17">
        <f t="shared" si="8"/>
        <v>0</v>
      </c>
      <c r="AE16" s="31">
        <f t="shared" si="8"/>
        <v>101</v>
      </c>
      <c r="AF16" s="31">
        <f t="shared" si="8"/>
        <v>229</v>
      </c>
    </row>
    <row r="17" spans="2:32" ht="23.1" customHeight="1" x14ac:dyDescent="0.25">
      <c r="B17" s="23" t="s">
        <v>44</v>
      </c>
      <c r="C17" s="50">
        <v>15</v>
      </c>
      <c r="D17" s="50">
        <v>7</v>
      </c>
      <c r="E17" s="50">
        <v>2</v>
      </c>
      <c r="F17" s="50">
        <v>5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67</v>
      </c>
      <c r="N17" s="50">
        <v>0</v>
      </c>
      <c r="O17" s="15">
        <f t="shared" si="0"/>
        <v>30</v>
      </c>
      <c r="P17" s="15">
        <f t="shared" si="1"/>
        <v>97</v>
      </c>
      <c r="R17" s="1" t="s">
        <v>13</v>
      </c>
      <c r="S17" s="17">
        <f t="shared" ref="S17:AF17" si="9">SUM(C38:C41)</f>
        <v>30</v>
      </c>
      <c r="T17" s="17">
        <f t="shared" si="9"/>
        <v>18</v>
      </c>
      <c r="U17" s="17">
        <f t="shared" si="9"/>
        <v>7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3</v>
      </c>
      <c r="AA17" s="17">
        <f t="shared" si="9"/>
        <v>1</v>
      </c>
      <c r="AB17" s="17">
        <f t="shared" si="9"/>
        <v>1</v>
      </c>
      <c r="AC17" s="17">
        <f t="shared" si="9"/>
        <v>121</v>
      </c>
      <c r="AD17" s="17">
        <f t="shared" si="9"/>
        <v>0</v>
      </c>
      <c r="AE17" s="31">
        <f t="shared" si="9"/>
        <v>72</v>
      </c>
      <c r="AF17" s="31">
        <f t="shared" si="9"/>
        <v>193</v>
      </c>
    </row>
    <row r="18" spans="2:32" ht="23.1" customHeight="1" x14ac:dyDescent="0.25">
      <c r="B18" s="23" t="s">
        <v>45</v>
      </c>
      <c r="C18" s="50">
        <v>7</v>
      </c>
      <c r="D18" s="50">
        <v>0</v>
      </c>
      <c r="E18" s="50">
        <v>2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1</v>
      </c>
      <c r="L18" s="50">
        <v>0</v>
      </c>
      <c r="M18" s="50">
        <v>50</v>
      </c>
      <c r="N18" s="50">
        <v>0</v>
      </c>
      <c r="O18" s="15">
        <f t="shared" si="0"/>
        <v>14</v>
      </c>
      <c r="P18" s="15">
        <f t="shared" si="1"/>
        <v>64</v>
      </c>
      <c r="R18" s="1" t="s">
        <v>14</v>
      </c>
      <c r="S18" s="17">
        <f t="shared" ref="S18:AF18" si="10">SUM(C42:C45)</f>
        <v>20</v>
      </c>
      <c r="T18" s="17">
        <f t="shared" si="10"/>
        <v>17</v>
      </c>
      <c r="U18" s="17">
        <f t="shared" si="10"/>
        <v>10</v>
      </c>
      <c r="V18" s="17">
        <f t="shared" si="10"/>
        <v>11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148</v>
      </c>
      <c r="AD18" s="17">
        <f t="shared" si="10"/>
        <v>0</v>
      </c>
      <c r="AE18" s="31">
        <f t="shared" si="10"/>
        <v>72</v>
      </c>
      <c r="AF18" s="31">
        <f t="shared" si="10"/>
        <v>220</v>
      </c>
    </row>
    <row r="19" spans="2:32" ht="23.1" customHeight="1" x14ac:dyDescent="0.25">
      <c r="B19" s="23" t="s">
        <v>46</v>
      </c>
      <c r="C19" s="50">
        <v>14</v>
      </c>
      <c r="D19" s="50">
        <v>5</v>
      </c>
      <c r="E19" s="50">
        <v>3</v>
      </c>
      <c r="F19" s="50">
        <v>2</v>
      </c>
      <c r="G19" s="50">
        <v>0</v>
      </c>
      <c r="H19" s="50">
        <v>0</v>
      </c>
      <c r="I19" s="50">
        <v>4</v>
      </c>
      <c r="J19" s="50">
        <v>1</v>
      </c>
      <c r="K19" s="50">
        <v>0</v>
      </c>
      <c r="L19" s="50">
        <v>0</v>
      </c>
      <c r="M19" s="50">
        <v>53</v>
      </c>
      <c r="N19" s="50">
        <v>0</v>
      </c>
      <c r="O19" s="15">
        <f t="shared" si="0"/>
        <v>29</v>
      </c>
      <c r="P19" s="15">
        <f t="shared" si="1"/>
        <v>82</v>
      </c>
      <c r="R19" s="1" t="s">
        <v>15</v>
      </c>
      <c r="S19" s="17">
        <f t="shared" ref="S19:AF19" si="11">SUM(C46:C49)</f>
        <v>40</v>
      </c>
      <c r="T19" s="17">
        <f t="shared" si="11"/>
        <v>27</v>
      </c>
      <c r="U19" s="17">
        <f t="shared" si="11"/>
        <v>11</v>
      </c>
      <c r="V19" s="17">
        <f t="shared" si="11"/>
        <v>10</v>
      </c>
      <c r="W19" s="17">
        <f t="shared" si="11"/>
        <v>1</v>
      </c>
      <c r="X19" s="17">
        <f t="shared" si="11"/>
        <v>0</v>
      </c>
      <c r="Y19" s="17">
        <f t="shared" si="11"/>
        <v>11</v>
      </c>
      <c r="Z19" s="17">
        <f t="shared" si="11"/>
        <v>7</v>
      </c>
      <c r="AA19" s="17">
        <f t="shared" si="11"/>
        <v>0</v>
      </c>
      <c r="AB19" s="17">
        <f t="shared" si="11"/>
        <v>1</v>
      </c>
      <c r="AC19" s="17">
        <f t="shared" si="11"/>
        <v>153</v>
      </c>
      <c r="AD19" s="17">
        <f t="shared" si="11"/>
        <v>0</v>
      </c>
      <c r="AE19" s="31">
        <f t="shared" si="11"/>
        <v>108</v>
      </c>
      <c r="AF19" s="31">
        <f t="shared" si="11"/>
        <v>261</v>
      </c>
    </row>
    <row r="20" spans="2:32" ht="23.1" customHeight="1" x14ac:dyDescent="0.25">
      <c r="B20" s="23" t="s">
        <v>47</v>
      </c>
      <c r="C20" s="50">
        <v>6</v>
      </c>
      <c r="D20" s="50">
        <v>4</v>
      </c>
      <c r="E20" s="50">
        <v>4</v>
      </c>
      <c r="F20" s="50">
        <v>1</v>
      </c>
      <c r="G20" s="50">
        <v>0</v>
      </c>
      <c r="H20" s="50">
        <v>0</v>
      </c>
      <c r="I20" s="50">
        <v>1</v>
      </c>
      <c r="J20" s="50">
        <v>3</v>
      </c>
      <c r="K20" s="50">
        <v>0</v>
      </c>
      <c r="L20" s="50">
        <v>0</v>
      </c>
      <c r="M20" s="50">
        <v>41</v>
      </c>
      <c r="N20" s="50">
        <v>0</v>
      </c>
      <c r="O20" s="15">
        <f t="shared" si="0"/>
        <v>19</v>
      </c>
      <c r="P20" s="15">
        <f t="shared" si="1"/>
        <v>60</v>
      </c>
      <c r="R20" s="1" t="s">
        <v>16</v>
      </c>
      <c r="S20" s="17">
        <f t="shared" ref="S20:AF20" si="12">SUM(C50:C53)</f>
        <v>45</v>
      </c>
      <c r="T20" s="17">
        <f t="shared" si="12"/>
        <v>28</v>
      </c>
      <c r="U20" s="17">
        <f t="shared" si="12"/>
        <v>10</v>
      </c>
      <c r="V20" s="17">
        <f t="shared" si="12"/>
        <v>18</v>
      </c>
      <c r="W20" s="17">
        <f t="shared" si="12"/>
        <v>1</v>
      </c>
      <c r="X20" s="17">
        <f t="shared" si="12"/>
        <v>3</v>
      </c>
      <c r="Y20" s="17">
        <f t="shared" si="12"/>
        <v>6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144</v>
      </c>
      <c r="AD20" s="17">
        <f t="shared" si="12"/>
        <v>0</v>
      </c>
      <c r="AE20" s="31">
        <f t="shared" si="12"/>
        <v>115</v>
      </c>
      <c r="AF20" s="31">
        <f t="shared" si="12"/>
        <v>259</v>
      </c>
    </row>
    <row r="21" spans="2:32" ht="23.1" customHeight="1" x14ac:dyDescent="0.25">
      <c r="B21" s="23" t="s">
        <v>48</v>
      </c>
      <c r="C21" s="50">
        <v>2</v>
      </c>
      <c r="D21" s="50">
        <v>3</v>
      </c>
      <c r="E21" s="50">
        <v>3</v>
      </c>
      <c r="F21" s="50">
        <v>3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71</v>
      </c>
      <c r="N21" s="50">
        <v>0</v>
      </c>
      <c r="O21" s="15">
        <f t="shared" si="0"/>
        <v>13</v>
      </c>
      <c r="P21" s="15">
        <f t="shared" si="1"/>
        <v>84</v>
      </c>
      <c r="R21" s="36" t="s">
        <v>20</v>
      </c>
      <c r="S21" s="34">
        <f t="shared" ref="S21:AF21" si="13">SUM(C54:C57)</f>
        <v>79</v>
      </c>
      <c r="T21" s="17">
        <f t="shared" si="13"/>
        <v>23</v>
      </c>
      <c r="U21" s="17">
        <f t="shared" si="13"/>
        <v>18</v>
      </c>
      <c r="V21" s="17">
        <f t="shared" si="13"/>
        <v>19</v>
      </c>
      <c r="W21" s="17">
        <f t="shared" si="13"/>
        <v>0</v>
      </c>
      <c r="X21" s="17">
        <f t="shared" si="13"/>
        <v>0</v>
      </c>
      <c r="Y21" s="17">
        <f t="shared" si="13"/>
        <v>14</v>
      </c>
      <c r="Z21" s="17">
        <f t="shared" si="13"/>
        <v>4</v>
      </c>
      <c r="AA21" s="17">
        <f t="shared" si="13"/>
        <v>0</v>
      </c>
      <c r="AB21" s="17">
        <f t="shared" si="13"/>
        <v>2</v>
      </c>
      <c r="AC21" s="17">
        <f t="shared" si="13"/>
        <v>165</v>
      </c>
      <c r="AD21" s="17">
        <f t="shared" si="13"/>
        <v>0</v>
      </c>
      <c r="AE21" s="31">
        <f t="shared" si="13"/>
        <v>159</v>
      </c>
      <c r="AF21" s="31">
        <f t="shared" si="13"/>
        <v>324</v>
      </c>
    </row>
    <row r="22" spans="2:32" ht="23.1" customHeight="1" x14ac:dyDescent="0.25">
      <c r="B22" s="23" t="s">
        <v>49</v>
      </c>
      <c r="C22" s="50">
        <v>8</v>
      </c>
      <c r="D22" s="50">
        <v>3</v>
      </c>
      <c r="E22" s="50">
        <v>3</v>
      </c>
      <c r="F22" s="50">
        <v>2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42</v>
      </c>
      <c r="N22" s="50">
        <v>0</v>
      </c>
      <c r="O22" s="15">
        <f t="shared" si="0"/>
        <v>19</v>
      </c>
      <c r="P22" s="15">
        <f t="shared" si="1"/>
        <v>61</v>
      </c>
      <c r="R22" s="38" t="s">
        <v>90</v>
      </c>
      <c r="S22" s="39">
        <f>MAX(S10:S12)</f>
        <v>65</v>
      </c>
      <c r="T22" s="39">
        <f t="shared" ref="T22:AF22" si="14">MAX(T10:T12)</f>
        <v>26</v>
      </c>
      <c r="U22" s="39">
        <f t="shared" si="14"/>
        <v>12</v>
      </c>
      <c r="V22" s="39">
        <f t="shared" si="14"/>
        <v>17</v>
      </c>
      <c r="W22" s="39">
        <f t="shared" si="14"/>
        <v>0</v>
      </c>
      <c r="X22" s="39">
        <f t="shared" si="14"/>
        <v>0</v>
      </c>
      <c r="Y22" s="39">
        <f t="shared" si="14"/>
        <v>18</v>
      </c>
      <c r="Z22" s="39">
        <f t="shared" si="14"/>
        <v>6</v>
      </c>
      <c r="AA22" s="39">
        <f t="shared" si="14"/>
        <v>2</v>
      </c>
      <c r="AB22" s="39">
        <f t="shared" si="14"/>
        <v>2</v>
      </c>
      <c r="AC22" s="39">
        <f t="shared" si="14"/>
        <v>223</v>
      </c>
      <c r="AD22" s="39">
        <f t="shared" si="14"/>
        <v>0</v>
      </c>
      <c r="AE22" s="40">
        <f t="shared" si="14"/>
        <v>140</v>
      </c>
      <c r="AF22" s="40">
        <f t="shared" si="14"/>
        <v>325</v>
      </c>
    </row>
    <row r="23" spans="2:32" ht="23.1" customHeight="1" x14ac:dyDescent="0.25">
      <c r="B23" s="23" t="s">
        <v>50</v>
      </c>
      <c r="C23" s="50">
        <v>7</v>
      </c>
      <c r="D23" s="50">
        <v>3</v>
      </c>
      <c r="E23" s="50">
        <v>1</v>
      </c>
      <c r="F23" s="50">
        <v>2</v>
      </c>
      <c r="G23" s="50">
        <v>1</v>
      </c>
      <c r="H23" s="50">
        <v>0</v>
      </c>
      <c r="I23" s="50">
        <v>3</v>
      </c>
      <c r="J23" s="50">
        <v>4</v>
      </c>
      <c r="K23" s="50">
        <v>0</v>
      </c>
      <c r="L23" s="50">
        <v>0</v>
      </c>
      <c r="M23" s="50">
        <v>37</v>
      </c>
      <c r="N23" s="50">
        <v>0</v>
      </c>
      <c r="O23" s="15">
        <f t="shared" si="0"/>
        <v>21</v>
      </c>
      <c r="P23" s="15">
        <f t="shared" si="1"/>
        <v>58</v>
      </c>
      <c r="R23" s="38" t="s">
        <v>91</v>
      </c>
      <c r="S23" s="39">
        <f>MAX(S13:S18)</f>
        <v>38</v>
      </c>
      <c r="T23" s="39">
        <f t="shared" ref="T23:AF23" si="15">MAX(T13:T18)</f>
        <v>18</v>
      </c>
      <c r="U23" s="39">
        <f t="shared" si="15"/>
        <v>13</v>
      </c>
      <c r="V23" s="39">
        <f t="shared" si="15"/>
        <v>11</v>
      </c>
      <c r="W23" s="39">
        <f t="shared" si="15"/>
        <v>1</v>
      </c>
      <c r="X23" s="39">
        <f t="shared" si="15"/>
        <v>0</v>
      </c>
      <c r="Y23" s="39">
        <f t="shared" si="15"/>
        <v>16</v>
      </c>
      <c r="Z23" s="39">
        <f t="shared" si="15"/>
        <v>8</v>
      </c>
      <c r="AA23" s="39">
        <f t="shared" si="15"/>
        <v>2</v>
      </c>
      <c r="AB23" s="39">
        <f t="shared" si="15"/>
        <v>1</v>
      </c>
      <c r="AC23" s="39">
        <f t="shared" si="15"/>
        <v>169</v>
      </c>
      <c r="AD23" s="39">
        <f t="shared" si="15"/>
        <v>0</v>
      </c>
      <c r="AE23" s="40">
        <f t="shared" si="15"/>
        <v>101</v>
      </c>
      <c r="AF23" s="40">
        <f t="shared" si="15"/>
        <v>257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2</v>
      </c>
      <c r="F24" s="50">
        <v>2</v>
      </c>
      <c r="G24" s="50">
        <v>0</v>
      </c>
      <c r="H24" s="50">
        <v>0</v>
      </c>
      <c r="I24" s="50">
        <v>3</v>
      </c>
      <c r="J24" s="50">
        <v>2</v>
      </c>
      <c r="K24" s="50">
        <v>0</v>
      </c>
      <c r="L24" s="50">
        <v>0</v>
      </c>
      <c r="M24" s="50">
        <v>43</v>
      </c>
      <c r="N24" s="50">
        <v>0</v>
      </c>
      <c r="O24" s="15">
        <f t="shared" si="0"/>
        <v>12</v>
      </c>
      <c r="P24" s="15">
        <f t="shared" si="1"/>
        <v>55</v>
      </c>
      <c r="R24" s="38" t="s">
        <v>92</v>
      </c>
      <c r="S24" s="39">
        <f>MAX(S19:S21)</f>
        <v>79</v>
      </c>
      <c r="T24" s="39">
        <f t="shared" ref="T24:AF24" si="16">MAX(T19:T21)</f>
        <v>28</v>
      </c>
      <c r="U24" s="39">
        <f t="shared" si="16"/>
        <v>18</v>
      </c>
      <c r="V24" s="39">
        <f t="shared" si="16"/>
        <v>19</v>
      </c>
      <c r="W24" s="39">
        <f t="shared" si="16"/>
        <v>1</v>
      </c>
      <c r="X24" s="39">
        <f t="shared" si="16"/>
        <v>3</v>
      </c>
      <c r="Y24" s="39">
        <f t="shared" si="16"/>
        <v>14</v>
      </c>
      <c r="Z24" s="39">
        <f t="shared" si="16"/>
        <v>7</v>
      </c>
      <c r="AA24" s="39">
        <f t="shared" si="16"/>
        <v>0</v>
      </c>
      <c r="AB24" s="39">
        <f t="shared" si="16"/>
        <v>2</v>
      </c>
      <c r="AC24" s="39">
        <f t="shared" si="16"/>
        <v>165</v>
      </c>
      <c r="AD24" s="39">
        <f t="shared" si="16"/>
        <v>0</v>
      </c>
      <c r="AE24" s="40">
        <f t="shared" si="16"/>
        <v>159</v>
      </c>
      <c r="AF24" s="40">
        <f t="shared" si="16"/>
        <v>324</v>
      </c>
    </row>
    <row r="25" spans="2:32" ht="23.1" customHeight="1" x14ac:dyDescent="0.25">
      <c r="B25" s="23" t="s">
        <v>52</v>
      </c>
      <c r="C25" s="50">
        <v>5</v>
      </c>
      <c r="D25" s="50">
        <v>4</v>
      </c>
      <c r="E25" s="50">
        <v>2</v>
      </c>
      <c r="F25" s="50">
        <v>2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35</v>
      </c>
      <c r="N25" s="50">
        <v>0</v>
      </c>
      <c r="O25" s="15">
        <f t="shared" si="0"/>
        <v>15</v>
      </c>
      <c r="P25" s="15">
        <f t="shared" si="1"/>
        <v>50</v>
      </c>
      <c r="R25" s="37" t="s">
        <v>85</v>
      </c>
      <c r="S25" s="35">
        <f t="shared" ref="S25:AF25" si="17">SUM(S10:S12)</f>
        <v>135</v>
      </c>
      <c r="T25" s="16">
        <f t="shared" si="17"/>
        <v>60</v>
      </c>
      <c r="U25" s="16">
        <f t="shared" si="17"/>
        <v>29</v>
      </c>
      <c r="V25" s="16">
        <f t="shared" si="17"/>
        <v>41</v>
      </c>
      <c r="W25" s="16">
        <f t="shared" si="17"/>
        <v>0</v>
      </c>
      <c r="X25" s="16">
        <f t="shared" si="17"/>
        <v>0</v>
      </c>
      <c r="Y25" s="16">
        <f t="shared" si="17"/>
        <v>31</v>
      </c>
      <c r="Z25" s="16">
        <f t="shared" si="17"/>
        <v>11</v>
      </c>
      <c r="AA25" s="16">
        <f t="shared" si="17"/>
        <v>3</v>
      </c>
      <c r="AB25" s="16">
        <f t="shared" si="17"/>
        <v>2</v>
      </c>
      <c r="AC25" s="16">
        <f t="shared" si="17"/>
        <v>623</v>
      </c>
      <c r="AD25" s="16">
        <f t="shared" si="17"/>
        <v>0</v>
      </c>
      <c r="AE25" s="32">
        <f t="shared" si="17"/>
        <v>312</v>
      </c>
      <c r="AF25" s="32">
        <f t="shared" si="17"/>
        <v>935</v>
      </c>
    </row>
    <row r="26" spans="2:32" ht="23.1" customHeight="1" x14ac:dyDescent="0.25">
      <c r="B26" s="23" t="s">
        <v>53</v>
      </c>
      <c r="C26" s="50">
        <v>5</v>
      </c>
      <c r="D26" s="50">
        <v>4</v>
      </c>
      <c r="E26" s="50">
        <v>1</v>
      </c>
      <c r="F26" s="50">
        <v>4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41</v>
      </c>
      <c r="N26" s="50">
        <v>0</v>
      </c>
      <c r="O26" s="15">
        <f t="shared" si="0"/>
        <v>18</v>
      </c>
      <c r="P26" s="15">
        <f t="shared" si="1"/>
        <v>59</v>
      </c>
      <c r="R26" s="28" t="s">
        <v>86</v>
      </c>
      <c r="S26" s="16">
        <f t="shared" ref="S26:AF26" si="18">SUM(S13:S18)</f>
        <v>168</v>
      </c>
      <c r="T26" s="16">
        <f t="shared" si="18"/>
        <v>90</v>
      </c>
      <c r="U26" s="16">
        <f t="shared" si="18"/>
        <v>59</v>
      </c>
      <c r="V26" s="16">
        <f t="shared" si="18"/>
        <v>55</v>
      </c>
      <c r="W26" s="16">
        <f t="shared" si="18"/>
        <v>3</v>
      </c>
      <c r="X26" s="16">
        <f t="shared" si="18"/>
        <v>0</v>
      </c>
      <c r="Y26" s="16">
        <f t="shared" si="18"/>
        <v>65</v>
      </c>
      <c r="Z26" s="16">
        <f t="shared" si="18"/>
        <v>27</v>
      </c>
      <c r="AA26" s="16">
        <f t="shared" si="18"/>
        <v>4</v>
      </c>
      <c r="AB26" s="16">
        <f t="shared" si="18"/>
        <v>2</v>
      </c>
      <c r="AC26" s="16">
        <f t="shared" si="18"/>
        <v>885</v>
      </c>
      <c r="AD26" s="16">
        <f t="shared" si="18"/>
        <v>0</v>
      </c>
      <c r="AE26" s="32">
        <f t="shared" si="18"/>
        <v>473</v>
      </c>
      <c r="AF26" s="32">
        <f t="shared" si="18"/>
        <v>1358</v>
      </c>
    </row>
    <row r="27" spans="2:32" ht="23.1" customHeight="1" x14ac:dyDescent="0.25">
      <c r="B27" s="23" t="s">
        <v>54</v>
      </c>
      <c r="C27" s="50">
        <v>6</v>
      </c>
      <c r="D27" s="50">
        <v>4</v>
      </c>
      <c r="E27" s="50">
        <v>1</v>
      </c>
      <c r="F27" s="50">
        <v>1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38</v>
      </c>
      <c r="N27" s="50">
        <v>0</v>
      </c>
      <c r="O27" s="15">
        <f t="shared" si="0"/>
        <v>14</v>
      </c>
      <c r="P27" s="15">
        <f t="shared" si="1"/>
        <v>52</v>
      </c>
      <c r="R27" s="29" t="s">
        <v>87</v>
      </c>
      <c r="S27" s="16">
        <f t="shared" ref="S27:AF27" si="19">SUM(S19:S21)</f>
        <v>164</v>
      </c>
      <c r="T27" s="16">
        <f t="shared" si="19"/>
        <v>78</v>
      </c>
      <c r="U27" s="16">
        <f t="shared" si="19"/>
        <v>39</v>
      </c>
      <c r="V27" s="16">
        <f t="shared" si="19"/>
        <v>47</v>
      </c>
      <c r="W27" s="16">
        <f t="shared" si="19"/>
        <v>2</v>
      </c>
      <c r="X27" s="16">
        <f t="shared" si="19"/>
        <v>3</v>
      </c>
      <c r="Y27" s="16">
        <f t="shared" si="19"/>
        <v>31</v>
      </c>
      <c r="Z27" s="16">
        <f t="shared" si="19"/>
        <v>15</v>
      </c>
      <c r="AA27" s="16">
        <f t="shared" si="19"/>
        <v>0</v>
      </c>
      <c r="AB27" s="16">
        <f t="shared" si="19"/>
        <v>3</v>
      </c>
      <c r="AC27" s="16">
        <f t="shared" si="19"/>
        <v>462</v>
      </c>
      <c r="AD27" s="16">
        <f t="shared" si="19"/>
        <v>0</v>
      </c>
      <c r="AE27" s="32">
        <f t="shared" si="19"/>
        <v>382</v>
      </c>
      <c r="AF27" s="32">
        <f t="shared" si="19"/>
        <v>844</v>
      </c>
    </row>
    <row r="28" spans="2:32" ht="23.1" customHeight="1" x14ac:dyDescent="0.25">
      <c r="B28" s="23" t="s">
        <v>55</v>
      </c>
      <c r="C28" s="50">
        <v>8</v>
      </c>
      <c r="D28" s="50">
        <v>7</v>
      </c>
      <c r="E28" s="50">
        <v>4</v>
      </c>
      <c r="F28" s="50">
        <v>1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1</v>
      </c>
      <c r="M28" s="50">
        <v>39</v>
      </c>
      <c r="N28" s="50">
        <v>0</v>
      </c>
      <c r="O28" s="15">
        <f t="shared" si="0"/>
        <v>25</v>
      </c>
      <c r="P28" s="15">
        <f t="shared" si="1"/>
        <v>64</v>
      </c>
      <c r="R28" s="5" t="s">
        <v>17</v>
      </c>
      <c r="S28" s="16">
        <f t="shared" ref="S28:AF28" si="20">SUM(S10:S21)</f>
        <v>467</v>
      </c>
      <c r="T28" s="16">
        <f t="shared" si="20"/>
        <v>228</v>
      </c>
      <c r="U28" s="16">
        <f t="shared" si="20"/>
        <v>127</v>
      </c>
      <c r="V28" s="16">
        <f t="shared" si="20"/>
        <v>143</v>
      </c>
      <c r="W28" s="16">
        <f t="shared" si="20"/>
        <v>5</v>
      </c>
      <c r="X28" s="16">
        <f t="shared" si="20"/>
        <v>3</v>
      </c>
      <c r="Y28" s="16">
        <f t="shared" si="20"/>
        <v>127</v>
      </c>
      <c r="Z28" s="16">
        <f t="shared" si="20"/>
        <v>53</v>
      </c>
      <c r="AA28" s="16">
        <f t="shared" si="20"/>
        <v>7</v>
      </c>
      <c r="AB28" s="16">
        <f t="shared" si="20"/>
        <v>7</v>
      </c>
      <c r="AC28" s="16">
        <f t="shared" si="20"/>
        <v>1970</v>
      </c>
      <c r="AD28" s="16">
        <f t="shared" si="20"/>
        <v>0</v>
      </c>
      <c r="AE28" s="32">
        <f t="shared" si="20"/>
        <v>1167</v>
      </c>
      <c r="AF28" s="32">
        <f t="shared" si="20"/>
        <v>3137</v>
      </c>
    </row>
    <row r="29" spans="2:32" ht="23.1" customHeight="1" x14ac:dyDescent="0.25">
      <c r="B29" s="23" t="s">
        <v>56</v>
      </c>
      <c r="C29" s="50">
        <v>4</v>
      </c>
      <c r="D29" s="50">
        <v>1</v>
      </c>
      <c r="E29" s="50">
        <v>4</v>
      </c>
      <c r="F29" s="50">
        <v>2</v>
      </c>
      <c r="G29" s="50">
        <v>1</v>
      </c>
      <c r="H29" s="50">
        <v>0</v>
      </c>
      <c r="I29" s="50">
        <v>3</v>
      </c>
      <c r="J29" s="50">
        <v>0</v>
      </c>
      <c r="K29" s="50">
        <v>1</v>
      </c>
      <c r="L29" s="50">
        <v>0</v>
      </c>
      <c r="M29" s="50">
        <v>44</v>
      </c>
      <c r="N29" s="50">
        <v>0</v>
      </c>
      <c r="O29" s="15">
        <f t="shared" si="0"/>
        <v>16</v>
      </c>
      <c r="P29" s="15">
        <f t="shared" si="1"/>
        <v>60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3</v>
      </c>
      <c r="E30" s="50">
        <v>3</v>
      </c>
      <c r="F30" s="50">
        <v>3</v>
      </c>
      <c r="G30" s="50">
        <v>0</v>
      </c>
      <c r="H30" s="50">
        <v>0</v>
      </c>
      <c r="I30" s="50">
        <v>3</v>
      </c>
      <c r="J30" s="50">
        <v>3</v>
      </c>
      <c r="K30" s="50">
        <v>0</v>
      </c>
      <c r="L30" s="50">
        <v>0</v>
      </c>
      <c r="M30" s="50">
        <v>44</v>
      </c>
      <c r="N30" s="50">
        <v>0</v>
      </c>
      <c r="O30" s="15">
        <f t="shared" si="0"/>
        <v>22</v>
      </c>
      <c r="P30" s="15">
        <f t="shared" si="1"/>
        <v>66</v>
      </c>
    </row>
    <row r="31" spans="2:32" ht="23.1" customHeight="1" x14ac:dyDescent="0.25">
      <c r="B31" s="24" t="s">
        <v>58</v>
      </c>
      <c r="C31" s="50">
        <v>3</v>
      </c>
      <c r="D31" s="50">
        <v>4</v>
      </c>
      <c r="E31" s="50">
        <v>3</v>
      </c>
      <c r="F31" s="50">
        <v>3</v>
      </c>
      <c r="G31" s="50">
        <v>1</v>
      </c>
      <c r="H31" s="50">
        <v>0</v>
      </c>
      <c r="I31" s="50">
        <v>2</v>
      </c>
      <c r="J31" s="50">
        <v>3</v>
      </c>
      <c r="K31" s="50">
        <v>0</v>
      </c>
      <c r="L31" s="50">
        <v>0</v>
      </c>
      <c r="M31" s="50">
        <v>38</v>
      </c>
      <c r="N31" s="50">
        <v>0</v>
      </c>
      <c r="O31" s="15">
        <f t="shared" si="0"/>
        <v>19</v>
      </c>
      <c r="P31" s="15">
        <f t="shared" si="1"/>
        <v>57</v>
      </c>
    </row>
    <row r="32" spans="2:32" ht="23.1" customHeight="1" x14ac:dyDescent="0.25">
      <c r="B32" s="24" t="s">
        <v>59</v>
      </c>
      <c r="C32" s="50">
        <v>10</v>
      </c>
      <c r="D32" s="50">
        <v>3</v>
      </c>
      <c r="E32" s="50">
        <v>4</v>
      </c>
      <c r="F32" s="50">
        <v>4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43</v>
      </c>
      <c r="N32" s="50">
        <v>0</v>
      </c>
      <c r="O32" s="15">
        <f t="shared" si="0"/>
        <v>24</v>
      </c>
      <c r="P32" s="15">
        <f t="shared" si="1"/>
        <v>67</v>
      </c>
    </row>
    <row r="33" spans="2:20" ht="23.1" customHeight="1" x14ac:dyDescent="0.25">
      <c r="B33" s="23" t="s">
        <v>60</v>
      </c>
      <c r="C33" s="50">
        <v>15</v>
      </c>
      <c r="D33" s="50">
        <v>1</v>
      </c>
      <c r="E33" s="50">
        <v>1</v>
      </c>
      <c r="F33" s="50">
        <v>1</v>
      </c>
      <c r="G33" s="50">
        <v>0</v>
      </c>
      <c r="H33" s="50">
        <v>0</v>
      </c>
      <c r="I33" s="50">
        <v>4</v>
      </c>
      <c r="J33" s="50">
        <v>1</v>
      </c>
      <c r="K33" s="50">
        <v>0</v>
      </c>
      <c r="L33" s="50">
        <v>0</v>
      </c>
      <c r="M33" s="50">
        <v>44</v>
      </c>
      <c r="N33" s="50">
        <v>0</v>
      </c>
      <c r="O33" s="15">
        <f t="shared" si="0"/>
        <v>23</v>
      </c>
      <c r="P33" s="15">
        <f t="shared" si="1"/>
        <v>67</v>
      </c>
    </row>
    <row r="34" spans="2:20" ht="23.1" customHeight="1" x14ac:dyDescent="0.25">
      <c r="B34" s="24" t="s">
        <v>61</v>
      </c>
      <c r="C34" s="50">
        <v>4</v>
      </c>
      <c r="D34" s="50">
        <v>6</v>
      </c>
      <c r="E34" s="50">
        <v>4</v>
      </c>
      <c r="F34" s="50">
        <v>3</v>
      </c>
      <c r="G34" s="50">
        <v>0</v>
      </c>
      <c r="H34" s="50">
        <v>0</v>
      </c>
      <c r="I34" s="50">
        <v>2</v>
      </c>
      <c r="J34" s="50">
        <v>1</v>
      </c>
      <c r="K34" s="50">
        <v>1</v>
      </c>
      <c r="L34" s="50">
        <v>0</v>
      </c>
      <c r="M34" s="50">
        <v>26</v>
      </c>
      <c r="N34" s="50">
        <v>0</v>
      </c>
      <c r="O34" s="15">
        <f t="shared" si="0"/>
        <v>21</v>
      </c>
      <c r="P34" s="15">
        <f t="shared" si="1"/>
        <v>47</v>
      </c>
    </row>
    <row r="35" spans="2:20" ht="23.1" customHeight="1" x14ac:dyDescent="0.25">
      <c r="B35" s="24" t="s">
        <v>62</v>
      </c>
      <c r="C35" s="50">
        <v>11</v>
      </c>
      <c r="D35" s="50">
        <v>2</v>
      </c>
      <c r="E35" s="50">
        <v>1</v>
      </c>
      <c r="F35" s="50">
        <v>2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0</v>
      </c>
      <c r="M35" s="50">
        <v>41</v>
      </c>
      <c r="N35" s="50">
        <v>0</v>
      </c>
      <c r="O35" s="15">
        <f t="shared" si="0"/>
        <v>20</v>
      </c>
      <c r="P35" s="15">
        <f t="shared" si="1"/>
        <v>61</v>
      </c>
    </row>
    <row r="36" spans="2:20" ht="23.1" customHeight="1" x14ac:dyDescent="0.25">
      <c r="B36" s="24" t="s">
        <v>63</v>
      </c>
      <c r="C36" s="50">
        <v>10</v>
      </c>
      <c r="D36" s="50">
        <v>7</v>
      </c>
      <c r="E36" s="50">
        <v>3</v>
      </c>
      <c r="F36" s="50">
        <v>3</v>
      </c>
      <c r="G36" s="50">
        <v>0</v>
      </c>
      <c r="H36" s="50">
        <v>0</v>
      </c>
      <c r="I36" s="50">
        <v>3</v>
      </c>
      <c r="J36" s="50">
        <v>2</v>
      </c>
      <c r="K36" s="50">
        <v>1</v>
      </c>
      <c r="L36" s="50">
        <v>0</v>
      </c>
      <c r="M36" s="50">
        <v>32</v>
      </c>
      <c r="N36" s="50">
        <v>0</v>
      </c>
      <c r="O36" s="15">
        <f t="shared" si="0"/>
        <v>29</v>
      </c>
      <c r="P36" s="15">
        <f t="shared" si="1"/>
        <v>61</v>
      </c>
    </row>
    <row r="37" spans="2:20" ht="23.1" customHeight="1" x14ac:dyDescent="0.25">
      <c r="B37" s="23" t="s">
        <v>64</v>
      </c>
      <c r="C37" s="50">
        <v>13</v>
      </c>
      <c r="D37" s="50">
        <v>2</v>
      </c>
      <c r="E37" s="50">
        <v>5</v>
      </c>
      <c r="F37" s="50">
        <v>3</v>
      </c>
      <c r="G37" s="50">
        <v>0</v>
      </c>
      <c r="H37" s="50">
        <v>0</v>
      </c>
      <c r="I37" s="50">
        <v>7</v>
      </c>
      <c r="J37" s="50">
        <v>1</v>
      </c>
      <c r="K37" s="50">
        <v>0</v>
      </c>
      <c r="L37" s="50">
        <v>0</v>
      </c>
      <c r="M37" s="50">
        <v>29</v>
      </c>
      <c r="N37" s="50">
        <v>0</v>
      </c>
      <c r="O37" s="15">
        <f t="shared" si="0"/>
        <v>31</v>
      </c>
      <c r="P37" s="15">
        <f t="shared" si="1"/>
        <v>60</v>
      </c>
    </row>
    <row r="38" spans="2:20" ht="23.1" customHeight="1" x14ac:dyDescent="0.25">
      <c r="B38" s="24" t="s">
        <v>65</v>
      </c>
      <c r="C38" s="50">
        <v>7</v>
      </c>
      <c r="D38" s="50">
        <v>5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25</v>
      </c>
      <c r="N38" s="50">
        <v>0</v>
      </c>
      <c r="O38" s="15">
        <f t="shared" si="0"/>
        <v>15</v>
      </c>
      <c r="P38" s="15">
        <f t="shared" si="1"/>
        <v>40</v>
      </c>
    </row>
    <row r="39" spans="2:20" ht="23.1" customHeight="1" x14ac:dyDescent="0.25">
      <c r="B39" s="24" t="s">
        <v>66</v>
      </c>
      <c r="C39" s="50">
        <v>8</v>
      </c>
      <c r="D39" s="50">
        <v>4</v>
      </c>
      <c r="E39" s="50">
        <v>2</v>
      </c>
      <c r="F39" s="50">
        <v>3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30</v>
      </c>
      <c r="N39" s="50">
        <v>0</v>
      </c>
      <c r="O39" s="15">
        <f t="shared" si="0"/>
        <v>21</v>
      </c>
      <c r="P39" s="15">
        <f t="shared" si="1"/>
        <v>51</v>
      </c>
    </row>
    <row r="40" spans="2:20" ht="23.1" customHeight="1" x14ac:dyDescent="0.25">
      <c r="B40" s="24" t="s">
        <v>67</v>
      </c>
      <c r="C40" s="50">
        <v>10</v>
      </c>
      <c r="D40" s="50">
        <v>2</v>
      </c>
      <c r="E40" s="50">
        <v>4</v>
      </c>
      <c r="F40" s="50">
        <v>1</v>
      </c>
      <c r="G40" s="50">
        <v>0</v>
      </c>
      <c r="H40" s="50">
        <v>0</v>
      </c>
      <c r="I40" s="50">
        <v>1</v>
      </c>
      <c r="J40" s="50">
        <v>2</v>
      </c>
      <c r="K40" s="50">
        <v>0</v>
      </c>
      <c r="L40" s="50">
        <v>0</v>
      </c>
      <c r="M40" s="50">
        <v>18</v>
      </c>
      <c r="N40" s="50">
        <v>0</v>
      </c>
      <c r="O40" s="15">
        <f t="shared" si="0"/>
        <v>20</v>
      </c>
      <c r="P40" s="15">
        <f t="shared" si="1"/>
        <v>38</v>
      </c>
    </row>
    <row r="41" spans="2:20" ht="23.1" customHeight="1" x14ac:dyDescent="0.25">
      <c r="B41" s="23" t="s">
        <v>68</v>
      </c>
      <c r="C41" s="50">
        <v>5</v>
      </c>
      <c r="D41" s="50">
        <v>7</v>
      </c>
      <c r="E41" s="50">
        <v>1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1</v>
      </c>
      <c r="M41" s="50">
        <v>48</v>
      </c>
      <c r="N41" s="50">
        <v>0</v>
      </c>
      <c r="O41" s="15">
        <f t="shared" si="0"/>
        <v>16</v>
      </c>
      <c r="P41" s="15">
        <f t="shared" si="1"/>
        <v>64</v>
      </c>
    </row>
    <row r="42" spans="2:20" ht="23.1" customHeight="1" x14ac:dyDescent="0.25">
      <c r="B42" s="24" t="s">
        <v>69</v>
      </c>
      <c r="C42" s="50">
        <v>4</v>
      </c>
      <c r="D42" s="50">
        <v>3</v>
      </c>
      <c r="E42" s="50">
        <v>4</v>
      </c>
      <c r="F42" s="50">
        <v>3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41</v>
      </c>
      <c r="N42" s="50">
        <v>0</v>
      </c>
      <c r="O42" s="15">
        <f t="shared" si="0"/>
        <v>17</v>
      </c>
      <c r="P42" s="15">
        <f t="shared" si="1"/>
        <v>58</v>
      </c>
    </row>
    <row r="43" spans="2:20" ht="23.1" customHeight="1" x14ac:dyDescent="0.25">
      <c r="B43" s="23" t="s">
        <v>70</v>
      </c>
      <c r="C43" s="50">
        <v>5</v>
      </c>
      <c r="D43" s="50">
        <v>4</v>
      </c>
      <c r="E43" s="50">
        <v>3</v>
      </c>
      <c r="F43" s="50">
        <v>4</v>
      </c>
      <c r="G43" s="50">
        <v>0</v>
      </c>
      <c r="H43" s="50">
        <v>0</v>
      </c>
      <c r="I43" s="50">
        <v>2</v>
      </c>
      <c r="J43" s="50">
        <v>2</v>
      </c>
      <c r="K43" s="50">
        <v>0</v>
      </c>
      <c r="L43" s="50">
        <v>0</v>
      </c>
      <c r="M43" s="50">
        <v>41</v>
      </c>
      <c r="N43" s="50">
        <v>0</v>
      </c>
      <c r="O43" s="15">
        <f t="shared" si="0"/>
        <v>20</v>
      </c>
      <c r="P43" s="15">
        <f t="shared" si="1"/>
        <v>61</v>
      </c>
    </row>
    <row r="44" spans="2:20" ht="23.1" customHeight="1" x14ac:dyDescent="0.25">
      <c r="B44" s="25" t="s">
        <v>71</v>
      </c>
      <c r="C44" s="50">
        <v>6</v>
      </c>
      <c r="D44" s="50">
        <v>6</v>
      </c>
      <c r="E44" s="50">
        <v>2</v>
      </c>
      <c r="F44" s="50">
        <v>3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34</v>
      </c>
      <c r="N44" s="50">
        <v>0</v>
      </c>
      <c r="O44" s="15">
        <f t="shared" si="0"/>
        <v>21</v>
      </c>
      <c r="P44" s="15">
        <f t="shared" si="1"/>
        <v>55</v>
      </c>
    </row>
    <row r="45" spans="2:20" ht="23.1" customHeight="1" x14ac:dyDescent="0.25">
      <c r="B45" s="23" t="s">
        <v>72</v>
      </c>
      <c r="C45" s="50">
        <v>5</v>
      </c>
      <c r="D45" s="50">
        <v>4</v>
      </c>
      <c r="E45" s="50">
        <v>1</v>
      </c>
      <c r="F45" s="50">
        <v>1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32</v>
      </c>
      <c r="N45" s="50">
        <v>0</v>
      </c>
      <c r="O45" s="15">
        <f t="shared" si="0"/>
        <v>14</v>
      </c>
      <c r="P45" s="15">
        <f t="shared" si="1"/>
        <v>46</v>
      </c>
    </row>
    <row r="46" spans="2:20" ht="23.1" customHeight="1" x14ac:dyDescent="0.25">
      <c r="B46" s="24" t="s">
        <v>73</v>
      </c>
      <c r="C46" s="50">
        <v>6</v>
      </c>
      <c r="D46" s="50">
        <v>5</v>
      </c>
      <c r="E46" s="50">
        <v>3</v>
      </c>
      <c r="F46" s="50">
        <v>1</v>
      </c>
      <c r="G46" s="50">
        <v>0</v>
      </c>
      <c r="H46" s="50">
        <v>0</v>
      </c>
      <c r="I46" s="50">
        <v>1</v>
      </c>
      <c r="J46" s="50">
        <v>2</v>
      </c>
      <c r="K46" s="50">
        <v>0</v>
      </c>
      <c r="L46" s="50">
        <v>1</v>
      </c>
      <c r="M46" s="50">
        <v>32</v>
      </c>
      <c r="N46" s="50">
        <v>0</v>
      </c>
      <c r="O46" s="15">
        <f t="shared" si="0"/>
        <v>19</v>
      </c>
      <c r="P46" s="15">
        <f t="shared" si="1"/>
        <v>51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5</v>
      </c>
      <c r="E47" s="50">
        <v>1</v>
      </c>
      <c r="F47" s="50">
        <v>2</v>
      </c>
      <c r="G47" s="50">
        <v>0</v>
      </c>
      <c r="H47" s="50">
        <v>0</v>
      </c>
      <c r="I47" s="50">
        <v>1</v>
      </c>
      <c r="J47" s="50">
        <v>3</v>
      </c>
      <c r="K47" s="50">
        <v>0</v>
      </c>
      <c r="L47" s="50">
        <v>0</v>
      </c>
      <c r="M47" s="50">
        <v>35</v>
      </c>
      <c r="N47" s="50">
        <v>0</v>
      </c>
      <c r="O47" s="15">
        <f t="shared" si="0"/>
        <v>22</v>
      </c>
      <c r="P47" s="15">
        <f t="shared" si="1"/>
        <v>57</v>
      </c>
      <c r="R47" s="8"/>
      <c r="T47"/>
    </row>
    <row r="48" spans="2:20" ht="23.1" customHeight="1" x14ac:dyDescent="0.25">
      <c r="B48" s="24" t="s">
        <v>75</v>
      </c>
      <c r="C48" s="50">
        <v>12</v>
      </c>
      <c r="D48" s="50">
        <v>8</v>
      </c>
      <c r="E48" s="50">
        <v>3</v>
      </c>
      <c r="F48" s="50">
        <v>3</v>
      </c>
      <c r="G48" s="50">
        <v>1</v>
      </c>
      <c r="H48" s="50">
        <v>0</v>
      </c>
      <c r="I48" s="50">
        <v>5</v>
      </c>
      <c r="J48" s="50">
        <v>1</v>
      </c>
      <c r="K48" s="50">
        <v>0</v>
      </c>
      <c r="L48" s="50">
        <v>0</v>
      </c>
      <c r="M48" s="50">
        <v>39</v>
      </c>
      <c r="N48" s="50">
        <v>0</v>
      </c>
      <c r="O48" s="15">
        <f t="shared" si="0"/>
        <v>33</v>
      </c>
      <c r="P48" s="15">
        <f t="shared" si="1"/>
        <v>72</v>
      </c>
      <c r="R48" s="8"/>
      <c r="T48"/>
    </row>
    <row r="49" spans="2:20" ht="23.1" customHeight="1" x14ac:dyDescent="0.25">
      <c r="B49" s="23" t="s">
        <v>76</v>
      </c>
      <c r="C49" s="50">
        <v>12</v>
      </c>
      <c r="D49" s="50">
        <v>9</v>
      </c>
      <c r="E49" s="50">
        <v>4</v>
      </c>
      <c r="F49" s="50">
        <v>4</v>
      </c>
      <c r="G49" s="50">
        <v>0</v>
      </c>
      <c r="H49" s="50">
        <v>0</v>
      </c>
      <c r="I49" s="50">
        <v>4</v>
      </c>
      <c r="J49" s="50">
        <v>1</v>
      </c>
      <c r="K49" s="50">
        <v>0</v>
      </c>
      <c r="L49" s="50">
        <v>0</v>
      </c>
      <c r="M49" s="50">
        <v>47</v>
      </c>
      <c r="N49" s="50">
        <v>0</v>
      </c>
      <c r="O49" s="15">
        <f t="shared" si="0"/>
        <v>34</v>
      </c>
      <c r="P49" s="15">
        <f t="shared" si="1"/>
        <v>81</v>
      </c>
      <c r="R49" s="8"/>
      <c r="T49"/>
    </row>
    <row r="50" spans="2:20" ht="23.1" customHeight="1" x14ac:dyDescent="0.25">
      <c r="B50" s="24" t="s">
        <v>77</v>
      </c>
      <c r="C50" s="50">
        <v>12</v>
      </c>
      <c r="D50" s="50">
        <v>9</v>
      </c>
      <c r="E50" s="50">
        <v>5</v>
      </c>
      <c r="F50" s="50">
        <v>6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35</v>
      </c>
      <c r="N50" s="50">
        <v>0</v>
      </c>
      <c r="O50" s="15">
        <f t="shared" si="0"/>
        <v>33</v>
      </c>
      <c r="P50" s="15">
        <f t="shared" si="1"/>
        <v>68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7</v>
      </c>
      <c r="E51" s="50">
        <v>0</v>
      </c>
      <c r="F51" s="50">
        <v>3</v>
      </c>
      <c r="G51" s="50">
        <v>0</v>
      </c>
      <c r="H51" s="50">
        <v>0</v>
      </c>
      <c r="I51" s="50">
        <v>1</v>
      </c>
      <c r="J51" s="50">
        <v>3</v>
      </c>
      <c r="K51" s="50">
        <v>0</v>
      </c>
      <c r="L51" s="50">
        <v>0</v>
      </c>
      <c r="M51" s="50">
        <v>42</v>
      </c>
      <c r="N51" s="50">
        <v>0</v>
      </c>
      <c r="O51" s="15">
        <f t="shared" si="0"/>
        <v>24</v>
      </c>
      <c r="P51" s="15">
        <f t="shared" si="1"/>
        <v>66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7</v>
      </c>
      <c r="E52" s="50">
        <v>1</v>
      </c>
      <c r="F52" s="50">
        <v>5</v>
      </c>
      <c r="G52" s="50">
        <v>0</v>
      </c>
      <c r="H52" s="50">
        <v>1</v>
      </c>
      <c r="I52" s="50">
        <v>1</v>
      </c>
      <c r="J52" s="50">
        <v>0</v>
      </c>
      <c r="K52" s="50">
        <v>0</v>
      </c>
      <c r="L52" s="50">
        <v>0</v>
      </c>
      <c r="M52" s="50">
        <v>36</v>
      </c>
      <c r="N52" s="50">
        <v>0</v>
      </c>
      <c r="O52" s="15">
        <f t="shared" si="0"/>
        <v>31</v>
      </c>
      <c r="P52" s="15">
        <f t="shared" si="1"/>
        <v>67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5</v>
      </c>
      <c r="E53" s="50">
        <v>4</v>
      </c>
      <c r="F53" s="50">
        <v>4</v>
      </c>
      <c r="G53" s="50">
        <v>1</v>
      </c>
      <c r="H53" s="50">
        <v>2</v>
      </c>
      <c r="I53" s="50">
        <v>4</v>
      </c>
      <c r="J53" s="50">
        <v>0</v>
      </c>
      <c r="K53" s="50">
        <v>0</v>
      </c>
      <c r="L53" s="50">
        <v>0</v>
      </c>
      <c r="M53" s="50">
        <v>31</v>
      </c>
      <c r="N53" s="50">
        <v>0</v>
      </c>
      <c r="O53" s="15">
        <f t="shared" si="0"/>
        <v>27</v>
      </c>
      <c r="P53" s="15">
        <f t="shared" si="1"/>
        <v>58</v>
      </c>
      <c r="R53" s="8"/>
      <c r="T53"/>
    </row>
    <row r="54" spans="2:20" ht="23.1" customHeight="1" x14ac:dyDescent="0.25">
      <c r="B54" s="23" t="s">
        <v>81</v>
      </c>
      <c r="C54" s="50">
        <v>31</v>
      </c>
      <c r="D54" s="50">
        <v>4</v>
      </c>
      <c r="E54" s="50">
        <v>6</v>
      </c>
      <c r="F54" s="50">
        <v>8</v>
      </c>
      <c r="G54" s="50">
        <v>0</v>
      </c>
      <c r="H54" s="50">
        <v>0</v>
      </c>
      <c r="I54" s="50">
        <v>6</v>
      </c>
      <c r="J54" s="50">
        <v>1</v>
      </c>
      <c r="K54" s="50">
        <v>0</v>
      </c>
      <c r="L54" s="50">
        <v>2</v>
      </c>
      <c r="M54" s="50">
        <v>35</v>
      </c>
      <c r="N54" s="50">
        <v>0</v>
      </c>
      <c r="O54" s="15">
        <f t="shared" si="0"/>
        <v>58</v>
      </c>
      <c r="P54" s="15">
        <f t="shared" si="1"/>
        <v>93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8</v>
      </c>
      <c r="E55" s="50">
        <v>7</v>
      </c>
      <c r="F55" s="50">
        <v>3</v>
      </c>
      <c r="G55" s="50">
        <v>0</v>
      </c>
      <c r="H55" s="51">
        <v>0</v>
      </c>
      <c r="I55" s="50">
        <v>4</v>
      </c>
      <c r="J55" s="50">
        <v>1</v>
      </c>
      <c r="K55" s="50">
        <v>0</v>
      </c>
      <c r="L55" s="50">
        <v>0</v>
      </c>
      <c r="M55" s="50">
        <v>56</v>
      </c>
      <c r="N55" s="50">
        <v>0</v>
      </c>
      <c r="O55" s="15">
        <f t="shared" si="0"/>
        <v>40</v>
      </c>
      <c r="P55" s="15">
        <f t="shared" si="1"/>
        <v>96</v>
      </c>
      <c r="R55" s="8"/>
      <c r="T55"/>
    </row>
    <row r="56" spans="2:20" ht="23.1" customHeight="1" x14ac:dyDescent="0.25">
      <c r="B56" s="23" t="s">
        <v>83</v>
      </c>
      <c r="C56" s="50">
        <v>20</v>
      </c>
      <c r="D56" s="50">
        <v>5</v>
      </c>
      <c r="E56" s="50">
        <v>2</v>
      </c>
      <c r="F56" s="50">
        <v>4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32</v>
      </c>
      <c r="N56" s="50">
        <v>0</v>
      </c>
      <c r="O56" s="15">
        <f t="shared" si="0"/>
        <v>35</v>
      </c>
      <c r="P56" s="15">
        <f t="shared" si="1"/>
        <v>67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6</v>
      </c>
      <c r="E57" s="50">
        <v>3</v>
      </c>
      <c r="F57" s="50">
        <v>4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42</v>
      </c>
      <c r="N57" s="50">
        <v>0</v>
      </c>
      <c r="O57" s="15">
        <f t="shared" si="0"/>
        <v>26</v>
      </c>
      <c r="P57" s="15">
        <f t="shared" si="1"/>
        <v>68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467</v>
      </c>
      <c r="D58" s="16">
        <f t="shared" si="21"/>
        <v>228</v>
      </c>
      <c r="E58" s="16">
        <f t="shared" si="21"/>
        <v>127</v>
      </c>
      <c r="F58" s="16">
        <f t="shared" si="21"/>
        <v>143</v>
      </c>
      <c r="G58" s="16">
        <f t="shared" si="21"/>
        <v>5</v>
      </c>
      <c r="H58" s="16">
        <f t="shared" si="21"/>
        <v>3</v>
      </c>
      <c r="I58" s="16">
        <f t="shared" si="21"/>
        <v>127</v>
      </c>
      <c r="J58" s="16">
        <f t="shared" si="21"/>
        <v>53</v>
      </c>
      <c r="K58" s="16">
        <f t="shared" si="21"/>
        <v>7</v>
      </c>
      <c r="L58" s="16">
        <f t="shared" si="21"/>
        <v>7</v>
      </c>
      <c r="M58" s="16">
        <f t="shared" si="21"/>
        <v>1970</v>
      </c>
      <c r="N58" s="16">
        <f t="shared" si="21"/>
        <v>0</v>
      </c>
      <c r="O58" s="16">
        <f t="shared" si="21"/>
        <v>1167</v>
      </c>
      <c r="P58" s="16">
        <f t="shared" si="21"/>
        <v>3137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0.14886834555307618</v>
      </c>
      <c r="D59" s="43">
        <f t="shared" si="22"/>
        <v>7.2680905323557546E-2</v>
      </c>
      <c r="E59" s="43">
        <f t="shared" si="22"/>
        <v>4.0484539368823715E-2</v>
      </c>
      <c r="F59" s="43">
        <f t="shared" si="22"/>
        <v>4.5584953777494421E-2</v>
      </c>
      <c r="G59" s="43">
        <f t="shared" si="22"/>
        <v>1.5938795027095952E-3</v>
      </c>
      <c r="H59" s="43">
        <f t="shared" si="22"/>
        <v>9.5632770162575704E-4</v>
      </c>
      <c r="I59" s="43">
        <f t="shared" si="22"/>
        <v>4.0484539368823715E-2</v>
      </c>
      <c r="J59" s="43">
        <f t="shared" si="22"/>
        <v>1.689512272872171E-2</v>
      </c>
      <c r="K59" s="43">
        <f t="shared" si="22"/>
        <v>2.2314313037934334E-3</v>
      </c>
      <c r="L59" s="43">
        <f t="shared" si="22"/>
        <v>2.2314313037934334E-3</v>
      </c>
      <c r="M59" s="43">
        <f t="shared" si="22"/>
        <v>0.62798852406758054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0.40017137960582688</v>
      </c>
      <c r="D60" s="44">
        <f t="shared" ref="D60:N60" si="23">D58/$O$58</f>
        <v>0.19537275064267351</v>
      </c>
      <c r="E60" s="44">
        <f t="shared" si="23"/>
        <v>0.10882604970008569</v>
      </c>
      <c r="F60" s="44">
        <f t="shared" si="23"/>
        <v>0.12253641816623821</v>
      </c>
      <c r="G60" s="44">
        <f t="shared" si="23"/>
        <v>4.2844901456726651E-3</v>
      </c>
      <c r="H60" s="44">
        <f t="shared" si="23"/>
        <v>2.5706940874035988E-3</v>
      </c>
      <c r="I60" s="44">
        <f t="shared" si="23"/>
        <v>0.10882604970008569</v>
      </c>
      <c r="J60" s="44">
        <f t="shared" si="23"/>
        <v>4.5415595544130251E-2</v>
      </c>
      <c r="K60" s="44">
        <f t="shared" si="23"/>
        <v>5.9982862039417309E-3</v>
      </c>
      <c r="L60" s="44">
        <f t="shared" si="23"/>
        <v>5.9982862039417309E-3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59" zoomScaleSheetLayoutView="59" workbookViewId="0">
      <selection activeCell="K6" activeCellId="5" sqref="C3:G3 D6:E6 G5:H5 G6:H6 K5:L5 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'23.09- Kasangati-Matuga'!C3:G3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'23.09- Kasangati-Matuga'!D5</f>
        <v>23.07.19</v>
      </c>
      <c r="E5" s="3"/>
      <c r="F5" s="41" t="s">
        <v>1</v>
      </c>
      <c r="G5" s="150" t="str">
        <f>'23.09- Kasangati-Matuga'!G5:H5</f>
        <v>Kiiza-besigye road</v>
      </c>
      <c r="H5" s="151"/>
      <c r="I5" s="14"/>
      <c r="J5" s="2" t="s">
        <v>5</v>
      </c>
      <c r="K5" s="150" t="s">
        <v>170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">
        <v>169</v>
      </c>
      <c r="E6" s="151"/>
      <c r="F6" s="2" t="s">
        <v>2</v>
      </c>
      <c r="G6" s="150" t="s">
        <v>164</v>
      </c>
      <c r="H6" s="151"/>
      <c r="J6" s="2" t="s">
        <v>21</v>
      </c>
      <c r="K6" s="150" t="str">
        <f>'23.09- Kasangati-Matuga'!K6:L6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41</v>
      </c>
      <c r="D10" s="50">
        <v>2</v>
      </c>
      <c r="E10" s="50">
        <v>1</v>
      </c>
      <c r="F10" s="50">
        <v>2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62</v>
      </c>
      <c r="N10" s="50">
        <v>0</v>
      </c>
      <c r="O10" s="15">
        <f t="shared" ref="O10:O57" si="0">SUM(C10:L10,N10)</f>
        <v>49</v>
      </c>
      <c r="P10" s="15">
        <f t="shared" ref="P10:P57" si="1">SUM(C10:N10)</f>
        <v>111</v>
      </c>
      <c r="R10" s="1" t="s">
        <v>6</v>
      </c>
      <c r="S10" s="17">
        <f t="shared" ref="S10:AF10" si="2">SUM(C10:C13)</f>
        <v>105</v>
      </c>
      <c r="T10" s="17">
        <f t="shared" si="2"/>
        <v>10</v>
      </c>
      <c r="U10" s="17">
        <f t="shared" si="2"/>
        <v>5</v>
      </c>
      <c r="V10" s="17">
        <f t="shared" si="2"/>
        <v>9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168</v>
      </c>
      <c r="AD10" s="17">
        <f t="shared" si="2"/>
        <v>0</v>
      </c>
      <c r="AE10" s="31">
        <f t="shared" si="2"/>
        <v>135</v>
      </c>
      <c r="AF10" s="31">
        <f t="shared" si="2"/>
        <v>303</v>
      </c>
    </row>
    <row r="11" spans="2:32" s="6" customFormat="1" ht="23.1" customHeight="1" x14ac:dyDescent="0.25">
      <c r="B11" s="23" t="s">
        <v>38</v>
      </c>
      <c r="C11" s="50">
        <v>18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32</v>
      </c>
      <c r="N11" s="50">
        <v>0</v>
      </c>
      <c r="O11" s="15">
        <f t="shared" si="0"/>
        <v>19</v>
      </c>
      <c r="P11" s="15">
        <f t="shared" si="1"/>
        <v>51</v>
      </c>
      <c r="R11" s="1" t="s">
        <v>7</v>
      </c>
      <c r="S11" s="17">
        <f t="shared" ref="S11:AF11" si="3">SUM(C14:C17)</f>
        <v>53</v>
      </c>
      <c r="T11" s="17">
        <f t="shared" si="3"/>
        <v>4</v>
      </c>
      <c r="U11" s="17">
        <f t="shared" si="3"/>
        <v>10</v>
      </c>
      <c r="V11" s="17">
        <f t="shared" si="3"/>
        <v>10</v>
      </c>
      <c r="W11" s="17">
        <f t="shared" si="3"/>
        <v>1</v>
      </c>
      <c r="X11" s="17">
        <f t="shared" si="3"/>
        <v>0</v>
      </c>
      <c r="Y11" s="17">
        <f t="shared" si="3"/>
        <v>10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194</v>
      </c>
      <c r="AD11" s="17">
        <f t="shared" si="3"/>
        <v>0</v>
      </c>
      <c r="AE11" s="31">
        <f t="shared" si="3"/>
        <v>89</v>
      </c>
      <c r="AF11" s="31">
        <f t="shared" si="3"/>
        <v>283</v>
      </c>
    </row>
    <row r="12" spans="2:32" ht="23.1" customHeight="1" x14ac:dyDescent="0.25">
      <c r="B12" s="23" t="s">
        <v>39</v>
      </c>
      <c r="C12" s="50">
        <v>32</v>
      </c>
      <c r="D12" s="50">
        <v>7</v>
      </c>
      <c r="E12" s="50">
        <v>3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36</v>
      </c>
      <c r="N12" s="50">
        <v>0</v>
      </c>
      <c r="O12" s="15">
        <f t="shared" si="0"/>
        <v>46</v>
      </c>
      <c r="P12" s="15">
        <f t="shared" si="1"/>
        <v>82</v>
      </c>
      <c r="R12" s="1" t="s">
        <v>8</v>
      </c>
      <c r="S12" s="17">
        <f t="shared" ref="S12:AF12" si="4">SUM(C18:C21)</f>
        <v>35</v>
      </c>
      <c r="T12" s="17">
        <f t="shared" si="4"/>
        <v>5</v>
      </c>
      <c r="U12" s="17">
        <f t="shared" si="4"/>
        <v>7</v>
      </c>
      <c r="V12" s="17">
        <f t="shared" si="4"/>
        <v>10</v>
      </c>
      <c r="W12" s="17">
        <f t="shared" si="4"/>
        <v>2</v>
      </c>
      <c r="X12" s="17">
        <f t="shared" si="4"/>
        <v>1</v>
      </c>
      <c r="Y12" s="17">
        <f t="shared" si="4"/>
        <v>13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179</v>
      </c>
      <c r="AD12" s="17">
        <f t="shared" si="4"/>
        <v>0</v>
      </c>
      <c r="AE12" s="31">
        <f t="shared" si="4"/>
        <v>73</v>
      </c>
      <c r="AF12" s="31">
        <f t="shared" si="4"/>
        <v>252</v>
      </c>
    </row>
    <row r="13" spans="2:32" ht="23.1" customHeight="1" x14ac:dyDescent="0.25">
      <c r="B13" s="23" t="s">
        <v>40</v>
      </c>
      <c r="C13" s="50">
        <v>14</v>
      </c>
      <c r="D13" s="50">
        <v>1</v>
      </c>
      <c r="E13" s="50">
        <v>1</v>
      </c>
      <c r="F13" s="50">
        <v>3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38</v>
      </c>
      <c r="N13" s="50">
        <v>0</v>
      </c>
      <c r="O13" s="15">
        <f t="shared" si="0"/>
        <v>21</v>
      </c>
      <c r="P13" s="15">
        <f t="shared" si="1"/>
        <v>59</v>
      </c>
      <c r="R13" s="1" t="s">
        <v>9</v>
      </c>
      <c r="S13" s="17">
        <f t="shared" ref="S13:AF13" si="5">SUM(C22:C25)</f>
        <v>39</v>
      </c>
      <c r="T13" s="17">
        <f t="shared" si="5"/>
        <v>6</v>
      </c>
      <c r="U13" s="17">
        <f t="shared" si="5"/>
        <v>8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2</v>
      </c>
      <c r="AA13" s="17">
        <f t="shared" si="5"/>
        <v>0</v>
      </c>
      <c r="AB13" s="17">
        <f t="shared" si="5"/>
        <v>1</v>
      </c>
      <c r="AC13" s="17">
        <f t="shared" si="5"/>
        <v>146</v>
      </c>
      <c r="AD13" s="17">
        <f t="shared" si="5"/>
        <v>0</v>
      </c>
      <c r="AE13" s="31">
        <f t="shared" si="5"/>
        <v>69</v>
      </c>
      <c r="AF13" s="31">
        <f t="shared" si="5"/>
        <v>215</v>
      </c>
    </row>
    <row r="14" spans="2:32" ht="23.1" customHeight="1" x14ac:dyDescent="0.25">
      <c r="B14" s="23" t="s">
        <v>41</v>
      </c>
      <c r="C14" s="50">
        <v>15</v>
      </c>
      <c r="D14" s="50">
        <v>2</v>
      </c>
      <c r="E14" s="50">
        <v>2</v>
      </c>
      <c r="F14" s="50">
        <v>5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56</v>
      </c>
      <c r="N14" s="50">
        <v>0</v>
      </c>
      <c r="O14" s="15">
        <f t="shared" si="0"/>
        <v>25</v>
      </c>
      <c r="P14" s="15">
        <f t="shared" si="1"/>
        <v>81</v>
      </c>
      <c r="R14" s="1" t="s">
        <v>10</v>
      </c>
      <c r="S14" s="17">
        <f t="shared" ref="S14:AF14" si="6">SUM(C26:C29)</f>
        <v>33</v>
      </c>
      <c r="T14" s="17">
        <f t="shared" si="6"/>
        <v>4</v>
      </c>
      <c r="U14" s="17">
        <f t="shared" si="6"/>
        <v>3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10</v>
      </c>
      <c r="Z14" s="17">
        <f t="shared" si="6"/>
        <v>2</v>
      </c>
      <c r="AA14" s="17">
        <f t="shared" si="6"/>
        <v>2</v>
      </c>
      <c r="AB14" s="17">
        <f t="shared" si="6"/>
        <v>0</v>
      </c>
      <c r="AC14" s="17">
        <f t="shared" si="6"/>
        <v>146</v>
      </c>
      <c r="AD14" s="17">
        <f t="shared" si="6"/>
        <v>0</v>
      </c>
      <c r="AE14" s="31">
        <f t="shared" si="6"/>
        <v>60</v>
      </c>
      <c r="AF14" s="31">
        <f t="shared" si="6"/>
        <v>206</v>
      </c>
    </row>
    <row r="15" spans="2:32" ht="23.1" customHeight="1" x14ac:dyDescent="0.25">
      <c r="B15" s="23" t="s">
        <v>42</v>
      </c>
      <c r="C15" s="50">
        <v>13</v>
      </c>
      <c r="D15" s="50">
        <v>0</v>
      </c>
      <c r="E15" s="50">
        <v>3</v>
      </c>
      <c r="F15" s="50">
        <v>3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55</v>
      </c>
      <c r="N15" s="50">
        <v>0</v>
      </c>
      <c r="O15" s="15">
        <f t="shared" si="0"/>
        <v>21</v>
      </c>
      <c r="P15" s="15">
        <f t="shared" si="1"/>
        <v>76</v>
      </c>
      <c r="R15" s="1" t="s">
        <v>11</v>
      </c>
      <c r="S15" s="17">
        <f t="shared" ref="S15:AF15" si="7">SUM(C30:C33)</f>
        <v>28</v>
      </c>
      <c r="T15" s="17">
        <f t="shared" si="7"/>
        <v>2</v>
      </c>
      <c r="U15" s="17">
        <f t="shared" si="7"/>
        <v>2</v>
      </c>
      <c r="V15" s="17">
        <f t="shared" si="7"/>
        <v>4</v>
      </c>
      <c r="W15" s="17">
        <f t="shared" si="7"/>
        <v>1</v>
      </c>
      <c r="X15" s="17">
        <f t="shared" si="7"/>
        <v>0</v>
      </c>
      <c r="Y15" s="17">
        <f t="shared" si="7"/>
        <v>14</v>
      </c>
      <c r="Z15" s="17">
        <f t="shared" si="7"/>
        <v>3</v>
      </c>
      <c r="AA15" s="17">
        <f t="shared" si="7"/>
        <v>1</v>
      </c>
      <c r="AB15" s="17">
        <f t="shared" si="7"/>
        <v>0</v>
      </c>
      <c r="AC15" s="17">
        <f t="shared" si="7"/>
        <v>149</v>
      </c>
      <c r="AD15" s="17">
        <f t="shared" si="7"/>
        <v>0</v>
      </c>
      <c r="AE15" s="31">
        <f t="shared" si="7"/>
        <v>55</v>
      </c>
      <c r="AF15" s="31">
        <f t="shared" si="7"/>
        <v>204</v>
      </c>
    </row>
    <row r="16" spans="2:32" ht="23.1" customHeight="1" x14ac:dyDescent="0.25">
      <c r="B16" s="23" t="s">
        <v>43</v>
      </c>
      <c r="C16" s="50">
        <v>11</v>
      </c>
      <c r="D16" s="50">
        <v>2</v>
      </c>
      <c r="E16" s="50">
        <v>2</v>
      </c>
      <c r="F16" s="50">
        <v>1</v>
      </c>
      <c r="G16" s="50">
        <v>1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34</v>
      </c>
      <c r="N16" s="50">
        <v>0</v>
      </c>
      <c r="O16" s="15">
        <f t="shared" si="0"/>
        <v>21</v>
      </c>
      <c r="P16" s="15">
        <f t="shared" si="1"/>
        <v>55</v>
      </c>
      <c r="R16" s="1" t="s">
        <v>12</v>
      </c>
      <c r="S16" s="17">
        <f t="shared" ref="S16:AF16" si="8">SUM(C34:C37)</f>
        <v>29</v>
      </c>
      <c r="T16" s="17">
        <f t="shared" si="8"/>
        <v>11</v>
      </c>
      <c r="U16" s="17">
        <f t="shared" si="8"/>
        <v>6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15</v>
      </c>
      <c r="Z16" s="17">
        <f t="shared" si="8"/>
        <v>3</v>
      </c>
      <c r="AA16" s="17">
        <f t="shared" si="8"/>
        <v>2</v>
      </c>
      <c r="AB16" s="17">
        <f t="shared" si="8"/>
        <v>0</v>
      </c>
      <c r="AC16" s="17">
        <f t="shared" si="8"/>
        <v>162</v>
      </c>
      <c r="AD16" s="17">
        <f t="shared" si="8"/>
        <v>0</v>
      </c>
      <c r="AE16" s="31">
        <f t="shared" si="8"/>
        <v>74</v>
      </c>
      <c r="AF16" s="31">
        <f t="shared" si="8"/>
        <v>236</v>
      </c>
    </row>
    <row r="17" spans="2:32" ht="23.1" customHeight="1" x14ac:dyDescent="0.25">
      <c r="B17" s="23" t="s">
        <v>44</v>
      </c>
      <c r="C17" s="50">
        <v>14</v>
      </c>
      <c r="D17" s="50">
        <v>0</v>
      </c>
      <c r="E17" s="50">
        <v>3</v>
      </c>
      <c r="F17" s="50">
        <v>1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49</v>
      </c>
      <c r="N17" s="50">
        <v>0</v>
      </c>
      <c r="O17" s="15">
        <f t="shared" si="0"/>
        <v>22</v>
      </c>
      <c r="P17" s="15">
        <f t="shared" si="1"/>
        <v>71</v>
      </c>
      <c r="R17" s="1" t="s">
        <v>13</v>
      </c>
      <c r="S17" s="17">
        <f t="shared" ref="S17:AF17" si="9">SUM(C38:C41)</f>
        <v>33</v>
      </c>
      <c r="T17" s="17">
        <f t="shared" si="9"/>
        <v>8</v>
      </c>
      <c r="U17" s="17">
        <f t="shared" si="9"/>
        <v>3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14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148</v>
      </c>
      <c r="AD17" s="17">
        <f t="shared" si="9"/>
        <v>0</v>
      </c>
      <c r="AE17" s="31">
        <f t="shared" si="9"/>
        <v>71</v>
      </c>
      <c r="AF17" s="31">
        <f t="shared" si="9"/>
        <v>219</v>
      </c>
    </row>
    <row r="18" spans="2:32" ht="23.1" customHeight="1" x14ac:dyDescent="0.25">
      <c r="B18" s="23" t="s">
        <v>45</v>
      </c>
      <c r="C18" s="50">
        <v>8</v>
      </c>
      <c r="D18" s="50">
        <v>1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42</v>
      </c>
      <c r="N18" s="50">
        <v>0</v>
      </c>
      <c r="O18" s="15">
        <f t="shared" si="0"/>
        <v>11</v>
      </c>
      <c r="P18" s="15">
        <f t="shared" si="1"/>
        <v>53</v>
      </c>
      <c r="R18" s="1" t="s">
        <v>14</v>
      </c>
      <c r="S18" s="17">
        <f t="shared" ref="S18:AF18" si="10">SUM(C42:C45)</f>
        <v>38</v>
      </c>
      <c r="T18" s="17">
        <f t="shared" si="10"/>
        <v>5</v>
      </c>
      <c r="U18" s="17">
        <f t="shared" si="10"/>
        <v>2</v>
      </c>
      <c r="V18" s="17">
        <f t="shared" si="10"/>
        <v>13</v>
      </c>
      <c r="W18" s="17">
        <f t="shared" si="10"/>
        <v>0</v>
      </c>
      <c r="X18" s="17">
        <f t="shared" si="10"/>
        <v>0</v>
      </c>
      <c r="Y18" s="17">
        <f t="shared" si="10"/>
        <v>21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152</v>
      </c>
      <c r="AD18" s="17">
        <f t="shared" si="10"/>
        <v>0</v>
      </c>
      <c r="AE18" s="31">
        <f t="shared" si="10"/>
        <v>84</v>
      </c>
      <c r="AF18" s="31">
        <f t="shared" si="10"/>
        <v>236</v>
      </c>
    </row>
    <row r="19" spans="2:32" ht="23.1" customHeight="1" x14ac:dyDescent="0.25">
      <c r="B19" s="23" t="s">
        <v>46</v>
      </c>
      <c r="C19" s="50">
        <v>11</v>
      </c>
      <c r="D19" s="50">
        <v>0</v>
      </c>
      <c r="E19" s="50">
        <v>5</v>
      </c>
      <c r="F19" s="50">
        <v>2</v>
      </c>
      <c r="G19" s="50">
        <v>1</v>
      </c>
      <c r="H19" s="50">
        <v>0</v>
      </c>
      <c r="I19" s="50">
        <v>6</v>
      </c>
      <c r="J19" s="50">
        <v>0</v>
      </c>
      <c r="K19" s="50">
        <v>0</v>
      </c>
      <c r="L19" s="50">
        <v>0</v>
      </c>
      <c r="M19" s="50">
        <v>61</v>
      </c>
      <c r="N19" s="50">
        <v>0</v>
      </c>
      <c r="O19" s="15">
        <f t="shared" si="0"/>
        <v>25</v>
      </c>
      <c r="P19" s="15">
        <f t="shared" si="1"/>
        <v>86</v>
      </c>
      <c r="R19" s="1" t="s">
        <v>15</v>
      </c>
      <c r="S19" s="17">
        <f t="shared" ref="S19:AF19" si="11">SUM(C46:C49)</f>
        <v>57</v>
      </c>
      <c r="T19" s="17">
        <f t="shared" si="11"/>
        <v>9</v>
      </c>
      <c r="U19" s="17">
        <f t="shared" si="11"/>
        <v>5</v>
      </c>
      <c r="V19" s="17">
        <f t="shared" si="11"/>
        <v>13</v>
      </c>
      <c r="W19" s="17">
        <f t="shared" si="11"/>
        <v>1</v>
      </c>
      <c r="X19" s="17">
        <f t="shared" si="11"/>
        <v>0</v>
      </c>
      <c r="Y19" s="17">
        <f t="shared" si="11"/>
        <v>20</v>
      </c>
      <c r="Z19" s="17">
        <f t="shared" si="11"/>
        <v>2</v>
      </c>
      <c r="AA19" s="17">
        <f t="shared" si="11"/>
        <v>4</v>
      </c>
      <c r="AB19" s="17">
        <f t="shared" si="11"/>
        <v>0</v>
      </c>
      <c r="AC19" s="17">
        <f t="shared" si="11"/>
        <v>139</v>
      </c>
      <c r="AD19" s="17">
        <f t="shared" si="11"/>
        <v>0</v>
      </c>
      <c r="AE19" s="31">
        <f t="shared" si="11"/>
        <v>111</v>
      </c>
      <c r="AF19" s="31">
        <f t="shared" si="11"/>
        <v>250</v>
      </c>
    </row>
    <row r="20" spans="2:32" ht="23.1" customHeight="1" x14ac:dyDescent="0.25">
      <c r="B20" s="23" t="s">
        <v>47</v>
      </c>
      <c r="C20" s="50">
        <v>5</v>
      </c>
      <c r="D20" s="50">
        <v>2</v>
      </c>
      <c r="E20" s="50">
        <v>0</v>
      </c>
      <c r="F20" s="50">
        <v>2</v>
      </c>
      <c r="G20" s="50">
        <v>0</v>
      </c>
      <c r="H20" s="50">
        <v>1</v>
      </c>
      <c r="I20" s="50">
        <v>0</v>
      </c>
      <c r="J20" s="50">
        <v>0</v>
      </c>
      <c r="K20" s="50">
        <v>0</v>
      </c>
      <c r="L20" s="50">
        <v>0</v>
      </c>
      <c r="M20" s="50">
        <v>46</v>
      </c>
      <c r="N20" s="50">
        <v>0</v>
      </c>
      <c r="O20" s="15">
        <f t="shared" si="0"/>
        <v>10</v>
      </c>
      <c r="P20" s="15">
        <f t="shared" si="1"/>
        <v>56</v>
      </c>
      <c r="R20" s="1" t="s">
        <v>16</v>
      </c>
      <c r="S20" s="17">
        <f t="shared" ref="S20:AF20" si="12">SUM(C50:C53)</f>
        <v>42</v>
      </c>
      <c r="T20" s="17">
        <f t="shared" si="12"/>
        <v>3</v>
      </c>
      <c r="U20" s="17">
        <f t="shared" si="12"/>
        <v>12</v>
      </c>
      <c r="V20" s="17">
        <f t="shared" si="12"/>
        <v>15</v>
      </c>
      <c r="W20" s="17">
        <f t="shared" si="12"/>
        <v>0</v>
      </c>
      <c r="X20" s="17">
        <f t="shared" si="12"/>
        <v>0</v>
      </c>
      <c r="Y20" s="17">
        <f t="shared" si="12"/>
        <v>16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151</v>
      </c>
      <c r="AD20" s="17">
        <f t="shared" si="12"/>
        <v>0</v>
      </c>
      <c r="AE20" s="31">
        <f t="shared" si="12"/>
        <v>90</v>
      </c>
      <c r="AF20" s="31">
        <f t="shared" si="12"/>
        <v>241</v>
      </c>
    </row>
    <row r="21" spans="2:32" ht="23.1" customHeight="1" x14ac:dyDescent="0.25">
      <c r="B21" s="23" t="s">
        <v>48</v>
      </c>
      <c r="C21" s="50">
        <v>11</v>
      </c>
      <c r="D21" s="50">
        <v>2</v>
      </c>
      <c r="E21" s="50">
        <v>2</v>
      </c>
      <c r="F21" s="50">
        <v>5</v>
      </c>
      <c r="G21" s="50">
        <v>1</v>
      </c>
      <c r="H21" s="50">
        <v>0</v>
      </c>
      <c r="I21" s="50">
        <v>6</v>
      </c>
      <c r="J21" s="50">
        <v>0</v>
      </c>
      <c r="K21" s="50">
        <v>0</v>
      </c>
      <c r="L21" s="50">
        <v>0</v>
      </c>
      <c r="M21" s="50">
        <v>30</v>
      </c>
      <c r="N21" s="50">
        <v>0</v>
      </c>
      <c r="O21" s="15">
        <f t="shared" si="0"/>
        <v>27</v>
      </c>
      <c r="P21" s="15">
        <f t="shared" si="1"/>
        <v>57</v>
      </c>
      <c r="R21" s="36" t="s">
        <v>20</v>
      </c>
      <c r="S21" s="34">
        <f t="shared" ref="S21:AF21" si="13">SUM(C54:C57)</f>
        <v>95</v>
      </c>
      <c r="T21" s="17">
        <f t="shared" si="13"/>
        <v>10</v>
      </c>
      <c r="U21" s="17">
        <f t="shared" si="13"/>
        <v>15</v>
      </c>
      <c r="V21" s="17">
        <f t="shared" si="13"/>
        <v>34</v>
      </c>
      <c r="W21" s="17">
        <f t="shared" si="13"/>
        <v>2</v>
      </c>
      <c r="X21" s="17">
        <f t="shared" si="13"/>
        <v>0</v>
      </c>
      <c r="Y21" s="17">
        <f t="shared" si="13"/>
        <v>12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190</v>
      </c>
      <c r="AD21" s="17">
        <f t="shared" si="13"/>
        <v>0</v>
      </c>
      <c r="AE21" s="31">
        <f t="shared" si="13"/>
        <v>170</v>
      </c>
      <c r="AF21" s="31">
        <f t="shared" si="13"/>
        <v>360</v>
      </c>
    </row>
    <row r="22" spans="2:32" ht="23.1" customHeight="1" x14ac:dyDescent="0.25">
      <c r="B22" s="23" t="s">
        <v>49</v>
      </c>
      <c r="C22" s="50">
        <v>11</v>
      </c>
      <c r="D22" s="50">
        <v>5</v>
      </c>
      <c r="E22" s="50">
        <v>2</v>
      </c>
      <c r="F22" s="50">
        <v>1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1</v>
      </c>
      <c r="M22" s="50">
        <v>56</v>
      </c>
      <c r="N22" s="50">
        <v>0</v>
      </c>
      <c r="O22" s="15">
        <f t="shared" si="0"/>
        <v>23</v>
      </c>
      <c r="P22" s="15">
        <f t="shared" si="1"/>
        <v>79</v>
      </c>
      <c r="R22" s="38" t="s">
        <v>90</v>
      </c>
      <c r="S22" s="39">
        <f>MAX(S10:S12)</f>
        <v>105</v>
      </c>
      <c r="T22" s="39">
        <f t="shared" ref="T22:AF22" si="14">MAX(T10:T12)</f>
        <v>10</v>
      </c>
      <c r="U22" s="39">
        <f t="shared" si="14"/>
        <v>10</v>
      </c>
      <c r="V22" s="39">
        <f t="shared" si="14"/>
        <v>10</v>
      </c>
      <c r="W22" s="39">
        <f t="shared" si="14"/>
        <v>2</v>
      </c>
      <c r="X22" s="39">
        <f t="shared" si="14"/>
        <v>1</v>
      </c>
      <c r="Y22" s="39">
        <f t="shared" si="14"/>
        <v>13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194</v>
      </c>
      <c r="AD22" s="39">
        <f t="shared" si="14"/>
        <v>0</v>
      </c>
      <c r="AE22" s="40">
        <f t="shared" si="14"/>
        <v>135</v>
      </c>
      <c r="AF22" s="40">
        <f t="shared" si="14"/>
        <v>303</v>
      </c>
    </row>
    <row r="23" spans="2:32" ht="23.1" customHeight="1" x14ac:dyDescent="0.25">
      <c r="B23" s="23" t="s">
        <v>50</v>
      </c>
      <c r="C23" s="50">
        <v>5</v>
      </c>
      <c r="D23" s="50">
        <v>1</v>
      </c>
      <c r="E23" s="50">
        <v>0</v>
      </c>
      <c r="F23" s="50">
        <v>2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22</v>
      </c>
      <c r="N23" s="50">
        <v>0</v>
      </c>
      <c r="O23" s="15">
        <f t="shared" si="0"/>
        <v>9</v>
      </c>
      <c r="P23" s="15">
        <f t="shared" si="1"/>
        <v>31</v>
      </c>
      <c r="R23" s="38" t="s">
        <v>91</v>
      </c>
      <c r="S23" s="39">
        <f>MAX(S13:S18)</f>
        <v>39</v>
      </c>
      <c r="T23" s="39">
        <f t="shared" ref="T23:AF23" si="15">MAX(T13:T18)</f>
        <v>11</v>
      </c>
      <c r="U23" s="39">
        <f t="shared" si="15"/>
        <v>8</v>
      </c>
      <c r="V23" s="39">
        <f t="shared" si="15"/>
        <v>13</v>
      </c>
      <c r="W23" s="39">
        <f t="shared" si="15"/>
        <v>1</v>
      </c>
      <c r="X23" s="39">
        <f t="shared" si="15"/>
        <v>0</v>
      </c>
      <c r="Y23" s="39">
        <f t="shared" si="15"/>
        <v>21</v>
      </c>
      <c r="Z23" s="39">
        <f t="shared" si="15"/>
        <v>5</v>
      </c>
      <c r="AA23" s="39">
        <f t="shared" si="15"/>
        <v>2</v>
      </c>
      <c r="AB23" s="39">
        <f t="shared" si="15"/>
        <v>1</v>
      </c>
      <c r="AC23" s="39">
        <f t="shared" si="15"/>
        <v>162</v>
      </c>
      <c r="AD23" s="39">
        <f t="shared" si="15"/>
        <v>0</v>
      </c>
      <c r="AE23" s="40">
        <f t="shared" si="15"/>
        <v>84</v>
      </c>
      <c r="AF23" s="40">
        <f t="shared" si="15"/>
        <v>236</v>
      </c>
    </row>
    <row r="24" spans="2:32" ht="23.1" customHeight="1" x14ac:dyDescent="0.25">
      <c r="B24" s="23" t="s">
        <v>51</v>
      </c>
      <c r="C24" s="50">
        <v>9</v>
      </c>
      <c r="D24" s="50">
        <v>0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28</v>
      </c>
      <c r="N24" s="50">
        <v>0</v>
      </c>
      <c r="O24" s="15">
        <f t="shared" si="0"/>
        <v>16</v>
      </c>
      <c r="P24" s="15">
        <f t="shared" si="1"/>
        <v>44</v>
      </c>
      <c r="R24" s="38" t="s">
        <v>92</v>
      </c>
      <c r="S24" s="39">
        <f>MAX(S19:S21)</f>
        <v>95</v>
      </c>
      <c r="T24" s="39">
        <f t="shared" ref="T24:AF24" si="16">MAX(T19:T21)</f>
        <v>10</v>
      </c>
      <c r="U24" s="39">
        <f t="shared" si="16"/>
        <v>15</v>
      </c>
      <c r="V24" s="39">
        <f t="shared" si="16"/>
        <v>34</v>
      </c>
      <c r="W24" s="39">
        <f t="shared" si="16"/>
        <v>2</v>
      </c>
      <c r="X24" s="39">
        <f t="shared" si="16"/>
        <v>0</v>
      </c>
      <c r="Y24" s="39">
        <f t="shared" si="16"/>
        <v>20</v>
      </c>
      <c r="Z24" s="39">
        <f t="shared" si="16"/>
        <v>2</v>
      </c>
      <c r="AA24" s="39">
        <f t="shared" si="16"/>
        <v>4</v>
      </c>
      <c r="AB24" s="39">
        <f t="shared" si="16"/>
        <v>0</v>
      </c>
      <c r="AC24" s="39">
        <f t="shared" si="16"/>
        <v>190</v>
      </c>
      <c r="AD24" s="39">
        <f t="shared" si="16"/>
        <v>0</v>
      </c>
      <c r="AE24" s="40">
        <f t="shared" si="16"/>
        <v>170</v>
      </c>
      <c r="AF24" s="40">
        <f t="shared" si="16"/>
        <v>360</v>
      </c>
    </row>
    <row r="25" spans="2:32" ht="23.1" customHeight="1" x14ac:dyDescent="0.25">
      <c r="B25" s="23" t="s">
        <v>52</v>
      </c>
      <c r="C25" s="50">
        <v>14</v>
      </c>
      <c r="D25" s="50">
        <v>0</v>
      </c>
      <c r="E25" s="50">
        <v>3</v>
      </c>
      <c r="F25" s="50">
        <v>2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40</v>
      </c>
      <c r="N25" s="50">
        <v>0</v>
      </c>
      <c r="O25" s="15">
        <f t="shared" si="0"/>
        <v>21</v>
      </c>
      <c r="P25" s="15">
        <f t="shared" si="1"/>
        <v>61</v>
      </c>
      <c r="R25" s="37" t="s">
        <v>85</v>
      </c>
      <c r="S25" s="35">
        <f t="shared" ref="S25:AF25" si="17">SUM(S10:S12)</f>
        <v>193</v>
      </c>
      <c r="T25" s="16">
        <f t="shared" si="17"/>
        <v>19</v>
      </c>
      <c r="U25" s="16">
        <f t="shared" si="17"/>
        <v>22</v>
      </c>
      <c r="V25" s="16">
        <f t="shared" si="17"/>
        <v>29</v>
      </c>
      <c r="W25" s="16">
        <f t="shared" si="17"/>
        <v>3</v>
      </c>
      <c r="X25" s="16">
        <f t="shared" si="17"/>
        <v>1</v>
      </c>
      <c r="Y25" s="16">
        <f t="shared" si="17"/>
        <v>29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541</v>
      </c>
      <c r="AD25" s="16">
        <f t="shared" si="17"/>
        <v>0</v>
      </c>
      <c r="AE25" s="32">
        <f t="shared" si="17"/>
        <v>297</v>
      </c>
      <c r="AF25" s="32">
        <f t="shared" si="17"/>
        <v>838</v>
      </c>
    </row>
    <row r="26" spans="2:32" ht="23.1" customHeight="1" x14ac:dyDescent="0.25">
      <c r="B26" s="23" t="s">
        <v>53</v>
      </c>
      <c r="C26" s="50">
        <v>6</v>
      </c>
      <c r="D26" s="50">
        <v>2</v>
      </c>
      <c r="E26" s="50">
        <v>1</v>
      </c>
      <c r="F26" s="50">
        <v>1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37</v>
      </c>
      <c r="N26" s="50">
        <v>0</v>
      </c>
      <c r="O26" s="15">
        <f t="shared" si="0"/>
        <v>12</v>
      </c>
      <c r="P26" s="15">
        <f t="shared" si="1"/>
        <v>49</v>
      </c>
      <c r="R26" s="28" t="s">
        <v>86</v>
      </c>
      <c r="S26" s="16">
        <f t="shared" ref="S26:AF26" si="18">SUM(S13:S18)</f>
        <v>200</v>
      </c>
      <c r="T26" s="16">
        <f t="shared" si="18"/>
        <v>36</v>
      </c>
      <c r="U26" s="16">
        <f t="shared" si="18"/>
        <v>24</v>
      </c>
      <c r="V26" s="16">
        <f t="shared" si="18"/>
        <v>45</v>
      </c>
      <c r="W26" s="16">
        <f t="shared" si="18"/>
        <v>1</v>
      </c>
      <c r="X26" s="16">
        <f t="shared" si="18"/>
        <v>0</v>
      </c>
      <c r="Y26" s="16">
        <f t="shared" si="18"/>
        <v>81</v>
      </c>
      <c r="Z26" s="16">
        <f t="shared" si="18"/>
        <v>19</v>
      </c>
      <c r="AA26" s="16">
        <f t="shared" si="18"/>
        <v>6</v>
      </c>
      <c r="AB26" s="16">
        <f t="shared" si="18"/>
        <v>1</v>
      </c>
      <c r="AC26" s="16">
        <f t="shared" si="18"/>
        <v>903</v>
      </c>
      <c r="AD26" s="16">
        <f t="shared" si="18"/>
        <v>0</v>
      </c>
      <c r="AE26" s="32">
        <f t="shared" si="18"/>
        <v>413</v>
      </c>
      <c r="AF26" s="32">
        <f t="shared" si="18"/>
        <v>1316</v>
      </c>
    </row>
    <row r="27" spans="2:32" ht="23.1" customHeight="1" x14ac:dyDescent="0.25">
      <c r="B27" s="23" t="s">
        <v>54</v>
      </c>
      <c r="C27" s="50">
        <v>8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2</v>
      </c>
      <c r="K27" s="50">
        <v>1</v>
      </c>
      <c r="L27" s="50">
        <v>0</v>
      </c>
      <c r="M27" s="50">
        <v>32</v>
      </c>
      <c r="N27" s="50">
        <v>0</v>
      </c>
      <c r="O27" s="15">
        <f t="shared" si="0"/>
        <v>13</v>
      </c>
      <c r="P27" s="15">
        <f t="shared" si="1"/>
        <v>45</v>
      </c>
      <c r="R27" s="29" t="s">
        <v>87</v>
      </c>
      <c r="S27" s="16">
        <f t="shared" ref="S27:AF27" si="19">SUM(S19:S21)</f>
        <v>194</v>
      </c>
      <c r="T27" s="16">
        <f t="shared" si="19"/>
        <v>22</v>
      </c>
      <c r="U27" s="16">
        <f t="shared" si="19"/>
        <v>32</v>
      </c>
      <c r="V27" s="16">
        <f t="shared" si="19"/>
        <v>62</v>
      </c>
      <c r="W27" s="16">
        <f t="shared" si="19"/>
        <v>3</v>
      </c>
      <c r="X27" s="16">
        <f t="shared" si="19"/>
        <v>0</v>
      </c>
      <c r="Y27" s="16">
        <f t="shared" si="19"/>
        <v>48</v>
      </c>
      <c r="Z27" s="16">
        <f t="shared" si="19"/>
        <v>6</v>
      </c>
      <c r="AA27" s="16">
        <f t="shared" si="19"/>
        <v>4</v>
      </c>
      <c r="AB27" s="16">
        <f t="shared" si="19"/>
        <v>0</v>
      </c>
      <c r="AC27" s="16">
        <f t="shared" si="19"/>
        <v>480</v>
      </c>
      <c r="AD27" s="16">
        <f t="shared" si="19"/>
        <v>0</v>
      </c>
      <c r="AE27" s="32">
        <f t="shared" si="19"/>
        <v>371</v>
      </c>
      <c r="AF27" s="32">
        <f t="shared" si="19"/>
        <v>851</v>
      </c>
    </row>
    <row r="28" spans="2:32" ht="23.1" customHeight="1" x14ac:dyDescent="0.25">
      <c r="B28" s="23" t="s">
        <v>55</v>
      </c>
      <c r="C28" s="50">
        <v>10</v>
      </c>
      <c r="D28" s="50">
        <v>1</v>
      </c>
      <c r="E28" s="50">
        <v>1</v>
      </c>
      <c r="F28" s="50">
        <v>3</v>
      </c>
      <c r="G28" s="50">
        <v>0</v>
      </c>
      <c r="H28" s="50">
        <v>0</v>
      </c>
      <c r="I28" s="50">
        <v>2</v>
      </c>
      <c r="J28" s="50">
        <v>0</v>
      </c>
      <c r="K28" s="50">
        <v>1</v>
      </c>
      <c r="L28" s="50">
        <v>0</v>
      </c>
      <c r="M28" s="50">
        <v>44</v>
      </c>
      <c r="N28" s="50">
        <v>0</v>
      </c>
      <c r="O28" s="15">
        <f t="shared" si="0"/>
        <v>18</v>
      </c>
      <c r="P28" s="15">
        <f t="shared" si="1"/>
        <v>62</v>
      </c>
      <c r="R28" s="5" t="s">
        <v>17</v>
      </c>
      <c r="S28" s="16">
        <f t="shared" ref="S28:AF28" si="20">SUM(S10:S21)</f>
        <v>587</v>
      </c>
      <c r="T28" s="16">
        <f t="shared" si="20"/>
        <v>77</v>
      </c>
      <c r="U28" s="16">
        <f t="shared" si="20"/>
        <v>78</v>
      </c>
      <c r="V28" s="16">
        <f t="shared" si="20"/>
        <v>136</v>
      </c>
      <c r="W28" s="16">
        <f t="shared" si="20"/>
        <v>7</v>
      </c>
      <c r="X28" s="16">
        <f t="shared" si="20"/>
        <v>1</v>
      </c>
      <c r="Y28" s="16">
        <f t="shared" si="20"/>
        <v>158</v>
      </c>
      <c r="Z28" s="16">
        <f t="shared" si="20"/>
        <v>26</v>
      </c>
      <c r="AA28" s="16">
        <f t="shared" si="20"/>
        <v>10</v>
      </c>
      <c r="AB28" s="16">
        <f t="shared" si="20"/>
        <v>1</v>
      </c>
      <c r="AC28" s="16">
        <f t="shared" si="20"/>
        <v>1924</v>
      </c>
      <c r="AD28" s="16">
        <f t="shared" si="20"/>
        <v>0</v>
      </c>
      <c r="AE28" s="32">
        <f t="shared" si="20"/>
        <v>1081</v>
      </c>
      <c r="AF28" s="32">
        <f t="shared" si="20"/>
        <v>3005</v>
      </c>
    </row>
    <row r="29" spans="2:32" ht="23.1" customHeight="1" x14ac:dyDescent="0.25">
      <c r="B29" s="23" t="s">
        <v>56</v>
      </c>
      <c r="C29" s="50">
        <v>9</v>
      </c>
      <c r="D29" s="50">
        <v>1</v>
      </c>
      <c r="E29" s="50">
        <v>0</v>
      </c>
      <c r="F29" s="50">
        <v>1</v>
      </c>
      <c r="G29" s="50">
        <v>0</v>
      </c>
      <c r="H29" s="50">
        <v>0</v>
      </c>
      <c r="I29" s="50">
        <v>6</v>
      </c>
      <c r="J29" s="50">
        <v>0</v>
      </c>
      <c r="K29" s="50">
        <v>0</v>
      </c>
      <c r="L29" s="50">
        <v>0</v>
      </c>
      <c r="M29" s="50">
        <v>33</v>
      </c>
      <c r="N29" s="50">
        <v>0</v>
      </c>
      <c r="O29" s="15">
        <f t="shared" si="0"/>
        <v>17</v>
      </c>
      <c r="P29" s="15">
        <f t="shared" si="1"/>
        <v>50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1</v>
      </c>
      <c r="E30" s="50">
        <v>0</v>
      </c>
      <c r="F30" s="50">
        <v>1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42</v>
      </c>
      <c r="N30" s="50">
        <v>0</v>
      </c>
      <c r="O30" s="15">
        <f t="shared" si="0"/>
        <v>15</v>
      </c>
      <c r="P30" s="15">
        <f t="shared" si="1"/>
        <v>57</v>
      </c>
    </row>
    <row r="31" spans="2:32" ht="23.1" customHeight="1" x14ac:dyDescent="0.25">
      <c r="B31" s="24" t="s">
        <v>58</v>
      </c>
      <c r="C31" s="50">
        <v>12</v>
      </c>
      <c r="D31" s="50">
        <v>0</v>
      </c>
      <c r="E31" s="50">
        <v>1</v>
      </c>
      <c r="F31" s="50">
        <v>2</v>
      </c>
      <c r="G31" s="50">
        <v>1</v>
      </c>
      <c r="H31" s="50">
        <v>0</v>
      </c>
      <c r="I31" s="50">
        <v>6</v>
      </c>
      <c r="J31" s="50">
        <v>1</v>
      </c>
      <c r="K31" s="50">
        <v>0</v>
      </c>
      <c r="L31" s="50">
        <v>0</v>
      </c>
      <c r="M31" s="50">
        <v>51</v>
      </c>
      <c r="N31" s="50">
        <v>0</v>
      </c>
      <c r="O31" s="15">
        <f t="shared" si="0"/>
        <v>23</v>
      </c>
      <c r="P31" s="15">
        <f t="shared" si="1"/>
        <v>74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0</v>
      </c>
      <c r="M32" s="50">
        <v>22</v>
      </c>
      <c r="N32" s="50">
        <v>0</v>
      </c>
      <c r="O32" s="15">
        <f t="shared" si="0"/>
        <v>5</v>
      </c>
      <c r="P32" s="15">
        <f t="shared" si="1"/>
        <v>27</v>
      </c>
    </row>
    <row r="33" spans="2:20" ht="23.1" customHeight="1" x14ac:dyDescent="0.25">
      <c r="B33" s="23" t="s">
        <v>60</v>
      </c>
      <c r="C33" s="50">
        <v>6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4</v>
      </c>
      <c r="J33" s="50">
        <v>1</v>
      </c>
      <c r="K33" s="50">
        <v>0</v>
      </c>
      <c r="L33" s="50">
        <v>0</v>
      </c>
      <c r="M33" s="50">
        <v>34</v>
      </c>
      <c r="N33" s="50">
        <v>0</v>
      </c>
      <c r="O33" s="15">
        <f t="shared" si="0"/>
        <v>12</v>
      </c>
      <c r="P33" s="15">
        <f t="shared" si="1"/>
        <v>46</v>
      </c>
    </row>
    <row r="34" spans="2:20" ht="23.1" customHeight="1" x14ac:dyDescent="0.25">
      <c r="B34" s="24" t="s">
        <v>61</v>
      </c>
      <c r="C34" s="50">
        <v>11</v>
      </c>
      <c r="D34" s="50">
        <v>2</v>
      </c>
      <c r="E34" s="50">
        <v>1</v>
      </c>
      <c r="F34" s="50">
        <v>2</v>
      </c>
      <c r="G34" s="50">
        <v>0</v>
      </c>
      <c r="H34" s="50">
        <v>0</v>
      </c>
      <c r="I34" s="50">
        <v>6</v>
      </c>
      <c r="J34" s="50">
        <v>0</v>
      </c>
      <c r="K34" s="50">
        <v>2</v>
      </c>
      <c r="L34" s="50">
        <v>0</v>
      </c>
      <c r="M34" s="50">
        <v>43</v>
      </c>
      <c r="N34" s="50">
        <v>0</v>
      </c>
      <c r="O34" s="15">
        <f t="shared" si="0"/>
        <v>24</v>
      </c>
      <c r="P34" s="15">
        <f t="shared" si="1"/>
        <v>67</v>
      </c>
    </row>
    <row r="35" spans="2:20" ht="23.1" customHeight="1" x14ac:dyDescent="0.25">
      <c r="B35" s="24" t="s">
        <v>62</v>
      </c>
      <c r="C35" s="50">
        <v>6</v>
      </c>
      <c r="D35" s="50">
        <v>2</v>
      </c>
      <c r="E35" s="50">
        <v>2</v>
      </c>
      <c r="F35" s="50">
        <v>1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0</v>
      </c>
      <c r="M35" s="50">
        <v>47</v>
      </c>
      <c r="N35" s="50">
        <v>0</v>
      </c>
      <c r="O35" s="15">
        <f t="shared" si="0"/>
        <v>15</v>
      </c>
      <c r="P35" s="15">
        <f t="shared" si="1"/>
        <v>62</v>
      </c>
    </row>
    <row r="36" spans="2:20" ht="23.1" customHeight="1" x14ac:dyDescent="0.25">
      <c r="B36" s="24" t="s">
        <v>63</v>
      </c>
      <c r="C36" s="50">
        <v>5</v>
      </c>
      <c r="D36" s="50">
        <v>1</v>
      </c>
      <c r="E36" s="50">
        <v>1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11</v>
      </c>
      <c r="P36" s="15">
        <f t="shared" si="1"/>
        <v>51</v>
      </c>
    </row>
    <row r="37" spans="2:20" ht="23.1" customHeight="1" x14ac:dyDescent="0.25">
      <c r="B37" s="23" t="s">
        <v>64</v>
      </c>
      <c r="C37" s="50">
        <v>7</v>
      </c>
      <c r="D37" s="50">
        <v>6</v>
      </c>
      <c r="E37" s="50">
        <v>2</v>
      </c>
      <c r="F37" s="50">
        <v>3</v>
      </c>
      <c r="G37" s="50">
        <v>0</v>
      </c>
      <c r="H37" s="50">
        <v>0</v>
      </c>
      <c r="I37" s="50">
        <v>5</v>
      </c>
      <c r="J37" s="50">
        <v>1</v>
      </c>
      <c r="K37" s="50">
        <v>0</v>
      </c>
      <c r="L37" s="50">
        <v>0</v>
      </c>
      <c r="M37" s="50">
        <v>32</v>
      </c>
      <c r="N37" s="50"/>
      <c r="O37" s="15">
        <f t="shared" si="0"/>
        <v>24</v>
      </c>
      <c r="P37" s="15">
        <f t="shared" si="1"/>
        <v>56</v>
      </c>
    </row>
    <row r="38" spans="2:20" ht="23.1" customHeight="1" x14ac:dyDescent="0.25">
      <c r="B38" s="24" t="s">
        <v>65</v>
      </c>
      <c r="C38" s="50">
        <v>10</v>
      </c>
      <c r="D38" s="50">
        <v>5</v>
      </c>
      <c r="E38" s="50">
        <v>0</v>
      </c>
      <c r="F38" s="50">
        <v>3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31</v>
      </c>
      <c r="N38" s="50">
        <v>0</v>
      </c>
      <c r="O38" s="15">
        <f t="shared" si="0"/>
        <v>20</v>
      </c>
      <c r="P38" s="15">
        <f t="shared" si="1"/>
        <v>51</v>
      </c>
    </row>
    <row r="39" spans="2:20" ht="23.1" customHeight="1" x14ac:dyDescent="0.25">
      <c r="B39" s="24" t="s">
        <v>66</v>
      </c>
      <c r="C39" s="50">
        <v>9</v>
      </c>
      <c r="D39" s="50">
        <v>0</v>
      </c>
      <c r="E39" s="50">
        <v>1</v>
      </c>
      <c r="F39" s="50">
        <v>2</v>
      </c>
      <c r="G39" s="50">
        <v>0</v>
      </c>
      <c r="H39" s="50">
        <v>0</v>
      </c>
      <c r="I39" s="50">
        <v>8</v>
      </c>
      <c r="J39" s="50">
        <v>2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22</v>
      </c>
      <c r="P39" s="15">
        <f t="shared" si="1"/>
        <v>57</v>
      </c>
    </row>
    <row r="40" spans="2:20" ht="23.1" customHeight="1" x14ac:dyDescent="0.25">
      <c r="B40" s="24" t="s">
        <v>67</v>
      </c>
      <c r="C40" s="50">
        <v>7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4</v>
      </c>
      <c r="J40" s="50">
        <v>1</v>
      </c>
      <c r="K40" s="50">
        <v>0</v>
      </c>
      <c r="L40" s="50">
        <v>0</v>
      </c>
      <c r="M40" s="50">
        <v>35</v>
      </c>
      <c r="N40" s="50">
        <v>0</v>
      </c>
      <c r="O40" s="15">
        <f t="shared" si="0"/>
        <v>15</v>
      </c>
      <c r="P40" s="15">
        <f t="shared" si="1"/>
        <v>50</v>
      </c>
    </row>
    <row r="41" spans="2:20" ht="23.1" customHeight="1" x14ac:dyDescent="0.25">
      <c r="B41" s="23" t="s">
        <v>68</v>
      </c>
      <c r="C41" s="50">
        <v>7</v>
      </c>
      <c r="D41" s="50">
        <v>3</v>
      </c>
      <c r="E41" s="50">
        <v>1</v>
      </c>
      <c r="F41" s="50">
        <v>1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47</v>
      </c>
      <c r="N41" s="50">
        <v>0</v>
      </c>
      <c r="O41" s="15">
        <f t="shared" si="0"/>
        <v>14</v>
      </c>
      <c r="P41" s="15">
        <f t="shared" si="1"/>
        <v>61</v>
      </c>
    </row>
    <row r="42" spans="2:20" ht="23.1" customHeight="1" x14ac:dyDescent="0.25">
      <c r="B42" s="24" t="s">
        <v>69</v>
      </c>
      <c r="C42" s="50">
        <v>8</v>
      </c>
      <c r="D42" s="50">
        <v>3</v>
      </c>
      <c r="E42" s="50">
        <v>1</v>
      </c>
      <c r="F42" s="50">
        <v>3</v>
      </c>
      <c r="G42" s="50">
        <v>0</v>
      </c>
      <c r="H42" s="50">
        <v>0</v>
      </c>
      <c r="I42" s="50">
        <v>5</v>
      </c>
      <c r="J42" s="50">
        <v>1</v>
      </c>
      <c r="K42" s="50">
        <v>0</v>
      </c>
      <c r="L42" s="50">
        <v>0</v>
      </c>
      <c r="M42" s="50">
        <v>32</v>
      </c>
      <c r="N42" s="50">
        <v>0</v>
      </c>
      <c r="O42" s="15">
        <f t="shared" si="0"/>
        <v>21</v>
      </c>
      <c r="P42" s="15">
        <f t="shared" si="1"/>
        <v>53</v>
      </c>
    </row>
    <row r="43" spans="2:20" ht="23.1" customHeight="1" x14ac:dyDescent="0.25">
      <c r="B43" s="23" t="s">
        <v>70</v>
      </c>
      <c r="C43" s="50">
        <v>8</v>
      </c>
      <c r="D43" s="50">
        <v>0</v>
      </c>
      <c r="E43" s="50">
        <v>0</v>
      </c>
      <c r="F43" s="50">
        <v>2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0</v>
      </c>
      <c r="M43" s="50">
        <v>38</v>
      </c>
      <c r="N43" s="50">
        <v>0</v>
      </c>
      <c r="O43" s="15">
        <f t="shared" si="0"/>
        <v>13</v>
      </c>
      <c r="P43" s="15">
        <f t="shared" si="1"/>
        <v>51</v>
      </c>
    </row>
    <row r="44" spans="2:20" ht="23.1" customHeight="1" x14ac:dyDescent="0.25">
      <c r="B44" s="25" t="s">
        <v>71</v>
      </c>
      <c r="C44" s="50">
        <v>10</v>
      </c>
      <c r="D44" s="50">
        <v>2</v>
      </c>
      <c r="E44" s="50">
        <v>1</v>
      </c>
      <c r="F44" s="50">
        <v>4</v>
      </c>
      <c r="G44" s="50">
        <v>0</v>
      </c>
      <c r="H44" s="50">
        <v>0</v>
      </c>
      <c r="I44" s="50">
        <v>6</v>
      </c>
      <c r="J44" s="50">
        <v>2</v>
      </c>
      <c r="K44" s="50">
        <v>0</v>
      </c>
      <c r="L44" s="50">
        <v>0</v>
      </c>
      <c r="M44" s="50">
        <v>37</v>
      </c>
      <c r="N44" s="50">
        <v>0</v>
      </c>
      <c r="O44" s="15">
        <f t="shared" si="0"/>
        <v>25</v>
      </c>
      <c r="P44" s="15">
        <f t="shared" si="1"/>
        <v>62</v>
      </c>
    </row>
    <row r="45" spans="2:20" ht="23.1" customHeight="1" x14ac:dyDescent="0.25">
      <c r="B45" s="23" t="s">
        <v>72</v>
      </c>
      <c r="C45" s="50">
        <v>12</v>
      </c>
      <c r="D45" s="50">
        <v>0</v>
      </c>
      <c r="E45" s="50">
        <v>0</v>
      </c>
      <c r="F45" s="50">
        <v>4</v>
      </c>
      <c r="G45" s="50">
        <v>0</v>
      </c>
      <c r="H45" s="50">
        <v>0</v>
      </c>
      <c r="I45" s="50">
        <v>8</v>
      </c>
      <c r="J45" s="50">
        <v>0</v>
      </c>
      <c r="K45" s="50">
        <v>1</v>
      </c>
      <c r="L45" s="50">
        <v>0</v>
      </c>
      <c r="M45" s="50">
        <v>45</v>
      </c>
      <c r="N45" s="50">
        <v>0</v>
      </c>
      <c r="O45" s="15">
        <f t="shared" si="0"/>
        <v>25</v>
      </c>
      <c r="P45" s="15">
        <f t="shared" si="1"/>
        <v>70</v>
      </c>
    </row>
    <row r="46" spans="2:20" ht="23.1" customHeight="1" x14ac:dyDescent="0.25">
      <c r="B46" s="24" t="s">
        <v>73</v>
      </c>
      <c r="C46" s="50">
        <v>11</v>
      </c>
      <c r="D46" s="50">
        <v>2</v>
      </c>
      <c r="E46" s="50">
        <v>1</v>
      </c>
      <c r="F46" s="50">
        <v>5</v>
      </c>
      <c r="G46" s="50">
        <v>0</v>
      </c>
      <c r="H46" s="50">
        <v>0</v>
      </c>
      <c r="I46" s="50">
        <v>2</v>
      </c>
      <c r="J46" s="50">
        <v>1</v>
      </c>
      <c r="K46" s="50">
        <v>1</v>
      </c>
      <c r="L46" s="50">
        <v>0</v>
      </c>
      <c r="M46" s="50">
        <v>36</v>
      </c>
      <c r="N46" s="50">
        <v>0</v>
      </c>
      <c r="O46" s="15">
        <f t="shared" si="0"/>
        <v>23</v>
      </c>
      <c r="P46" s="15">
        <f t="shared" si="1"/>
        <v>59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2</v>
      </c>
      <c r="E47" s="50">
        <v>1</v>
      </c>
      <c r="F47" s="50">
        <v>4</v>
      </c>
      <c r="G47" s="50">
        <v>1</v>
      </c>
      <c r="H47" s="50">
        <v>0</v>
      </c>
      <c r="I47" s="50">
        <v>5</v>
      </c>
      <c r="J47" s="50">
        <v>1</v>
      </c>
      <c r="K47" s="50">
        <v>2</v>
      </c>
      <c r="L47" s="50">
        <v>0</v>
      </c>
      <c r="M47" s="50">
        <v>26</v>
      </c>
      <c r="N47" s="50">
        <v>0</v>
      </c>
      <c r="O47" s="15">
        <f t="shared" si="0"/>
        <v>26</v>
      </c>
      <c r="P47" s="15">
        <f t="shared" si="1"/>
        <v>52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4</v>
      </c>
      <c r="E48" s="50">
        <v>1</v>
      </c>
      <c r="F48" s="50">
        <v>0</v>
      </c>
      <c r="G48" s="50">
        <v>0</v>
      </c>
      <c r="H48" s="50">
        <v>0</v>
      </c>
      <c r="I48" s="50">
        <v>8</v>
      </c>
      <c r="J48" s="50">
        <v>0</v>
      </c>
      <c r="K48" s="50">
        <v>1</v>
      </c>
      <c r="L48" s="50">
        <v>0</v>
      </c>
      <c r="M48" s="50">
        <v>29</v>
      </c>
      <c r="N48" s="50">
        <v>0</v>
      </c>
      <c r="O48" s="15">
        <f t="shared" si="0"/>
        <v>28</v>
      </c>
      <c r="P48" s="15">
        <f t="shared" si="1"/>
        <v>57</v>
      </c>
      <c r="R48" s="8"/>
      <c r="T48"/>
    </row>
    <row r="49" spans="2:20" ht="23.1" customHeight="1" x14ac:dyDescent="0.25">
      <c r="B49" s="23" t="s">
        <v>76</v>
      </c>
      <c r="C49" s="50">
        <v>22</v>
      </c>
      <c r="D49" s="50">
        <v>1</v>
      </c>
      <c r="E49" s="50">
        <v>2</v>
      </c>
      <c r="F49" s="50">
        <v>4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48</v>
      </c>
      <c r="N49" s="50">
        <v>0</v>
      </c>
      <c r="O49" s="15">
        <f t="shared" si="0"/>
        <v>34</v>
      </c>
      <c r="P49" s="15">
        <f t="shared" si="1"/>
        <v>82</v>
      </c>
      <c r="R49" s="8"/>
      <c r="T49"/>
    </row>
    <row r="50" spans="2:20" ht="23.1" customHeight="1" x14ac:dyDescent="0.25">
      <c r="B50" s="24" t="s">
        <v>77</v>
      </c>
      <c r="C50" s="50">
        <v>11</v>
      </c>
      <c r="D50" s="50">
        <v>1</v>
      </c>
      <c r="E50" s="50">
        <v>2</v>
      </c>
      <c r="F50" s="50">
        <v>6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39</v>
      </c>
      <c r="N50" s="50">
        <v>0</v>
      </c>
      <c r="O50" s="15">
        <f t="shared" si="0"/>
        <v>25</v>
      </c>
      <c r="P50" s="15">
        <f t="shared" si="1"/>
        <v>64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2</v>
      </c>
      <c r="E51" s="50">
        <v>3</v>
      </c>
      <c r="F51" s="50">
        <v>3</v>
      </c>
      <c r="G51" s="50">
        <v>0</v>
      </c>
      <c r="H51" s="50">
        <v>0</v>
      </c>
      <c r="I51" s="50">
        <v>5</v>
      </c>
      <c r="J51" s="50">
        <v>0</v>
      </c>
      <c r="K51" s="50">
        <v>0</v>
      </c>
      <c r="L51" s="50">
        <v>0</v>
      </c>
      <c r="M51" s="50">
        <v>40</v>
      </c>
      <c r="N51" s="50">
        <v>0</v>
      </c>
      <c r="O51" s="15">
        <f t="shared" si="0"/>
        <v>23</v>
      </c>
      <c r="P51" s="15">
        <f t="shared" si="1"/>
        <v>63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0</v>
      </c>
      <c r="E52" s="50">
        <v>6</v>
      </c>
      <c r="F52" s="50">
        <v>4</v>
      </c>
      <c r="G52" s="50">
        <v>0</v>
      </c>
      <c r="H52" s="50">
        <v>0</v>
      </c>
      <c r="I52" s="50">
        <v>5</v>
      </c>
      <c r="J52" s="50">
        <v>1</v>
      </c>
      <c r="K52" s="50">
        <v>0</v>
      </c>
      <c r="L52" s="50">
        <v>0</v>
      </c>
      <c r="M52" s="50">
        <v>50</v>
      </c>
      <c r="N52" s="50">
        <v>0</v>
      </c>
      <c r="O52" s="15">
        <f t="shared" si="0"/>
        <v>31</v>
      </c>
      <c r="P52" s="15">
        <f t="shared" si="1"/>
        <v>81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11</v>
      </c>
      <c r="P53" s="15">
        <f t="shared" si="1"/>
        <v>33</v>
      </c>
      <c r="R53" s="8"/>
      <c r="T53"/>
    </row>
    <row r="54" spans="2:20" ht="23.1" customHeight="1" x14ac:dyDescent="0.25">
      <c r="B54" s="23" t="s">
        <v>81</v>
      </c>
      <c r="C54" s="50">
        <v>41</v>
      </c>
      <c r="D54" s="50">
        <v>1</v>
      </c>
      <c r="E54" s="50">
        <v>2</v>
      </c>
      <c r="F54" s="50">
        <v>11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61</v>
      </c>
      <c r="N54" s="50">
        <v>0</v>
      </c>
      <c r="O54" s="15">
        <f t="shared" si="0"/>
        <v>57</v>
      </c>
      <c r="P54" s="15">
        <f t="shared" si="1"/>
        <v>118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3</v>
      </c>
      <c r="E55" s="50">
        <v>4</v>
      </c>
      <c r="F55" s="50">
        <v>8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35</v>
      </c>
      <c r="N55" s="50">
        <v>0</v>
      </c>
      <c r="O55" s="15">
        <f t="shared" si="0"/>
        <v>34</v>
      </c>
      <c r="P55" s="15">
        <f t="shared" si="1"/>
        <v>69</v>
      </c>
      <c r="R55" s="8"/>
      <c r="T55"/>
    </row>
    <row r="56" spans="2:20" ht="23.1" customHeight="1" x14ac:dyDescent="0.25">
      <c r="B56" s="23" t="s">
        <v>83</v>
      </c>
      <c r="C56" s="50">
        <v>24</v>
      </c>
      <c r="D56" s="50">
        <v>4</v>
      </c>
      <c r="E56" s="50">
        <v>4</v>
      </c>
      <c r="F56" s="50">
        <v>12</v>
      </c>
      <c r="G56" s="50">
        <v>1</v>
      </c>
      <c r="H56" s="50">
        <v>0</v>
      </c>
      <c r="I56" s="50">
        <v>4</v>
      </c>
      <c r="J56" s="50">
        <v>1</v>
      </c>
      <c r="K56" s="50">
        <v>0</v>
      </c>
      <c r="L56" s="50">
        <v>0</v>
      </c>
      <c r="M56" s="50">
        <v>45</v>
      </c>
      <c r="N56" s="50">
        <v>0</v>
      </c>
      <c r="O56" s="15">
        <f t="shared" si="0"/>
        <v>50</v>
      </c>
      <c r="P56" s="15">
        <f t="shared" si="1"/>
        <v>95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2</v>
      </c>
      <c r="E57" s="50">
        <v>5</v>
      </c>
      <c r="F57" s="50">
        <v>3</v>
      </c>
      <c r="G57" s="50">
        <v>1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49</v>
      </c>
      <c r="N57" s="50">
        <v>0</v>
      </c>
      <c r="O57" s="15">
        <f t="shared" si="0"/>
        <v>29</v>
      </c>
      <c r="P57" s="15">
        <f t="shared" si="1"/>
        <v>78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587</v>
      </c>
      <c r="D58" s="16">
        <f t="shared" si="21"/>
        <v>77</v>
      </c>
      <c r="E58" s="16">
        <f t="shared" si="21"/>
        <v>78</v>
      </c>
      <c r="F58" s="16">
        <f t="shared" si="21"/>
        <v>136</v>
      </c>
      <c r="G58" s="16">
        <f t="shared" si="21"/>
        <v>7</v>
      </c>
      <c r="H58" s="16">
        <f t="shared" si="21"/>
        <v>1</v>
      </c>
      <c r="I58" s="16">
        <f t="shared" si="21"/>
        <v>158</v>
      </c>
      <c r="J58" s="16">
        <f t="shared" si="21"/>
        <v>26</v>
      </c>
      <c r="K58" s="16">
        <f t="shared" si="21"/>
        <v>10</v>
      </c>
      <c r="L58" s="16">
        <f t="shared" si="21"/>
        <v>1</v>
      </c>
      <c r="M58" s="16">
        <f t="shared" si="21"/>
        <v>1924</v>
      </c>
      <c r="N58" s="16">
        <f t="shared" si="21"/>
        <v>0</v>
      </c>
      <c r="O58" s="16">
        <f t="shared" si="21"/>
        <v>1081</v>
      </c>
      <c r="P58" s="16">
        <f t="shared" si="21"/>
        <v>3005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0.19534109816971715</v>
      </c>
      <c r="D59" s="43">
        <f t="shared" si="22"/>
        <v>2.5623960066555741E-2</v>
      </c>
      <c r="E59" s="43">
        <f t="shared" si="22"/>
        <v>2.59567387687188E-2</v>
      </c>
      <c r="F59" s="43">
        <f t="shared" si="22"/>
        <v>4.5257903494176376E-2</v>
      </c>
      <c r="G59" s="43">
        <f t="shared" si="22"/>
        <v>2.3294509151414308E-3</v>
      </c>
      <c r="H59" s="43">
        <f t="shared" si="22"/>
        <v>3.3277870216306157E-4</v>
      </c>
      <c r="I59" s="43">
        <f t="shared" si="22"/>
        <v>5.2579034941763726E-2</v>
      </c>
      <c r="J59" s="43">
        <f t="shared" si="22"/>
        <v>8.6522462562396013E-3</v>
      </c>
      <c r="K59" s="43">
        <f t="shared" si="22"/>
        <v>3.3277870216306157E-3</v>
      </c>
      <c r="L59" s="43">
        <f t="shared" si="22"/>
        <v>3.3277870216306157E-4</v>
      </c>
      <c r="M59" s="43">
        <f t="shared" si="22"/>
        <v>0.64026622296173041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0.54301572617946348</v>
      </c>
      <c r="D60" s="44">
        <f t="shared" ref="D60:N60" si="23">D58/$O$58</f>
        <v>7.1230342275670669E-2</v>
      </c>
      <c r="E60" s="44">
        <f t="shared" si="23"/>
        <v>7.2155411655874191E-2</v>
      </c>
      <c r="F60" s="44">
        <f t="shared" si="23"/>
        <v>0.12580943570767808</v>
      </c>
      <c r="G60" s="44">
        <f t="shared" si="23"/>
        <v>6.4754856614246065E-3</v>
      </c>
      <c r="H60" s="44">
        <f t="shared" si="23"/>
        <v>9.2506938020351531E-4</v>
      </c>
      <c r="I60" s="44">
        <f t="shared" si="23"/>
        <v>0.1461609620721554</v>
      </c>
      <c r="J60" s="44">
        <f t="shared" si="23"/>
        <v>2.4051803885291396E-2</v>
      </c>
      <c r="K60" s="44">
        <f t="shared" si="23"/>
        <v>9.2506938020351526E-3</v>
      </c>
      <c r="L60" s="44">
        <f t="shared" si="23"/>
        <v>9.2506938020351531E-4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10" zoomScale="60" workbookViewId="0">
      <selection activeCell="K6" activeCellId="5" sqref="C3:G3 D6:E6 G5:H5 G6:H6 K5:L5 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'23.09- Kasangati-Matuga'!C3:G3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150" t="str">
        <f>'23.09- Kasangati-Matuga'!G5:H5</f>
        <v>Kiiza-besigye road</v>
      </c>
      <c r="H5" s="151"/>
      <c r="I5" s="14"/>
      <c r="J5" s="2" t="s">
        <v>5</v>
      </c>
      <c r="K5" s="150" t="str">
        <f>'23.09- Kasangati-Matuga'!K5:L5</f>
        <v>kivumbi george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tr">
        <f>'23.09- Kasangati-Matuga'!D6:E6</f>
        <v>Kasangati</v>
      </c>
      <c r="E6" s="151"/>
      <c r="F6" s="2" t="s">
        <v>2</v>
      </c>
      <c r="G6" s="150" t="str">
        <f>'23.09- Kasangati-Matuga'!G6:H6</f>
        <v>matugga</v>
      </c>
      <c r="H6" s="151"/>
      <c r="J6" s="2" t="s">
        <v>21</v>
      </c>
      <c r="K6" s="150" t="str">
        <f>'23.09- Kasangati-Matuga'!K6:L6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3</v>
      </c>
      <c r="E10" s="50">
        <v>2</v>
      </c>
      <c r="F10" s="50">
        <v>4</v>
      </c>
      <c r="G10" s="50">
        <v>0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44</v>
      </c>
      <c r="N10" s="50">
        <v>0</v>
      </c>
      <c r="O10" s="15">
        <f t="shared" ref="O10:O57" si="0">SUM(C10:L10,N10)</f>
        <v>23</v>
      </c>
      <c r="P10" s="15">
        <f t="shared" ref="P10:P57" si="1">SUM(C10:N10)</f>
        <v>67</v>
      </c>
      <c r="R10" s="1" t="s">
        <v>6</v>
      </c>
      <c r="S10" s="17">
        <f t="shared" ref="S10:AF10" si="2">SUM(C10:C13)</f>
        <v>38</v>
      </c>
      <c r="T10" s="17">
        <f t="shared" si="2"/>
        <v>13</v>
      </c>
      <c r="U10" s="17">
        <f t="shared" si="2"/>
        <v>7</v>
      </c>
      <c r="V10" s="17">
        <f t="shared" si="2"/>
        <v>15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10</v>
      </c>
      <c r="AA10" s="17">
        <f t="shared" si="2"/>
        <v>0</v>
      </c>
      <c r="AB10" s="17">
        <f t="shared" si="2"/>
        <v>1</v>
      </c>
      <c r="AC10" s="17">
        <f t="shared" si="2"/>
        <v>162</v>
      </c>
      <c r="AD10" s="17">
        <f t="shared" si="2"/>
        <v>0</v>
      </c>
      <c r="AE10" s="31">
        <f t="shared" si="2"/>
        <v>92</v>
      </c>
      <c r="AF10" s="31">
        <f t="shared" si="2"/>
        <v>254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1</v>
      </c>
      <c r="E11" s="50">
        <v>2</v>
      </c>
      <c r="F11" s="50">
        <v>6</v>
      </c>
      <c r="G11" s="50">
        <v>1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30</v>
      </c>
      <c r="N11" s="50">
        <v>0</v>
      </c>
      <c r="O11" s="15">
        <f t="shared" si="0"/>
        <v>23</v>
      </c>
      <c r="P11" s="15">
        <f t="shared" si="1"/>
        <v>53</v>
      </c>
      <c r="R11" s="1" t="s">
        <v>7</v>
      </c>
      <c r="S11" s="17">
        <f t="shared" ref="S11:AF11" si="3">SUM(C14:C17)</f>
        <v>27</v>
      </c>
      <c r="T11" s="17">
        <f t="shared" si="3"/>
        <v>18</v>
      </c>
      <c r="U11" s="17">
        <f t="shared" si="3"/>
        <v>13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185</v>
      </c>
      <c r="AD11" s="17">
        <f t="shared" si="3"/>
        <v>0</v>
      </c>
      <c r="AE11" s="31">
        <f t="shared" si="3"/>
        <v>80</v>
      </c>
      <c r="AF11" s="31">
        <f t="shared" si="3"/>
        <v>265</v>
      </c>
    </row>
    <row r="12" spans="2:32" ht="23.1" customHeight="1" x14ac:dyDescent="0.25">
      <c r="B12" s="23" t="s">
        <v>39</v>
      </c>
      <c r="C12" s="50">
        <v>11</v>
      </c>
      <c r="D12" s="50">
        <v>7</v>
      </c>
      <c r="E12" s="50">
        <v>2</v>
      </c>
      <c r="F12" s="50">
        <v>2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1</v>
      </c>
      <c r="M12" s="50">
        <v>40</v>
      </c>
      <c r="N12" s="50">
        <v>0</v>
      </c>
      <c r="O12" s="15">
        <f t="shared" si="0"/>
        <v>26</v>
      </c>
      <c r="P12" s="15">
        <f t="shared" si="1"/>
        <v>66</v>
      </c>
      <c r="R12" s="1" t="s">
        <v>8</v>
      </c>
      <c r="S12" s="17">
        <f t="shared" ref="S12:AF12" si="4">SUM(C18:C21)</f>
        <v>21</v>
      </c>
      <c r="T12" s="17">
        <f t="shared" si="4"/>
        <v>18</v>
      </c>
      <c r="U12" s="17">
        <f t="shared" si="4"/>
        <v>11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3</v>
      </c>
      <c r="AA12" s="17">
        <f t="shared" si="4"/>
        <v>0</v>
      </c>
      <c r="AB12" s="17">
        <f t="shared" si="4"/>
        <v>1</v>
      </c>
      <c r="AC12" s="17">
        <f t="shared" si="4"/>
        <v>178</v>
      </c>
      <c r="AD12" s="17">
        <f t="shared" si="4"/>
        <v>0</v>
      </c>
      <c r="AE12" s="31">
        <f t="shared" si="4"/>
        <v>69</v>
      </c>
      <c r="AF12" s="31">
        <f t="shared" si="4"/>
        <v>247</v>
      </c>
    </row>
    <row r="13" spans="2:32" ht="23.1" customHeight="1" x14ac:dyDescent="0.25">
      <c r="B13" s="23" t="s">
        <v>40</v>
      </c>
      <c r="C13" s="50">
        <v>7</v>
      </c>
      <c r="D13" s="50">
        <v>2</v>
      </c>
      <c r="E13" s="50">
        <v>1</v>
      </c>
      <c r="F13" s="50">
        <v>3</v>
      </c>
      <c r="G13" s="50">
        <v>0</v>
      </c>
      <c r="H13" s="50">
        <v>0</v>
      </c>
      <c r="I13" s="50">
        <v>2</v>
      </c>
      <c r="J13" s="50">
        <v>5</v>
      </c>
      <c r="K13" s="50">
        <v>0</v>
      </c>
      <c r="L13" s="50">
        <v>0</v>
      </c>
      <c r="M13" s="50">
        <v>48</v>
      </c>
      <c r="N13" s="50">
        <v>0</v>
      </c>
      <c r="O13" s="15">
        <f t="shared" si="0"/>
        <v>20</v>
      </c>
      <c r="P13" s="15">
        <f t="shared" si="1"/>
        <v>68</v>
      </c>
      <c r="R13" s="1" t="s">
        <v>9</v>
      </c>
      <c r="S13" s="17">
        <f t="shared" ref="S13:AF13" si="5">SUM(C22:C25)</f>
        <v>37</v>
      </c>
      <c r="T13" s="17">
        <f t="shared" si="5"/>
        <v>14</v>
      </c>
      <c r="U13" s="17">
        <f t="shared" si="5"/>
        <v>12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4</v>
      </c>
      <c r="AA13" s="17">
        <f t="shared" si="5"/>
        <v>0</v>
      </c>
      <c r="AB13" s="17">
        <f t="shared" si="5"/>
        <v>1</v>
      </c>
      <c r="AC13" s="17">
        <f t="shared" si="5"/>
        <v>128</v>
      </c>
      <c r="AD13" s="17">
        <f t="shared" si="5"/>
        <v>0</v>
      </c>
      <c r="AE13" s="31">
        <f t="shared" si="5"/>
        <v>84</v>
      </c>
      <c r="AF13" s="31">
        <f t="shared" si="5"/>
        <v>212</v>
      </c>
    </row>
    <row r="14" spans="2:32" ht="23.1" customHeight="1" x14ac:dyDescent="0.25">
      <c r="B14" s="23" t="s">
        <v>41</v>
      </c>
      <c r="C14" s="50">
        <v>10</v>
      </c>
      <c r="D14" s="50">
        <v>6</v>
      </c>
      <c r="E14" s="50">
        <v>1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40</v>
      </c>
      <c r="N14" s="50">
        <v>0</v>
      </c>
      <c r="O14" s="15">
        <f t="shared" si="0"/>
        <v>19</v>
      </c>
      <c r="P14" s="15">
        <f t="shared" si="1"/>
        <v>59</v>
      </c>
      <c r="R14" s="1" t="s">
        <v>10</v>
      </c>
      <c r="S14" s="17">
        <f t="shared" ref="S14:AF14" si="6">SUM(C26:C29)</f>
        <v>29</v>
      </c>
      <c r="T14" s="17">
        <f t="shared" si="6"/>
        <v>17</v>
      </c>
      <c r="U14" s="17">
        <f t="shared" si="6"/>
        <v>9</v>
      </c>
      <c r="V14" s="17">
        <f t="shared" si="6"/>
        <v>9</v>
      </c>
      <c r="W14" s="17">
        <f t="shared" si="6"/>
        <v>1</v>
      </c>
      <c r="X14" s="17">
        <f t="shared" si="6"/>
        <v>0</v>
      </c>
      <c r="Y14" s="17">
        <f t="shared" si="6"/>
        <v>5</v>
      </c>
      <c r="Z14" s="17">
        <f t="shared" si="6"/>
        <v>8</v>
      </c>
      <c r="AA14" s="17">
        <f t="shared" si="6"/>
        <v>0</v>
      </c>
      <c r="AB14" s="17">
        <f t="shared" si="6"/>
        <v>1</v>
      </c>
      <c r="AC14" s="17">
        <f t="shared" si="6"/>
        <v>150</v>
      </c>
      <c r="AD14" s="17">
        <f t="shared" si="6"/>
        <v>0</v>
      </c>
      <c r="AE14" s="31">
        <f t="shared" si="6"/>
        <v>79</v>
      </c>
      <c r="AF14" s="31">
        <f t="shared" si="6"/>
        <v>229</v>
      </c>
    </row>
    <row r="15" spans="2:32" ht="23.1" customHeight="1" x14ac:dyDescent="0.25">
      <c r="B15" s="23" t="s">
        <v>42</v>
      </c>
      <c r="C15" s="50">
        <v>10</v>
      </c>
      <c r="D15" s="50">
        <v>7</v>
      </c>
      <c r="E15" s="50">
        <v>4</v>
      </c>
      <c r="F15" s="50">
        <v>2</v>
      </c>
      <c r="G15" s="50">
        <v>0</v>
      </c>
      <c r="H15" s="50">
        <v>0</v>
      </c>
      <c r="I15" s="50">
        <v>5</v>
      </c>
      <c r="J15" s="50">
        <v>0</v>
      </c>
      <c r="K15" s="50">
        <v>0</v>
      </c>
      <c r="L15" s="50">
        <v>0</v>
      </c>
      <c r="M15" s="50">
        <v>64</v>
      </c>
      <c r="N15" s="50">
        <v>0</v>
      </c>
      <c r="O15" s="15">
        <f t="shared" si="0"/>
        <v>28</v>
      </c>
      <c r="P15" s="15">
        <f t="shared" si="1"/>
        <v>92</v>
      </c>
      <c r="R15" s="1" t="s">
        <v>11</v>
      </c>
      <c r="S15" s="17">
        <f t="shared" ref="S15:AF15" si="7">SUM(C30:C33)</f>
        <v>20</v>
      </c>
      <c r="T15" s="17">
        <f t="shared" si="7"/>
        <v>20</v>
      </c>
      <c r="U15" s="17">
        <f t="shared" si="7"/>
        <v>12</v>
      </c>
      <c r="V15" s="17">
        <f t="shared" si="7"/>
        <v>7</v>
      </c>
      <c r="W15" s="17">
        <f t="shared" si="7"/>
        <v>3</v>
      </c>
      <c r="X15" s="17">
        <f t="shared" si="7"/>
        <v>0</v>
      </c>
      <c r="Y15" s="17">
        <f t="shared" si="7"/>
        <v>8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148</v>
      </c>
      <c r="AD15" s="17">
        <f t="shared" si="7"/>
        <v>0</v>
      </c>
      <c r="AE15" s="31">
        <f t="shared" si="7"/>
        <v>76</v>
      </c>
      <c r="AF15" s="31">
        <f t="shared" si="7"/>
        <v>224</v>
      </c>
    </row>
    <row r="16" spans="2:32" ht="23.1" customHeight="1" x14ac:dyDescent="0.25">
      <c r="B16" s="23" t="s">
        <v>43</v>
      </c>
      <c r="C16" s="50">
        <v>3</v>
      </c>
      <c r="D16" s="50">
        <v>2</v>
      </c>
      <c r="E16" s="50">
        <v>4</v>
      </c>
      <c r="F16" s="50">
        <v>2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41</v>
      </c>
      <c r="N16" s="50">
        <v>0</v>
      </c>
      <c r="O16" s="15">
        <f t="shared" si="0"/>
        <v>14</v>
      </c>
      <c r="P16" s="15">
        <f t="shared" si="1"/>
        <v>55</v>
      </c>
      <c r="R16" s="1" t="s">
        <v>12</v>
      </c>
      <c r="S16" s="17">
        <f t="shared" ref="S16:AF16" si="8">SUM(C34:C37)</f>
        <v>25</v>
      </c>
      <c r="T16" s="17">
        <f t="shared" si="8"/>
        <v>18</v>
      </c>
      <c r="U16" s="17">
        <f t="shared" si="8"/>
        <v>5</v>
      </c>
      <c r="V16" s="17">
        <f t="shared" si="8"/>
        <v>8</v>
      </c>
      <c r="W16" s="17">
        <f t="shared" si="8"/>
        <v>2</v>
      </c>
      <c r="X16" s="17">
        <f t="shared" si="8"/>
        <v>0</v>
      </c>
      <c r="Y16" s="17">
        <f t="shared" si="8"/>
        <v>6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146</v>
      </c>
      <c r="AD16" s="17">
        <f t="shared" si="8"/>
        <v>0</v>
      </c>
      <c r="AE16" s="31">
        <f t="shared" si="8"/>
        <v>68</v>
      </c>
      <c r="AF16" s="31">
        <f t="shared" si="8"/>
        <v>214</v>
      </c>
    </row>
    <row r="17" spans="2:32" ht="23.1" customHeight="1" x14ac:dyDescent="0.25">
      <c r="B17" s="23" t="s">
        <v>44</v>
      </c>
      <c r="C17" s="50">
        <v>4</v>
      </c>
      <c r="D17" s="50">
        <v>3</v>
      </c>
      <c r="E17" s="50">
        <v>4</v>
      </c>
      <c r="F17" s="50">
        <v>2</v>
      </c>
      <c r="G17" s="50">
        <v>0</v>
      </c>
      <c r="H17" s="50">
        <v>0</v>
      </c>
      <c r="I17" s="50">
        <v>3</v>
      </c>
      <c r="J17" s="50">
        <v>3</v>
      </c>
      <c r="K17" s="50">
        <v>0</v>
      </c>
      <c r="L17" s="50">
        <v>0</v>
      </c>
      <c r="M17" s="50">
        <v>40</v>
      </c>
      <c r="N17" s="50">
        <v>0</v>
      </c>
      <c r="O17" s="15">
        <f t="shared" si="0"/>
        <v>19</v>
      </c>
      <c r="P17" s="15">
        <f t="shared" si="1"/>
        <v>59</v>
      </c>
      <c r="R17" s="1" t="s">
        <v>13</v>
      </c>
      <c r="S17" s="17">
        <f t="shared" ref="S17:AF17" si="9">SUM(C38:C41)</f>
        <v>24</v>
      </c>
      <c r="T17" s="17">
        <f t="shared" si="9"/>
        <v>11</v>
      </c>
      <c r="U17" s="17">
        <f t="shared" si="9"/>
        <v>11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4</v>
      </c>
      <c r="AA17" s="17">
        <f t="shared" si="9"/>
        <v>2</v>
      </c>
      <c r="AB17" s="17">
        <f t="shared" si="9"/>
        <v>0</v>
      </c>
      <c r="AC17" s="17">
        <f t="shared" si="9"/>
        <v>108</v>
      </c>
      <c r="AD17" s="17">
        <f t="shared" si="9"/>
        <v>0</v>
      </c>
      <c r="AE17" s="31">
        <f t="shared" si="9"/>
        <v>68</v>
      </c>
      <c r="AF17" s="31">
        <f t="shared" si="9"/>
        <v>176</v>
      </c>
    </row>
    <row r="18" spans="2:32" ht="23.1" customHeight="1" x14ac:dyDescent="0.25">
      <c r="B18" s="23" t="s">
        <v>45</v>
      </c>
      <c r="C18" s="50">
        <v>5</v>
      </c>
      <c r="D18" s="50">
        <v>5</v>
      </c>
      <c r="E18" s="50">
        <v>0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52</v>
      </c>
      <c r="N18" s="50">
        <v>0</v>
      </c>
      <c r="O18" s="15">
        <f t="shared" si="0"/>
        <v>15</v>
      </c>
      <c r="P18" s="15">
        <f t="shared" si="1"/>
        <v>67</v>
      </c>
      <c r="R18" s="1" t="s">
        <v>14</v>
      </c>
      <c r="S18" s="17">
        <f t="shared" ref="S18:AF18" si="10">SUM(C42:C45)</f>
        <v>22</v>
      </c>
      <c r="T18" s="17">
        <f t="shared" si="10"/>
        <v>12</v>
      </c>
      <c r="U18" s="17">
        <f t="shared" si="10"/>
        <v>11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117</v>
      </c>
      <c r="AD18" s="17">
        <f t="shared" si="10"/>
        <v>0</v>
      </c>
      <c r="AE18" s="31">
        <f t="shared" si="10"/>
        <v>63</v>
      </c>
      <c r="AF18" s="31">
        <f t="shared" si="10"/>
        <v>180</v>
      </c>
    </row>
    <row r="19" spans="2:32" ht="23.1" customHeight="1" x14ac:dyDescent="0.25">
      <c r="B19" s="23" t="s">
        <v>46</v>
      </c>
      <c r="C19" s="50">
        <v>5</v>
      </c>
      <c r="D19" s="50">
        <v>2</v>
      </c>
      <c r="E19" s="50">
        <v>4</v>
      </c>
      <c r="F19" s="50">
        <v>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44</v>
      </c>
      <c r="N19" s="50">
        <v>0</v>
      </c>
      <c r="O19" s="15">
        <f t="shared" si="0"/>
        <v>15</v>
      </c>
      <c r="P19" s="15">
        <f t="shared" si="1"/>
        <v>59</v>
      </c>
      <c r="R19" s="1" t="s">
        <v>15</v>
      </c>
      <c r="S19" s="17">
        <f t="shared" ref="S19:AF19" si="11">SUM(C46:C49)</f>
        <v>42</v>
      </c>
      <c r="T19" s="17">
        <f t="shared" si="11"/>
        <v>14</v>
      </c>
      <c r="U19" s="17">
        <f t="shared" si="11"/>
        <v>9</v>
      </c>
      <c r="V19" s="17">
        <f t="shared" si="11"/>
        <v>12</v>
      </c>
      <c r="W19" s="17">
        <f t="shared" si="11"/>
        <v>1</v>
      </c>
      <c r="X19" s="17">
        <f t="shared" si="11"/>
        <v>0</v>
      </c>
      <c r="Y19" s="17">
        <f t="shared" si="11"/>
        <v>2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143</v>
      </c>
      <c r="AD19" s="17">
        <f t="shared" si="11"/>
        <v>0</v>
      </c>
      <c r="AE19" s="31">
        <f t="shared" si="11"/>
        <v>85</v>
      </c>
      <c r="AF19" s="31">
        <f t="shared" si="11"/>
        <v>228</v>
      </c>
    </row>
    <row r="20" spans="2:32" ht="23.1" customHeight="1" x14ac:dyDescent="0.25">
      <c r="B20" s="23" t="s">
        <v>47</v>
      </c>
      <c r="C20" s="50">
        <v>7</v>
      </c>
      <c r="D20" s="50">
        <v>6</v>
      </c>
      <c r="E20" s="50">
        <v>4</v>
      </c>
      <c r="F20" s="50">
        <v>1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39</v>
      </c>
      <c r="N20" s="50">
        <v>0</v>
      </c>
      <c r="O20" s="15">
        <f t="shared" si="0"/>
        <v>20</v>
      </c>
      <c r="P20" s="15">
        <f t="shared" si="1"/>
        <v>59</v>
      </c>
      <c r="R20" s="1" t="s">
        <v>16</v>
      </c>
      <c r="S20" s="17">
        <f t="shared" ref="S20:AF20" si="12">SUM(C50:C53)</f>
        <v>44</v>
      </c>
      <c r="T20" s="17">
        <f t="shared" si="12"/>
        <v>30</v>
      </c>
      <c r="U20" s="17">
        <f t="shared" si="12"/>
        <v>12</v>
      </c>
      <c r="V20" s="17">
        <f t="shared" si="12"/>
        <v>12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4</v>
      </c>
      <c r="AA20" s="17">
        <f t="shared" si="12"/>
        <v>2</v>
      </c>
      <c r="AB20" s="17">
        <f t="shared" si="12"/>
        <v>0</v>
      </c>
      <c r="AC20" s="17">
        <f t="shared" si="12"/>
        <v>166</v>
      </c>
      <c r="AD20" s="17">
        <f t="shared" si="12"/>
        <v>0</v>
      </c>
      <c r="AE20" s="31">
        <f t="shared" si="12"/>
        <v>110</v>
      </c>
      <c r="AF20" s="31">
        <f t="shared" si="12"/>
        <v>276</v>
      </c>
    </row>
    <row r="21" spans="2:32" ht="23.1" customHeight="1" x14ac:dyDescent="0.25">
      <c r="B21" s="23" t="s">
        <v>48</v>
      </c>
      <c r="C21" s="50">
        <v>4</v>
      </c>
      <c r="D21" s="50">
        <v>5</v>
      </c>
      <c r="E21" s="50">
        <v>3</v>
      </c>
      <c r="F21" s="50">
        <v>5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43</v>
      </c>
      <c r="N21" s="50">
        <v>0</v>
      </c>
      <c r="O21" s="15">
        <f t="shared" si="0"/>
        <v>19</v>
      </c>
      <c r="P21" s="15">
        <f t="shared" si="1"/>
        <v>62</v>
      </c>
      <c r="R21" s="36" t="s">
        <v>20</v>
      </c>
      <c r="S21" s="34">
        <f t="shared" ref="S21:AF21" si="13">SUM(C54:C57)</f>
        <v>38</v>
      </c>
      <c r="T21" s="17">
        <f t="shared" si="13"/>
        <v>13</v>
      </c>
      <c r="U21" s="17">
        <f t="shared" si="13"/>
        <v>7</v>
      </c>
      <c r="V21" s="17">
        <f t="shared" si="13"/>
        <v>15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10</v>
      </c>
      <c r="AA21" s="17">
        <f t="shared" si="13"/>
        <v>0</v>
      </c>
      <c r="AB21" s="17">
        <f t="shared" si="13"/>
        <v>1</v>
      </c>
      <c r="AC21" s="17">
        <f t="shared" si="13"/>
        <v>162</v>
      </c>
      <c r="AD21" s="17">
        <f t="shared" si="13"/>
        <v>0</v>
      </c>
      <c r="AE21" s="31">
        <f t="shared" si="13"/>
        <v>92</v>
      </c>
      <c r="AF21" s="31">
        <f t="shared" si="13"/>
        <v>254</v>
      </c>
    </row>
    <row r="22" spans="2:32" ht="23.1" customHeight="1" x14ac:dyDescent="0.25">
      <c r="B22" s="23" t="s">
        <v>49</v>
      </c>
      <c r="C22" s="50">
        <v>6</v>
      </c>
      <c r="D22" s="50">
        <v>2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3</v>
      </c>
      <c r="K22" s="50">
        <v>0</v>
      </c>
      <c r="L22" s="50">
        <v>0</v>
      </c>
      <c r="M22" s="50">
        <v>45</v>
      </c>
      <c r="N22" s="50">
        <v>0</v>
      </c>
      <c r="O22" s="15">
        <f t="shared" si="0"/>
        <v>16</v>
      </c>
      <c r="P22" s="15">
        <f t="shared" si="1"/>
        <v>61</v>
      </c>
      <c r="R22" s="38" t="s">
        <v>90</v>
      </c>
      <c r="S22" s="39">
        <f>MAX(S10:S12)</f>
        <v>38</v>
      </c>
      <c r="T22" s="39">
        <f t="shared" ref="T22:AF22" si="14">MAX(T10:T12)</f>
        <v>18</v>
      </c>
      <c r="U22" s="39">
        <f t="shared" si="14"/>
        <v>13</v>
      </c>
      <c r="V22" s="39">
        <f t="shared" si="14"/>
        <v>15</v>
      </c>
      <c r="W22" s="39">
        <f t="shared" si="14"/>
        <v>1</v>
      </c>
      <c r="X22" s="39">
        <f t="shared" si="14"/>
        <v>0</v>
      </c>
      <c r="Y22" s="39">
        <f t="shared" si="14"/>
        <v>9</v>
      </c>
      <c r="Z22" s="39">
        <f t="shared" si="14"/>
        <v>10</v>
      </c>
      <c r="AA22" s="39">
        <f t="shared" si="14"/>
        <v>0</v>
      </c>
      <c r="AB22" s="39">
        <f t="shared" si="14"/>
        <v>1</v>
      </c>
      <c r="AC22" s="39">
        <f t="shared" si="14"/>
        <v>185</v>
      </c>
      <c r="AD22" s="39">
        <f t="shared" si="14"/>
        <v>0</v>
      </c>
      <c r="AE22" s="40">
        <f t="shared" si="14"/>
        <v>92</v>
      </c>
      <c r="AF22" s="40">
        <f t="shared" si="14"/>
        <v>265</v>
      </c>
    </row>
    <row r="23" spans="2:32" ht="23.1" customHeight="1" x14ac:dyDescent="0.25">
      <c r="B23" s="23" t="s">
        <v>50</v>
      </c>
      <c r="C23" s="50">
        <v>9</v>
      </c>
      <c r="D23" s="50">
        <v>2</v>
      </c>
      <c r="E23" s="50">
        <v>1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36</v>
      </c>
      <c r="N23" s="50">
        <v>0</v>
      </c>
      <c r="O23" s="15">
        <f t="shared" si="0"/>
        <v>15</v>
      </c>
      <c r="P23" s="15">
        <f t="shared" si="1"/>
        <v>51</v>
      </c>
      <c r="R23" s="38" t="s">
        <v>91</v>
      </c>
      <c r="S23" s="39">
        <f>MAX(S13:S18)</f>
        <v>37</v>
      </c>
      <c r="T23" s="39">
        <f t="shared" ref="T23:AF23" si="15">MAX(T13:T18)</f>
        <v>20</v>
      </c>
      <c r="U23" s="39">
        <f t="shared" si="15"/>
        <v>12</v>
      </c>
      <c r="V23" s="39">
        <f t="shared" si="15"/>
        <v>9</v>
      </c>
      <c r="W23" s="39">
        <f t="shared" si="15"/>
        <v>3</v>
      </c>
      <c r="X23" s="39">
        <f t="shared" si="15"/>
        <v>0</v>
      </c>
      <c r="Y23" s="39">
        <f t="shared" si="15"/>
        <v>8</v>
      </c>
      <c r="Z23" s="39">
        <f t="shared" si="15"/>
        <v>8</v>
      </c>
      <c r="AA23" s="39">
        <f t="shared" si="15"/>
        <v>2</v>
      </c>
      <c r="AB23" s="39">
        <f t="shared" si="15"/>
        <v>1</v>
      </c>
      <c r="AC23" s="39">
        <f t="shared" si="15"/>
        <v>150</v>
      </c>
      <c r="AD23" s="39">
        <f t="shared" si="15"/>
        <v>0</v>
      </c>
      <c r="AE23" s="40">
        <f t="shared" si="15"/>
        <v>84</v>
      </c>
      <c r="AF23" s="40">
        <f t="shared" si="15"/>
        <v>229</v>
      </c>
    </row>
    <row r="24" spans="2:32" ht="23.1" customHeight="1" x14ac:dyDescent="0.25">
      <c r="B24" s="23" t="s">
        <v>51</v>
      </c>
      <c r="C24" s="50">
        <v>16</v>
      </c>
      <c r="D24" s="50">
        <v>3</v>
      </c>
      <c r="E24" s="50">
        <v>5</v>
      </c>
      <c r="F24" s="50">
        <v>1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1</v>
      </c>
      <c r="M24" s="50">
        <v>21</v>
      </c>
      <c r="N24" s="50">
        <v>0</v>
      </c>
      <c r="O24" s="15">
        <f t="shared" si="0"/>
        <v>29</v>
      </c>
      <c r="P24" s="15">
        <f t="shared" si="1"/>
        <v>50</v>
      </c>
      <c r="R24" s="38" t="s">
        <v>92</v>
      </c>
      <c r="S24" s="39">
        <f>MAX(S19:S21)</f>
        <v>44</v>
      </c>
      <c r="T24" s="39">
        <f t="shared" ref="T24:AF24" si="16">MAX(T19:T21)</f>
        <v>30</v>
      </c>
      <c r="U24" s="39">
        <f t="shared" si="16"/>
        <v>12</v>
      </c>
      <c r="V24" s="39">
        <f t="shared" si="16"/>
        <v>15</v>
      </c>
      <c r="W24" s="39">
        <f t="shared" si="16"/>
        <v>1</v>
      </c>
      <c r="X24" s="39">
        <f t="shared" si="16"/>
        <v>0</v>
      </c>
      <c r="Y24" s="39">
        <f t="shared" si="16"/>
        <v>7</v>
      </c>
      <c r="Z24" s="39">
        <f t="shared" si="16"/>
        <v>10</v>
      </c>
      <c r="AA24" s="39">
        <f t="shared" si="16"/>
        <v>2</v>
      </c>
      <c r="AB24" s="39">
        <f t="shared" si="16"/>
        <v>1</v>
      </c>
      <c r="AC24" s="39">
        <f t="shared" si="16"/>
        <v>166</v>
      </c>
      <c r="AD24" s="39">
        <f t="shared" si="16"/>
        <v>0</v>
      </c>
      <c r="AE24" s="40">
        <f t="shared" si="16"/>
        <v>110</v>
      </c>
      <c r="AF24" s="40">
        <f t="shared" si="16"/>
        <v>276</v>
      </c>
    </row>
    <row r="25" spans="2:32" ht="23.1" customHeight="1" x14ac:dyDescent="0.25">
      <c r="B25" s="23" t="s">
        <v>52</v>
      </c>
      <c r="C25" s="50">
        <v>6</v>
      </c>
      <c r="D25" s="50">
        <v>7</v>
      </c>
      <c r="E25" s="50">
        <v>5</v>
      </c>
      <c r="F25" s="50">
        <v>3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26</v>
      </c>
      <c r="N25" s="50">
        <v>0</v>
      </c>
      <c r="O25" s="15">
        <f t="shared" si="0"/>
        <v>24</v>
      </c>
      <c r="P25" s="15">
        <f t="shared" si="1"/>
        <v>50</v>
      </c>
      <c r="R25" s="37" t="s">
        <v>85</v>
      </c>
      <c r="S25" s="35">
        <f t="shared" ref="S25:AF25" si="17">SUM(S10:S12)</f>
        <v>86</v>
      </c>
      <c r="T25" s="16">
        <f t="shared" si="17"/>
        <v>49</v>
      </c>
      <c r="U25" s="16">
        <f t="shared" si="17"/>
        <v>31</v>
      </c>
      <c r="V25" s="16">
        <f t="shared" si="17"/>
        <v>33</v>
      </c>
      <c r="W25" s="16">
        <f t="shared" si="17"/>
        <v>1</v>
      </c>
      <c r="X25" s="16">
        <f t="shared" si="17"/>
        <v>0</v>
      </c>
      <c r="Y25" s="16">
        <f t="shared" si="17"/>
        <v>21</v>
      </c>
      <c r="Z25" s="16">
        <f t="shared" si="17"/>
        <v>18</v>
      </c>
      <c r="AA25" s="16">
        <f t="shared" si="17"/>
        <v>0</v>
      </c>
      <c r="AB25" s="16">
        <f t="shared" si="17"/>
        <v>2</v>
      </c>
      <c r="AC25" s="16">
        <f t="shared" si="17"/>
        <v>525</v>
      </c>
      <c r="AD25" s="16">
        <f t="shared" si="17"/>
        <v>0</v>
      </c>
      <c r="AE25" s="32">
        <f t="shared" si="17"/>
        <v>241</v>
      </c>
      <c r="AF25" s="32">
        <f t="shared" si="17"/>
        <v>766</v>
      </c>
    </row>
    <row r="26" spans="2:32" ht="23.1" customHeight="1" x14ac:dyDescent="0.25">
      <c r="B26" s="23" t="s">
        <v>53</v>
      </c>
      <c r="C26" s="50">
        <v>10</v>
      </c>
      <c r="D26" s="50">
        <v>4</v>
      </c>
      <c r="E26" s="50">
        <v>1</v>
      </c>
      <c r="F26" s="50">
        <v>2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37</v>
      </c>
      <c r="N26" s="50">
        <v>0</v>
      </c>
      <c r="O26" s="15">
        <f t="shared" si="0"/>
        <v>18</v>
      </c>
      <c r="P26" s="15">
        <f t="shared" si="1"/>
        <v>55</v>
      </c>
      <c r="R26" s="28" t="s">
        <v>86</v>
      </c>
      <c r="S26" s="16">
        <f t="shared" ref="S26:AF26" si="18">SUM(S13:S18)</f>
        <v>157</v>
      </c>
      <c r="T26" s="16">
        <f t="shared" si="18"/>
        <v>92</v>
      </c>
      <c r="U26" s="16">
        <f t="shared" si="18"/>
        <v>60</v>
      </c>
      <c r="V26" s="16">
        <f t="shared" si="18"/>
        <v>48</v>
      </c>
      <c r="W26" s="16">
        <f t="shared" si="18"/>
        <v>6</v>
      </c>
      <c r="X26" s="16">
        <f t="shared" si="18"/>
        <v>0</v>
      </c>
      <c r="Y26" s="16">
        <f t="shared" si="18"/>
        <v>39</v>
      </c>
      <c r="Z26" s="16">
        <f t="shared" si="18"/>
        <v>30</v>
      </c>
      <c r="AA26" s="16">
        <f t="shared" si="18"/>
        <v>4</v>
      </c>
      <c r="AB26" s="16">
        <f t="shared" si="18"/>
        <v>2</v>
      </c>
      <c r="AC26" s="16">
        <f t="shared" si="18"/>
        <v>797</v>
      </c>
      <c r="AD26" s="16">
        <f t="shared" si="18"/>
        <v>0</v>
      </c>
      <c r="AE26" s="32">
        <f t="shared" si="18"/>
        <v>438</v>
      </c>
      <c r="AF26" s="32">
        <f t="shared" si="18"/>
        <v>1235</v>
      </c>
    </row>
    <row r="27" spans="2:32" ht="23.1" customHeight="1" x14ac:dyDescent="0.25">
      <c r="B27" s="23" t="s">
        <v>54</v>
      </c>
      <c r="C27" s="50">
        <v>10</v>
      </c>
      <c r="D27" s="50">
        <v>5</v>
      </c>
      <c r="E27" s="50">
        <v>2</v>
      </c>
      <c r="F27" s="50">
        <v>2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1</v>
      </c>
      <c r="M27" s="50">
        <v>49</v>
      </c>
      <c r="N27" s="50">
        <v>0</v>
      </c>
      <c r="O27" s="15">
        <f t="shared" si="0"/>
        <v>24</v>
      </c>
      <c r="P27" s="15">
        <f t="shared" si="1"/>
        <v>73</v>
      </c>
      <c r="R27" s="29" t="s">
        <v>87</v>
      </c>
      <c r="S27" s="16">
        <f t="shared" ref="S27:AF27" si="19">SUM(S19:S21)</f>
        <v>124</v>
      </c>
      <c r="T27" s="16">
        <f t="shared" si="19"/>
        <v>57</v>
      </c>
      <c r="U27" s="16">
        <f t="shared" si="19"/>
        <v>28</v>
      </c>
      <c r="V27" s="16">
        <f t="shared" si="19"/>
        <v>39</v>
      </c>
      <c r="W27" s="16">
        <f t="shared" si="19"/>
        <v>2</v>
      </c>
      <c r="X27" s="16">
        <f t="shared" si="19"/>
        <v>0</v>
      </c>
      <c r="Y27" s="16">
        <f t="shared" si="19"/>
        <v>15</v>
      </c>
      <c r="Z27" s="16">
        <f t="shared" si="19"/>
        <v>18</v>
      </c>
      <c r="AA27" s="16">
        <f t="shared" si="19"/>
        <v>3</v>
      </c>
      <c r="AB27" s="16">
        <f t="shared" si="19"/>
        <v>1</v>
      </c>
      <c r="AC27" s="16">
        <f t="shared" si="19"/>
        <v>471</v>
      </c>
      <c r="AD27" s="16">
        <f t="shared" si="19"/>
        <v>0</v>
      </c>
      <c r="AE27" s="32">
        <f t="shared" si="19"/>
        <v>287</v>
      </c>
      <c r="AF27" s="32">
        <f t="shared" si="19"/>
        <v>758</v>
      </c>
    </row>
    <row r="28" spans="2:32" ht="23.1" customHeight="1" x14ac:dyDescent="0.25">
      <c r="B28" s="23" t="s">
        <v>55</v>
      </c>
      <c r="C28" s="50">
        <v>5</v>
      </c>
      <c r="D28" s="50">
        <v>4</v>
      </c>
      <c r="E28" s="50">
        <v>3</v>
      </c>
      <c r="F28" s="50">
        <v>2</v>
      </c>
      <c r="G28" s="50">
        <v>1</v>
      </c>
      <c r="H28" s="50">
        <v>0</v>
      </c>
      <c r="I28" s="50">
        <v>1</v>
      </c>
      <c r="J28" s="50">
        <v>4</v>
      </c>
      <c r="K28" s="50">
        <v>0</v>
      </c>
      <c r="L28" s="50">
        <v>0</v>
      </c>
      <c r="M28" s="50">
        <v>32</v>
      </c>
      <c r="N28" s="50">
        <v>0</v>
      </c>
      <c r="O28" s="15">
        <f t="shared" si="0"/>
        <v>20</v>
      </c>
      <c r="P28" s="15">
        <f t="shared" si="1"/>
        <v>52</v>
      </c>
      <c r="R28" s="5" t="s">
        <v>17</v>
      </c>
      <c r="S28" s="16">
        <f t="shared" ref="S28:AF28" si="20">SUM(S10:S21)</f>
        <v>367</v>
      </c>
      <c r="T28" s="16">
        <f t="shared" si="20"/>
        <v>198</v>
      </c>
      <c r="U28" s="16">
        <f t="shared" si="20"/>
        <v>119</v>
      </c>
      <c r="V28" s="16">
        <f t="shared" si="20"/>
        <v>120</v>
      </c>
      <c r="W28" s="16">
        <f t="shared" si="20"/>
        <v>9</v>
      </c>
      <c r="X28" s="16">
        <f t="shared" si="20"/>
        <v>0</v>
      </c>
      <c r="Y28" s="16">
        <f t="shared" si="20"/>
        <v>75</v>
      </c>
      <c r="Z28" s="16">
        <f t="shared" si="20"/>
        <v>66</v>
      </c>
      <c r="AA28" s="16">
        <f t="shared" si="20"/>
        <v>7</v>
      </c>
      <c r="AB28" s="16">
        <f t="shared" si="20"/>
        <v>5</v>
      </c>
      <c r="AC28" s="16">
        <f t="shared" si="20"/>
        <v>1793</v>
      </c>
      <c r="AD28" s="16">
        <f t="shared" si="20"/>
        <v>0</v>
      </c>
      <c r="AE28" s="32">
        <f t="shared" si="20"/>
        <v>966</v>
      </c>
      <c r="AF28" s="32">
        <f t="shared" si="20"/>
        <v>2759</v>
      </c>
    </row>
    <row r="29" spans="2:32" ht="23.1" customHeight="1" x14ac:dyDescent="0.25">
      <c r="B29" s="23" t="s">
        <v>56</v>
      </c>
      <c r="C29" s="50">
        <v>4</v>
      </c>
      <c r="D29" s="50">
        <v>4</v>
      </c>
      <c r="E29" s="50">
        <v>3</v>
      </c>
      <c r="F29" s="50">
        <v>3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32</v>
      </c>
      <c r="N29" s="50">
        <v>0</v>
      </c>
      <c r="O29" s="15">
        <f t="shared" si="0"/>
        <v>17</v>
      </c>
      <c r="P29" s="15">
        <f t="shared" si="1"/>
        <v>49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5</v>
      </c>
      <c r="E30" s="50">
        <v>4</v>
      </c>
      <c r="F30" s="50">
        <v>2</v>
      </c>
      <c r="G30" s="50">
        <v>0</v>
      </c>
      <c r="H30" s="50">
        <v>0</v>
      </c>
      <c r="I30" s="50">
        <v>1</v>
      </c>
      <c r="J30" s="50">
        <v>3</v>
      </c>
      <c r="K30" s="50">
        <v>0</v>
      </c>
      <c r="L30" s="50">
        <v>0</v>
      </c>
      <c r="M30" s="50">
        <v>38</v>
      </c>
      <c r="N30" s="50">
        <v>0</v>
      </c>
      <c r="O30" s="15">
        <f t="shared" si="0"/>
        <v>24</v>
      </c>
      <c r="P30" s="15">
        <f t="shared" si="1"/>
        <v>62</v>
      </c>
    </row>
    <row r="31" spans="2:32" ht="23.1" customHeight="1" x14ac:dyDescent="0.25">
      <c r="B31" s="24" t="s">
        <v>58</v>
      </c>
      <c r="C31" s="50">
        <v>4</v>
      </c>
      <c r="D31" s="50">
        <v>6</v>
      </c>
      <c r="E31" s="50">
        <v>3</v>
      </c>
      <c r="F31" s="50">
        <v>1</v>
      </c>
      <c r="G31" s="50">
        <v>2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37</v>
      </c>
      <c r="N31" s="50">
        <v>0</v>
      </c>
      <c r="O31" s="15">
        <f t="shared" si="0"/>
        <v>19</v>
      </c>
      <c r="P31" s="15">
        <f t="shared" si="1"/>
        <v>56</v>
      </c>
    </row>
    <row r="32" spans="2:32" ht="23.1" customHeight="1" x14ac:dyDescent="0.25">
      <c r="B32" s="24" t="s">
        <v>59</v>
      </c>
      <c r="C32" s="50">
        <v>2</v>
      </c>
      <c r="D32" s="50">
        <v>4</v>
      </c>
      <c r="E32" s="50">
        <v>4</v>
      </c>
      <c r="F32" s="50">
        <v>1</v>
      </c>
      <c r="G32" s="50">
        <v>1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47</v>
      </c>
      <c r="N32" s="50">
        <v>0</v>
      </c>
      <c r="O32" s="15">
        <f t="shared" si="0"/>
        <v>16</v>
      </c>
      <c r="P32" s="15">
        <f t="shared" si="1"/>
        <v>63</v>
      </c>
    </row>
    <row r="33" spans="2:20" ht="23.1" customHeight="1" x14ac:dyDescent="0.25">
      <c r="B33" s="23" t="s">
        <v>60</v>
      </c>
      <c r="C33" s="50">
        <v>5</v>
      </c>
      <c r="D33" s="50">
        <v>5</v>
      </c>
      <c r="E33" s="50">
        <v>1</v>
      </c>
      <c r="F33" s="50">
        <v>3</v>
      </c>
      <c r="G33" s="50">
        <v>0</v>
      </c>
      <c r="H33" s="50">
        <v>0</v>
      </c>
      <c r="I33" s="50">
        <v>1</v>
      </c>
      <c r="J33" s="50">
        <v>1</v>
      </c>
      <c r="K33" s="50">
        <v>1</v>
      </c>
      <c r="L33" s="50">
        <v>0</v>
      </c>
      <c r="M33" s="50">
        <v>26</v>
      </c>
      <c r="N33" s="50">
        <v>0</v>
      </c>
      <c r="O33" s="15">
        <f t="shared" si="0"/>
        <v>17</v>
      </c>
      <c r="P33" s="15">
        <f t="shared" si="1"/>
        <v>43</v>
      </c>
    </row>
    <row r="34" spans="2:20" ht="23.1" customHeight="1" x14ac:dyDescent="0.25">
      <c r="B34" s="24" t="s">
        <v>61</v>
      </c>
      <c r="C34" s="50">
        <v>5</v>
      </c>
      <c r="D34" s="50">
        <v>6</v>
      </c>
      <c r="E34" s="50">
        <v>2</v>
      </c>
      <c r="F34" s="50">
        <v>2</v>
      </c>
      <c r="G34" s="50">
        <v>1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47</v>
      </c>
      <c r="N34" s="50">
        <v>0</v>
      </c>
      <c r="O34" s="15">
        <f t="shared" si="0"/>
        <v>18</v>
      </c>
      <c r="P34" s="15">
        <f t="shared" si="1"/>
        <v>65</v>
      </c>
    </row>
    <row r="35" spans="2:20" ht="23.1" customHeight="1" x14ac:dyDescent="0.25">
      <c r="B35" s="24" t="s">
        <v>62</v>
      </c>
      <c r="C35" s="50">
        <v>6</v>
      </c>
      <c r="D35" s="50">
        <v>2</v>
      </c>
      <c r="E35" s="50">
        <v>2</v>
      </c>
      <c r="F35" s="50">
        <v>2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36</v>
      </c>
      <c r="N35" s="50">
        <v>0</v>
      </c>
      <c r="O35" s="15">
        <f t="shared" si="0"/>
        <v>13</v>
      </c>
      <c r="P35" s="15">
        <f t="shared" si="1"/>
        <v>49</v>
      </c>
    </row>
    <row r="36" spans="2:20" ht="23.1" customHeight="1" x14ac:dyDescent="0.25">
      <c r="B36" s="24" t="s">
        <v>63</v>
      </c>
      <c r="C36" s="50">
        <v>8</v>
      </c>
      <c r="D36" s="50">
        <v>6</v>
      </c>
      <c r="E36" s="50">
        <v>1</v>
      </c>
      <c r="F36" s="50">
        <v>1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34</v>
      </c>
      <c r="N36" s="50">
        <v>0</v>
      </c>
      <c r="O36" s="15">
        <f t="shared" si="0"/>
        <v>19</v>
      </c>
      <c r="P36" s="15">
        <f t="shared" si="1"/>
        <v>53</v>
      </c>
    </row>
    <row r="37" spans="2:20" ht="23.1" customHeight="1" x14ac:dyDescent="0.25">
      <c r="B37" s="23" t="s">
        <v>64</v>
      </c>
      <c r="C37" s="50">
        <v>6</v>
      </c>
      <c r="D37" s="50">
        <v>4</v>
      </c>
      <c r="E37" s="50">
        <v>0</v>
      </c>
      <c r="F37" s="50">
        <v>3</v>
      </c>
      <c r="G37" s="50">
        <v>1</v>
      </c>
      <c r="H37" s="50">
        <v>0</v>
      </c>
      <c r="I37" s="50">
        <v>3</v>
      </c>
      <c r="J37" s="50">
        <v>0</v>
      </c>
      <c r="K37" s="50">
        <v>1</v>
      </c>
      <c r="L37" s="50">
        <v>0</v>
      </c>
      <c r="M37" s="50">
        <v>29</v>
      </c>
      <c r="N37" s="50">
        <v>0</v>
      </c>
      <c r="O37" s="15">
        <f t="shared" si="0"/>
        <v>18</v>
      </c>
      <c r="P37" s="15">
        <f t="shared" si="1"/>
        <v>47</v>
      </c>
    </row>
    <row r="38" spans="2:20" ht="23.1" customHeight="1" x14ac:dyDescent="0.25">
      <c r="B38" s="24" t="s">
        <v>65</v>
      </c>
      <c r="C38" s="50">
        <v>7</v>
      </c>
      <c r="D38" s="50">
        <v>2</v>
      </c>
      <c r="E38" s="50">
        <v>6</v>
      </c>
      <c r="F38" s="50">
        <v>1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34</v>
      </c>
      <c r="N38" s="50">
        <v>0</v>
      </c>
      <c r="O38" s="15">
        <f t="shared" si="0"/>
        <v>17</v>
      </c>
      <c r="P38" s="15">
        <f t="shared" si="1"/>
        <v>51</v>
      </c>
    </row>
    <row r="39" spans="2:20" ht="23.1" customHeight="1" x14ac:dyDescent="0.25">
      <c r="B39" s="24" t="s">
        <v>66</v>
      </c>
      <c r="C39" s="50">
        <v>6</v>
      </c>
      <c r="D39" s="50">
        <v>4</v>
      </c>
      <c r="E39" s="50">
        <v>1</v>
      </c>
      <c r="F39" s="50">
        <v>2</v>
      </c>
      <c r="G39" s="50">
        <v>0</v>
      </c>
      <c r="H39" s="50">
        <v>0</v>
      </c>
      <c r="I39" s="50">
        <v>2</v>
      </c>
      <c r="J39" s="50">
        <v>0</v>
      </c>
      <c r="K39" s="50">
        <v>1</v>
      </c>
      <c r="L39" s="50">
        <v>0</v>
      </c>
      <c r="M39" s="50">
        <v>24</v>
      </c>
      <c r="N39" s="50">
        <v>0</v>
      </c>
      <c r="O39" s="15">
        <f t="shared" si="0"/>
        <v>16</v>
      </c>
      <c r="P39" s="15">
        <f t="shared" si="1"/>
        <v>40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4</v>
      </c>
      <c r="F40" s="50">
        <v>4</v>
      </c>
      <c r="G40" s="50">
        <v>0</v>
      </c>
      <c r="H40" s="50">
        <v>0</v>
      </c>
      <c r="I40" s="50">
        <v>3</v>
      </c>
      <c r="J40" s="50">
        <v>2</v>
      </c>
      <c r="K40" s="50">
        <v>0</v>
      </c>
      <c r="L40" s="50">
        <v>0</v>
      </c>
      <c r="M40" s="50">
        <v>26</v>
      </c>
      <c r="N40" s="50">
        <v>0</v>
      </c>
      <c r="O40" s="15">
        <f t="shared" si="0"/>
        <v>14</v>
      </c>
      <c r="P40" s="15">
        <f t="shared" si="1"/>
        <v>40</v>
      </c>
    </row>
    <row r="41" spans="2:20" ht="23.1" customHeight="1" x14ac:dyDescent="0.25">
      <c r="B41" s="23" t="s">
        <v>68</v>
      </c>
      <c r="C41" s="50">
        <v>10</v>
      </c>
      <c r="D41" s="50">
        <v>5</v>
      </c>
      <c r="E41" s="50">
        <v>0</v>
      </c>
      <c r="F41" s="50">
        <v>2</v>
      </c>
      <c r="G41" s="50">
        <v>0</v>
      </c>
      <c r="H41" s="50">
        <v>0</v>
      </c>
      <c r="I41" s="50">
        <v>2</v>
      </c>
      <c r="J41" s="50">
        <v>1</v>
      </c>
      <c r="K41" s="50">
        <v>1</v>
      </c>
      <c r="L41" s="50">
        <v>0</v>
      </c>
      <c r="M41" s="50">
        <v>24</v>
      </c>
      <c r="N41" s="50">
        <v>0</v>
      </c>
      <c r="O41" s="15">
        <f t="shared" si="0"/>
        <v>21</v>
      </c>
      <c r="P41" s="15">
        <f t="shared" si="1"/>
        <v>45</v>
      </c>
    </row>
    <row r="42" spans="2:20" ht="23.1" customHeight="1" x14ac:dyDescent="0.25">
      <c r="B42" s="24" t="s">
        <v>69</v>
      </c>
      <c r="C42" s="50">
        <v>1</v>
      </c>
      <c r="D42" s="50">
        <v>2</v>
      </c>
      <c r="E42" s="50">
        <v>2</v>
      </c>
      <c r="F42" s="50">
        <v>1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32</v>
      </c>
      <c r="N42" s="50">
        <v>0</v>
      </c>
      <c r="O42" s="15">
        <f t="shared" si="0"/>
        <v>8</v>
      </c>
      <c r="P42" s="15">
        <f t="shared" si="1"/>
        <v>40</v>
      </c>
    </row>
    <row r="43" spans="2:20" ht="23.1" customHeight="1" x14ac:dyDescent="0.25">
      <c r="B43" s="23" t="s">
        <v>70</v>
      </c>
      <c r="C43" s="50">
        <v>3</v>
      </c>
      <c r="D43" s="50">
        <v>2</v>
      </c>
      <c r="E43" s="50">
        <v>2</v>
      </c>
      <c r="F43" s="50">
        <v>2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33</v>
      </c>
      <c r="N43" s="50">
        <v>0</v>
      </c>
      <c r="O43" s="15">
        <f t="shared" si="0"/>
        <v>11</v>
      </c>
      <c r="P43" s="15">
        <f t="shared" si="1"/>
        <v>44</v>
      </c>
    </row>
    <row r="44" spans="2:20" ht="23.1" customHeight="1" x14ac:dyDescent="0.25">
      <c r="B44" s="25" t="s">
        <v>71</v>
      </c>
      <c r="C44" s="50">
        <v>12</v>
      </c>
      <c r="D44" s="50">
        <v>2</v>
      </c>
      <c r="E44" s="50">
        <v>3</v>
      </c>
      <c r="F44" s="50">
        <v>2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25</v>
      </c>
      <c r="N44" s="50">
        <v>0</v>
      </c>
      <c r="O44" s="15">
        <f t="shared" si="0"/>
        <v>23</v>
      </c>
      <c r="P44" s="15">
        <f t="shared" si="1"/>
        <v>48</v>
      </c>
    </row>
    <row r="45" spans="2:20" ht="23.1" customHeight="1" x14ac:dyDescent="0.25">
      <c r="B45" s="23" t="s">
        <v>72</v>
      </c>
      <c r="C45" s="50">
        <v>6</v>
      </c>
      <c r="D45" s="50">
        <v>6</v>
      </c>
      <c r="E45" s="50">
        <v>4</v>
      </c>
      <c r="F45" s="50">
        <v>2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27</v>
      </c>
      <c r="N45" s="50">
        <v>0</v>
      </c>
      <c r="O45" s="15">
        <f t="shared" si="0"/>
        <v>21</v>
      </c>
      <c r="P45" s="15">
        <f t="shared" si="1"/>
        <v>48</v>
      </c>
    </row>
    <row r="46" spans="2:20" ht="23.1" customHeight="1" x14ac:dyDescent="0.25">
      <c r="B46" s="24" t="s">
        <v>73</v>
      </c>
      <c r="C46" s="50">
        <v>8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1</v>
      </c>
      <c r="K46" s="50">
        <v>1</v>
      </c>
      <c r="L46" s="50">
        <v>0</v>
      </c>
      <c r="M46" s="50">
        <v>37</v>
      </c>
      <c r="N46" s="50">
        <v>0</v>
      </c>
      <c r="O46" s="15">
        <f t="shared" si="0"/>
        <v>12</v>
      </c>
      <c r="P46" s="15">
        <f t="shared" si="1"/>
        <v>49</v>
      </c>
      <c r="R46" s="8"/>
      <c r="T46"/>
    </row>
    <row r="47" spans="2:20" ht="23.1" customHeight="1" x14ac:dyDescent="0.25">
      <c r="B47" s="24" t="s">
        <v>74</v>
      </c>
      <c r="C47" s="50">
        <v>11</v>
      </c>
      <c r="D47" s="50">
        <v>3</v>
      </c>
      <c r="E47" s="50">
        <v>3</v>
      </c>
      <c r="F47" s="50">
        <v>3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33</v>
      </c>
      <c r="N47" s="50">
        <v>0</v>
      </c>
      <c r="O47" s="15">
        <f t="shared" si="0"/>
        <v>21</v>
      </c>
      <c r="P47" s="15">
        <f t="shared" si="1"/>
        <v>54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7</v>
      </c>
      <c r="E48" s="50">
        <v>2</v>
      </c>
      <c r="F48" s="50">
        <v>4</v>
      </c>
      <c r="G48" s="50">
        <v>1</v>
      </c>
      <c r="H48" s="50">
        <v>0</v>
      </c>
      <c r="I48" s="50">
        <v>2</v>
      </c>
      <c r="J48" s="50">
        <v>2</v>
      </c>
      <c r="K48" s="50">
        <v>0</v>
      </c>
      <c r="L48" s="50">
        <v>0</v>
      </c>
      <c r="M48" s="50">
        <v>35</v>
      </c>
      <c r="N48" s="50">
        <v>0</v>
      </c>
      <c r="O48" s="15">
        <f t="shared" si="0"/>
        <v>28</v>
      </c>
      <c r="P48" s="15">
        <f t="shared" si="1"/>
        <v>63</v>
      </c>
      <c r="R48" s="8"/>
      <c r="T48"/>
    </row>
    <row r="49" spans="2:20" ht="23.1" customHeight="1" x14ac:dyDescent="0.25">
      <c r="B49" s="23" t="s">
        <v>76</v>
      </c>
      <c r="C49" s="50">
        <v>13</v>
      </c>
      <c r="D49" s="50">
        <v>4</v>
      </c>
      <c r="E49" s="50">
        <v>3</v>
      </c>
      <c r="F49" s="50">
        <v>4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38</v>
      </c>
      <c r="N49" s="50">
        <v>0</v>
      </c>
      <c r="O49" s="15">
        <f t="shared" si="0"/>
        <v>24</v>
      </c>
      <c r="P49" s="15">
        <f t="shared" si="1"/>
        <v>62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4</v>
      </c>
      <c r="E50" s="50">
        <v>5</v>
      </c>
      <c r="F50" s="50">
        <v>3</v>
      </c>
      <c r="G50" s="50">
        <v>0</v>
      </c>
      <c r="H50" s="50">
        <v>0</v>
      </c>
      <c r="I50" s="50">
        <v>1</v>
      </c>
      <c r="J50" s="50">
        <v>1</v>
      </c>
      <c r="K50" s="50">
        <v>1</v>
      </c>
      <c r="L50" s="50">
        <v>0</v>
      </c>
      <c r="M50" s="50">
        <v>31</v>
      </c>
      <c r="N50" s="50">
        <v>0</v>
      </c>
      <c r="O50" s="15">
        <f t="shared" si="0"/>
        <v>28</v>
      </c>
      <c r="P50" s="15">
        <f t="shared" si="1"/>
        <v>59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10</v>
      </c>
      <c r="E51" s="50">
        <v>4</v>
      </c>
      <c r="F51" s="50">
        <v>2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47</v>
      </c>
      <c r="N51" s="50">
        <v>0</v>
      </c>
      <c r="O51" s="15">
        <f t="shared" si="0"/>
        <v>28</v>
      </c>
      <c r="P51" s="15">
        <f t="shared" si="1"/>
        <v>75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8</v>
      </c>
      <c r="E52" s="50">
        <v>3</v>
      </c>
      <c r="F52" s="50">
        <v>4</v>
      </c>
      <c r="G52" s="50">
        <v>0</v>
      </c>
      <c r="H52" s="50">
        <v>0</v>
      </c>
      <c r="I52" s="50">
        <v>2</v>
      </c>
      <c r="J52" s="50">
        <v>0</v>
      </c>
      <c r="K52" s="50">
        <v>1</v>
      </c>
      <c r="L52" s="50">
        <v>0</v>
      </c>
      <c r="M52" s="50">
        <v>53</v>
      </c>
      <c r="N52" s="50">
        <v>0</v>
      </c>
      <c r="O52" s="15">
        <f t="shared" si="0"/>
        <v>32</v>
      </c>
      <c r="P52" s="15">
        <f t="shared" si="1"/>
        <v>85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8</v>
      </c>
      <c r="E53" s="50">
        <v>0</v>
      </c>
      <c r="F53" s="50">
        <v>3</v>
      </c>
      <c r="G53" s="50">
        <v>0</v>
      </c>
      <c r="H53" s="50">
        <v>0</v>
      </c>
      <c r="I53" s="50">
        <v>2</v>
      </c>
      <c r="J53" s="50">
        <v>2</v>
      </c>
      <c r="K53" s="50">
        <v>0</v>
      </c>
      <c r="L53" s="50">
        <v>0</v>
      </c>
      <c r="M53" s="50">
        <v>35</v>
      </c>
      <c r="N53" s="50">
        <v>0</v>
      </c>
      <c r="O53" s="15">
        <f t="shared" si="0"/>
        <v>22</v>
      </c>
      <c r="P53" s="15">
        <f t="shared" si="1"/>
        <v>57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3</v>
      </c>
      <c r="E54" s="50">
        <v>2</v>
      </c>
      <c r="F54" s="50">
        <v>4</v>
      </c>
      <c r="G54" s="50">
        <v>0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44</v>
      </c>
      <c r="N54" s="50">
        <v>0</v>
      </c>
      <c r="O54" s="15">
        <f t="shared" si="0"/>
        <v>23</v>
      </c>
      <c r="P54" s="15">
        <f t="shared" si="1"/>
        <v>67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1</v>
      </c>
      <c r="E55" s="50">
        <v>2</v>
      </c>
      <c r="F55" s="50">
        <v>6</v>
      </c>
      <c r="G55" s="50">
        <v>1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30</v>
      </c>
      <c r="N55" s="50">
        <v>0</v>
      </c>
      <c r="O55" s="15">
        <f t="shared" si="0"/>
        <v>23</v>
      </c>
      <c r="P55" s="15">
        <f t="shared" si="1"/>
        <v>53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7</v>
      </c>
      <c r="E56" s="50">
        <v>2</v>
      </c>
      <c r="F56" s="50">
        <v>2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1</v>
      </c>
      <c r="M56" s="50">
        <v>40</v>
      </c>
      <c r="N56" s="50">
        <v>0</v>
      </c>
      <c r="O56" s="15">
        <f t="shared" si="0"/>
        <v>26</v>
      </c>
      <c r="P56" s="15">
        <f t="shared" si="1"/>
        <v>66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2</v>
      </c>
      <c r="E57" s="50">
        <v>1</v>
      </c>
      <c r="F57" s="50">
        <v>3</v>
      </c>
      <c r="G57" s="50">
        <v>0</v>
      </c>
      <c r="H57" s="50">
        <v>0</v>
      </c>
      <c r="I57" s="50">
        <v>2</v>
      </c>
      <c r="J57" s="50">
        <v>5</v>
      </c>
      <c r="K57" s="50">
        <v>0</v>
      </c>
      <c r="L57" s="50">
        <v>0</v>
      </c>
      <c r="M57" s="50">
        <v>48</v>
      </c>
      <c r="N57" s="50">
        <v>0</v>
      </c>
      <c r="O57" s="15">
        <f t="shared" si="0"/>
        <v>20</v>
      </c>
      <c r="P57" s="15">
        <f t="shared" si="1"/>
        <v>68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367</v>
      </c>
      <c r="D58" s="16">
        <f t="shared" si="21"/>
        <v>198</v>
      </c>
      <c r="E58" s="16">
        <f t="shared" si="21"/>
        <v>119</v>
      </c>
      <c r="F58" s="16">
        <f t="shared" si="21"/>
        <v>120</v>
      </c>
      <c r="G58" s="16">
        <f t="shared" si="21"/>
        <v>9</v>
      </c>
      <c r="H58" s="16">
        <f t="shared" si="21"/>
        <v>0</v>
      </c>
      <c r="I58" s="16">
        <f t="shared" si="21"/>
        <v>75</v>
      </c>
      <c r="J58" s="16">
        <f t="shared" si="21"/>
        <v>66</v>
      </c>
      <c r="K58" s="16">
        <f t="shared" si="21"/>
        <v>7</v>
      </c>
      <c r="L58" s="16">
        <f t="shared" si="21"/>
        <v>5</v>
      </c>
      <c r="M58" s="16">
        <f t="shared" si="21"/>
        <v>1793</v>
      </c>
      <c r="N58" s="16">
        <f t="shared" si="21"/>
        <v>0</v>
      </c>
      <c r="O58" s="16">
        <f t="shared" si="21"/>
        <v>966</v>
      </c>
      <c r="P58" s="16">
        <f t="shared" si="21"/>
        <v>2759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0.13301920985864443</v>
      </c>
      <c r="D59" s="43">
        <f t="shared" si="22"/>
        <v>7.176513229430953E-2</v>
      </c>
      <c r="E59" s="43">
        <f t="shared" si="22"/>
        <v>4.3131569409206233E-2</v>
      </c>
      <c r="F59" s="43">
        <f t="shared" si="22"/>
        <v>4.3494019572308806E-2</v>
      </c>
      <c r="G59" s="43">
        <f t="shared" si="22"/>
        <v>3.2620514679231605E-3</v>
      </c>
      <c r="H59" s="43">
        <f t="shared" si="22"/>
        <v>0</v>
      </c>
      <c r="I59" s="43">
        <f t="shared" si="22"/>
        <v>2.7183762232693004E-2</v>
      </c>
      <c r="J59" s="43">
        <f t="shared" si="22"/>
        <v>2.3921710764769843E-2</v>
      </c>
      <c r="K59" s="43">
        <f t="shared" si="22"/>
        <v>2.5371511417180137E-3</v>
      </c>
      <c r="L59" s="43">
        <f t="shared" si="22"/>
        <v>1.8122508155128669E-3</v>
      </c>
      <c r="M59" s="43">
        <f t="shared" si="22"/>
        <v>0.64987314244291405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0.37991718426501037</v>
      </c>
      <c r="D60" s="44">
        <f t="shared" ref="D60:N60" si="23">D58/$O$58</f>
        <v>0.20496894409937888</v>
      </c>
      <c r="E60" s="44">
        <f t="shared" si="23"/>
        <v>0.12318840579710146</v>
      </c>
      <c r="F60" s="44">
        <f t="shared" si="23"/>
        <v>0.12422360248447205</v>
      </c>
      <c r="G60" s="44">
        <f t="shared" si="23"/>
        <v>9.316770186335404E-3</v>
      </c>
      <c r="H60" s="44">
        <f t="shared" si="23"/>
        <v>0</v>
      </c>
      <c r="I60" s="44">
        <f t="shared" si="23"/>
        <v>7.7639751552795025E-2</v>
      </c>
      <c r="J60" s="44">
        <f t="shared" si="23"/>
        <v>6.8322981366459631E-2</v>
      </c>
      <c r="K60" s="44">
        <f t="shared" si="23"/>
        <v>7.246376811594203E-3</v>
      </c>
      <c r="L60" s="44">
        <f t="shared" si="23"/>
        <v>5.175983436853002E-3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K6" activeCellId="5" sqref="C3:G3 D6:E6 G5:H5 G6:H6 K5:L5 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'23.09- Matuga -Kasangati'!C3:G3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'24.09 Kasangati-Matugga'!D5</f>
        <v>24.09.19</v>
      </c>
      <c r="E5" s="3"/>
      <c r="F5" s="41" t="s">
        <v>1</v>
      </c>
      <c r="G5" s="150" t="str">
        <f>'23.09- Kasangati-Matuga'!G5:H5</f>
        <v>Kiiza-besigye road</v>
      </c>
      <c r="H5" s="151"/>
      <c r="I5" s="14"/>
      <c r="J5" s="2" t="s">
        <v>5</v>
      </c>
      <c r="K5" s="150" t="str">
        <f>'23.09- Kasangati-Matuga'!K5:L5</f>
        <v>kivumbi george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tr">
        <f>'23.09- Matuga -Kasangati'!D6:E6</f>
        <v>Matuga</v>
      </c>
      <c r="E6" s="151"/>
      <c r="F6" s="2" t="s">
        <v>2</v>
      </c>
      <c r="G6" s="150" t="str">
        <f>'23.09- Matuga -Kasangati'!G6:H6</f>
        <v>Kasangati</v>
      </c>
      <c r="H6" s="151"/>
      <c r="J6" s="2" t="s">
        <v>21</v>
      </c>
      <c r="K6" s="150" t="str">
        <f>'23.09- Kasangati-Matuga'!K6:L6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22</v>
      </c>
      <c r="D10" s="50">
        <v>5</v>
      </c>
      <c r="E10" s="50">
        <v>2</v>
      </c>
      <c r="F10" s="50">
        <v>2</v>
      </c>
      <c r="G10" s="50">
        <v>7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61</v>
      </c>
      <c r="N10" s="50">
        <v>0</v>
      </c>
      <c r="O10" s="15">
        <f t="shared" ref="O10:O57" si="0">SUM(C10:L10,N10)</f>
        <v>40</v>
      </c>
      <c r="P10" s="15">
        <f t="shared" ref="P10:P57" si="1">SUM(C10:N10)</f>
        <v>101</v>
      </c>
      <c r="R10" s="1" t="s">
        <v>6</v>
      </c>
      <c r="S10" s="17">
        <f t="shared" ref="S10:AF10" si="2">SUM(C10:C13)</f>
        <v>79</v>
      </c>
      <c r="T10" s="17">
        <f t="shared" si="2"/>
        <v>10</v>
      </c>
      <c r="U10" s="17">
        <f t="shared" si="2"/>
        <v>10</v>
      </c>
      <c r="V10" s="17">
        <f t="shared" si="2"/>
        <v>10</v>
      </c>
      <c r="W10" s="17">
        <f t="shared" si="2"/>
        <v>10</v>
      </c>
      <c r="X10" s="17">
        <f t="shared" si="2"/>
        <v>0</v>
      </c>
      <c r="Y10" s="17">
        <f t="shared" si="2"/>
        <v>6</v>
      </c>
      <c r="Z10" s="17">
        <f t="shared" si="2"/>
        <v>5</v>
      </c>
      <c r="AA10" s="17">
        <f t="shared" si="2"/>
        <v>0</v>
      </c>
      <c r="AB10" s="17">
        <f t="shared" si="2"/>
        <v>0</v>
      </c>
      <c r="AC10" s="17">
        <f t="shared" si="2"/>
        <v>194</v>
      </c>
      <c r="AD10" s="17">
        <f t="shared" si="2"/>
        <v>0</v>
      </c>
      <c r="AE10" s="31">
        <f t="shared" si="2"/>
        <v>130</v>
      </c>
      <c r="AF10" s="31">
        <f t="shared" si="2"/>
        <v>324</v>
      </c>
    </row>
    <row r="11" spans="2:32" s="6" customFormat="1" ht="23.1" customHeight="1" x14ac:dyDescent="0.25">
      <c r="B11" s="23" t="s">
        <v>38</v>
      </c>
      <c r="C11" s="50">
        <v>31</v>
      </c>
      <c r="D11" s="50">
        <v>3</v>
      </c>
      <c r="E11" s="50">
        <v>3</v>
      </c>
      <c r="F11" s="50">
        <v>3</v>
      </c>
      <c r="G11" s="50">
        <v>3</v>
      </c>
      <c r="H11" s="50">
        <v>0</v>
      </c>
      <c r="I11" s="50">
        <v>0</v>
      </c>
      <c r="J11" s="50">
        <v>3</v>
      </c>
      <c r="K11" s="50">
        <v>0</v>
      </c>
      <c r="L11" s="50">
        <v>0</v>
      </c>
      <c r="M11" s="50">
        <v>37</v>
      </c>
      <c r="N11" s="50">
        <v>0</v>
      </c>
      <c r="O11" s="15">
        <f t="shared" si="0"/>
        <v>46</v>
      </c>
      <c r="P11" s="15">
        <f t="shared" si="1"/>
        <v>83</v>
      </c>
      <c r="R11" s="1" t="s">
        <v>7</v>
      </c>
      <c r="S11" s="17">
        <f t="shared" ref="S11:AF11" si="3">SUM(C14:C17)</f>
        <v>59</v>
      </c>
      <c r="T11" s="17">
        <f t="shared" si="3"/>
        <v>2</v>
      </c>
      <c r="U11" s="17">
        <f t="shared" si="3"/>
        <v>9</v>
      </c>
      <c r="V11" s="17">
        <f t="shared" si="3"/>
        <v>11</v>
      </c>
      <c r="W11" s="17">
        <f t="shared" si="3"/>
        <v>0</v>
      </c>
      <c r="X11" s="17">
        <f t="shared" si="3"/>
        <v>0</v>
      </c>
      <c r="Y11" s="17">
        <f t="shared" si="3"/>
        <v>11</v>
      </c>
      <c r="Z11" s="17">
        <f t="shared" si="3"/>
        <v>1</v>
      </c>
      <c r="AA11" s="17">
        <f t="shared" si="3"/>
        <v>2</v>
      </c>
      <c r="AB11" s="17">
        <f t="shared" si="3"/>
        <v>1</v>
      </c>
      <c r="AC11" s="17">
        <f t="shared" si="3"/>
        <v>210</v>
      </c>
      <c r="AD11" s="17">
        <f t="shared" si="3"/>
        <v>0</v>
      </c>
      <c r="AE11" s="31">
        <f t="shared" si="3"/>
        <v>96</v>
      </c>
      <c r="AF11" s="31">
        <f t="shared" si="3"/>
        <v>306</v>
      </c>
    </row>
    <row r="12" spans="2:32" ht="23.1" customHeight="1" x14ac:dyDescent="0.25">
      <c r="B12" s="23" t="s">
        <v>39</v>
      </c>
      <c r="C12" s="50">
        <v>21</v>
      </c>
      <c r="D12" s="50">
        <v>0</v>
      </c>
      <c r="E12" s="50">
        <v>2</v>
      </c>
      <c r="F12" s="50">
        <v>4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54</v>
      </c>
      <c r="N12" s="50">
        <v>0</v>
      </c>
      <c r="O12" s="15">
        <f t="shared" si="0"/>
        <v>29</v>
      </c>
      <c r="P12" s="15">
        <f t="shared" si="1"/>
        <v>83</v>
      </c>
      <c r="R12" s="1" t="s">
        <v>8</v>
      </c>
      <c r="S12" s="17">
        <f t="shared" ref="S12:AF12" si="4">SUM(C18:C21)</f>
        <v>39</v>
      </c>
      <c r="T12" s="17">
        <f t="shared" si="4"/>
        <v>9</v>
      </c>
      <c r="U12" s="17">
        <f t="shared" si="4"/>
        <v>6</v>
      </c>
      <c r="V12" s="17">
        <f t="shared" si="4"/>
        <v>8</v>
      </c>
      <c r="W12" s="17">
        <f t="shared" si="4"/>
        <v>2</v>
      </c>
      <c r="X12" s="17">
        <f t="shared" si="4"/>
        <v>0</v>
      </c>
      <c r="Y12" s="17">
        <f t="shared" si="4"/>
        <v>9</v>
      </c>
      <c r="Z12" s="17">
        <f t="shared" si="4"/>
        <v>3</v>
      </c>
      <c r="AA12" s="17">
        <f t="shared" si="4"/>
        <v>0</v>
      </c>
      <c r="AB12" s="17">
        <f t="shared" si="4"/>
        <v>1</v>
      </c>
      <c r="AC12" s="17">
        <f t="shared" si="4"/>
        <v>171</v>
      </c>
      <c r="AD12" s="17">
        <f t="shared" si="4"/>
        <v>0</v>
      </c>
      <c r="AE12" s="31">
        <f t="shared" si="4"/>
        <v>77</v>
      </c>
      <c r="AF12" s="31">
        <f t="shared" si="4"/>
        <v>248</v>
      </c>
    </row>
    <row r="13" spans="2:32" ht="23.1" customHeight="1" x14ac:dyDescent="0.25">
      <c r="B13" s="23" t="s">
        <v>40</v>
      </c>
      <c r="C13" s="50">
        <v>5</v>
      </c>
      <c r="D13" s="50">
        <v>2</v>
      </c>
      <c r="E13" s="50">
        <v>3</v>
      </c>
      <c r="F13" s="50">
        <v>1</v>
      </c>
      <c r="G13" s="50">
        <v>0</v>
      </c>
      <c r="H13" s="50">
        <v>0</v>
      </c>
      <c r="I13" s="50">
        <v>4</v>
      </c>
      <c r="J13" s="50">
        <v>0</v>
      </c>
      <c r="K13" s="50">
        <v>0</v>
      </c>
      <c r="L13" s="50">
        <v>0</v>
      </c>
      <c r="M13" s="50">
        <v>42</v>
      </c>
      <c r="N13" s="50">
        <v>0</v>
      </c>
      <c r="O13" s="15">
        <f t="shared" si="0"/>
        <v>15</v>
      </c>
      <c r="P13" s="15">
        <f t="shared" si="1"/>
        <v>57</v>
      </c>
      <c r="R13" s="1" t="s">
        <v>9</v>
      </c>
      <c r="S13" s="17">
        <f t="shared" ref="S13:AF13" si="5">SUM(C22:C25)</f>
        <v>35</v>
      </c>
      <c r="T13" s="17">
        <f t="shared" si="5"/>
        <v>9</v>
      </c>
      <c r="U13" s="17">
        <f t="shared" si="5"/>
        <v>3</v>
      </c>
      <c r="V13" s="17">
        <f t="shared" si="5"/>
        <v>5</v>
      </c>
      <c r="W13" s="17">
        <f t="shared" si="5"/>
        <v>0</v>
      </c>
      <c r="X13" s="17">
        <f t="shared" si="5"/>
        <v>1</v>
      </c>
      <c r="Y13" s="17">
        <f t="shared" si="5"/>
        <v>9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142</v>
      </c>
      <c r="AD13" s="17">
        <f t="shared" si="5"/>
        <v>0</v>
      </c>
      <c r="AE13" s="31">
        <f t="shared" si="5"/>
        <v>65</v>
      </c>
      <c r="AF13" s="31">
        <f t="shared" si="5"/>
        <v>207</v>
      </c>
    </row>
    <row r="14" spans="2:32" ht="23.1" customHeight="1" x14ac:dyDescent="0.25">
      <c r="B14" s="23" t="s">
        <v>41</v>
      </c>
      <c r="C14" s="50">
        <v>20</v>
      </c>
      <c r="D14" s="50">
        <v>0</v>
      </c>
      <c r="E14" s="50">
        <v>3</v>
      </c>
      <c r="F14" s="50">
        <v>2</v>
      </c>
      <c r="G14" s="50">
        <v>0</v>
      </c>
      <c r="H14" s="50">
        <v>0</v>
      </c>
      <c r="I14" s="50">
        <v>2</v>
      </c>
      <c r="J14" s="50">
        <v>0</v>
      </c>
      <c r="K14" s="50">
        <v>1</v>
      </c>
      <c r="L14" s="50">
        <v>0</v>
      </c>
      <c r="M14" s="50">
        <v>61</v>
      </c>
      <c r="N14" s="50">
        <v>0</v>
      </c>
      <c r="O14" s="15">
        <f t="shared" si="0"/>
        <v>28</v>
      </c>
      <c r="P14" s="15">
        <f t="shared" si="1"/>
        <v>89</v>
      </c>
      <c r="R14" s="1" t="s">
        <v>10</v>
      </c>
      <c r="S14" s="17">
        <f t="shared" ref="S14:AF14" si="6">SUM(C26:C29)</f>
        <v>51</v>
      </c>
      <c r="T14" s="17">
        <f t="shared" si="6"/>
        <v>7</v>
      </c>
      <c r="U14" s="17">
        <f t="shared" si="6"/>
        <v>7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13</v>
      </c>
      <c r="Z14" s="17">
        <f t="shared" si="6"/>
        <v>0</v>
      </c>
      <c r="AA14" s="17">
        <f t="shared" si="6"/>
        <v>0</v>
      </c>
      <c r="AB14" s="17">
        <f t="shared" si="6"/>
        <v>6</v>
      </c>
      <c r="AC14" s="17">
        <f t="shared" si="6"/>
        <v>129</v>
      </c>
      <c r="AD14" s="17">
        <f t="shared" si="6"/>
        <v>0</v>
      </c>
      <c r="AE14" s="31">
        <f t="shared" si="6"/>
        <v>89</v>
      </c>
      <c r="AF14" s="31">
        <f t="shared" si="6"/>
        <v>218</v>
      </c>
    </row>
    <row r="15" spans="2:32" ht="23.1" customHeight="1" x14ac:dyDescent="0.25">
      <c r="B15" s="23" t="s">
        <v>42</v>
      </c>
      <c r="C15" s="50">
        <v>14</v>
      </c>
      <c r="D15" s="50">
        <v>0</v>
      </c>
      <c r="E15" s="50">
        <v>1</v>
      </c>
      <c r="F15" s="50">
        <v>4</v>
      </c>
      <c r="G15" s="50">
        <v>0</v>
      </c>
      <c r="H15" s="50">
        <v>0</v>
      </c>
      <c r="I15" s="50">
        <v>3</v>
      </c>
      <c r="J15" s="50">
        <v>0</v>
      </c>
      <c r="K15" s="50">
        <v>1</v>
      </c>
      <c r="L15" s="50">
        <v>1</v>
      </c>
      <c r="M15" s="50">
        <v>48</v>
      </c>
      <c r="N15" s="50">
        <v>0</v>
      </c>
      <c r="O15" s="15">
        <f t="shared" si="0"/>
        <v>24</v>
      </c>
      <c r="P15" s="15">
        <f t="shared" si="1"/>
        <v>72</v>
      </c>
      <c r="R15" s="1" t="s">
        <v>11</v>
      </c>
      <c r="S15" s="17">
        <f t="shared" ref="S15:AF15" si="7">SUM(C30:C33)</f>
        <v>38</v>
      </c>
      <c r="T15" s="17">
        <f t="shared" si="7"/>
        <v>5</v>
      </c>
      <c r="U15" s="17">
        <f t="shared" si="7"/>
        <v>4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2</v>
      </c>
      <c r="AA15" s="17">
        <f t="shared" si="7"/>
        <v>2</v>
      </c>
      <c r="AB15" s="17">
        <f t="shared" si="7"/>
        <v>0</v>
      </c>
      <c r="AC15" s="17">
        <f t="shared" si="7"/>
        <v>156</v>
      </c>
      <c r="AD15" s="17">
        <f t="shared" si="7"/>
        <v>0</v>
      </c>
      <c r="AE15" s="31">
        <f t="shared" si="7"/>
        <v>60</v>
      </c>
      <c r="AF15" s="31">
        <f t="shared" si="7"/>
        <v>216</v>
      </c>
    </row>
    <row r="16" spans="2:32" ht="23.1" customHeight="1" x14ac:dyDescent="0.25">
      <c r="B16" s="23" t="s">
        <v>43</v>
      </c>
      <c r="C16" s="50">
        <v>8</v>
      </c>
      <c r="D16" s="50">
        <v>1</v>
      </c>
      <c r="E16" s="50">
        <v>3</v>
      </c>
      <c r="F16" s="50">
        <v>3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56</v>
      </c>
      <c r="N16" s="50">
        <v>0</v>
      </c>
      <c r="O16" s="15">
        <f t="shared" si="0"/>
        <v>18</v>
      </c>
      <c r="P16" s="15">
        <f t="shared" si="1"/>
        <v>74</v>
      </c>
      <c r="R16" s="1" t="s">
        <v>12</v>
      </c>
      <c r="S16" s="17">
        <f t="shared" ref="S16:AF16" si="8">SUM(C34:C37)</f>
        <v>30</v>
      </c>
      <c r="T16" s="17">
        <f t="shared" si="8"/>
        <v>9</v>
      </c>
      <c r="U16" s="17">
        <f t="shared" si="8"/>
        <v>11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133</v>
      </c>
      <c r="AD16" s="17">
        <f t="shared" si="8"/>
        <v>0</v>
      </c>
      <c r="AE16" s="31">
        <f t="shared" si="8"/>
        <v>70</v>
      </c>
      <c r="AF16" s="31">
        <f t="shared" si="8"/>
        <v>203</v>
      </c>
    </row>
    <row r="17" spans="2:32" ht="23.1" customHeight="1" x14ac:dyDescent="0.25">
      <c r="B17" s="23" t="s">
        <v>44</v>
      </c>
      <c r="C17" s="50">
        <v>17</v>
      </c>
      <c r="D17" s="50">
        <v>1</v>
      </c>
      <c r="E17" s="50">
        <v>2</v>
      </c>
      <c r="F17" s="50">
        <v>2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45</v>
      </c>
      <c r="N17" s="50">
        <v>0</v>
      </c>
      <c r="O17" s="15">
        <f t="shared" si="0"/>
        <v>26</v>
      </c>
      <c r="P17" s="15">
        <f t="shared" si="1"/>
        <v>71</v>
      </c>
      <c r="R17" s="1" t="s">
        <v>13</v>
      </c>
      <c r="S17" s="17">
        <f t="shared" ref="S17:AF17" si="9">SUM(C38:C41)</f>
        <v>33</v>
      </c>
      <c r="T17" s="17">
        <f t="shared" si="9"/>
        <v>9</v>
      </c>
      <c r="U17" s="17">
        <f t="shared" si="9"/>
        <v>6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123</v>
      </c>
      <c r="AD17" s="17">
        <f t="shared" si="9"/>
        <v>0</v>
      </c>
      <c r="AE17" s="31">
        <f t="shared" si="9"/>
        <v>63</v>
      </c>
      <c r="AF17" s="31">
        <f t="shared" si="9"/>
        <v>186</v>
      </c>
    </row>
    <row r="18" spans="2:32" ht="23.1" customHeight="1" x14ac:dyDescent="0.25">
      <c r="B18" s="23" t="s">
        <v>45</v>
      </c>
      <c r="C18" s="50">
        <v>13</v>
      </c>
      <c r="D18" s="50">
        <v>5</v>
      </c>
      <c r="E18" s="50">
        <v>0</v>
      </c>
      <c r="F18" s="50">
        <v>4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51</v>
      </c>
      <c r="N18" s="50">
        <v>0</v>
      </c>
      <c r="O18" s="15">
        <f t="shared" si="0"/>
        <v>23</v>
      </c>
      <c r="P18" s="15">
        <f t="shared" si="1"/>
        <v>74</v>
      </c>
      <c r="R18" s="1" t="s">
        <v>14</v>
      </c>
      <c r="S18" s="17">
        <f t="shared" ref="S18:AF18" si="10">SUM(C42:C45)</f>
        <v>42</v>
      </c>
      <c r="T18" s="17">
        <f t="shared" si="10"/>
        <v>9</v>
      </c>
      <c r="U18" s="17">
        <f t="shared" si="10"/>
        <v>6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4</v>
      </c>
      <c r="AA18" s="17">
        <f t="shared" si="10"/>
        <v>1</v>
      </c>
      <c r="AB18" s="17">
        <f t="shared" si="10"/>
        <v>0</v>
      </c>
      <c r="AC18" s="17">
        <f t="shared" si="10"/>
        <v>143</v>
      </c>
      <c r="AD18" s="17">
        <f t="shared" si="10"/>
        <v>0</v>
      </c>
      <c r="AE18" s="31">
        <f t="shared" si="10"/>
        <v>82</v>
      </c>
      <c r="AF18" s="31">
        <f t="shared" si="10"/>
        <v>225</v>
      </c>
    </row>
    <row r="19" spans="2:32" ht="23.1" customHeight="1" x14ac:dyDescent="0.25">
      <c r="B19" s="23" t="s">
        <v>46</v>
      </c>
      <c r="C19" s="50">
        <v>5</v>
      </c>
      <c r="D19" s="50">
        <v>1</v>
      </c>
      <c r="E19" s="50">
        <v>2</v>
      </c>
      <c r="F19" s="50">
        <v>0</v>
      </c>
      <c r="G19" s="50">
        <v>2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37</v>
      </c>
      <c r="N19" s="50">
        <v>0</v>
      </c>
      <c r="O19" s="15">
        <f t="shared" si="0"/>
        <v>13</v>
      </c>
      <c r="P19" s="15">
        <f t="shared" si="1"/>
        <v>50</v>
      </c>
      <c r="R19" s="1" t="s">
        <v>15</v>
      </c>
      <c r="S19" s="17">
        <f t="shared" ref="S19:AF19" si="11">SUM(C46:C49)</f>
        <v>47</v>
      </c>
      <c r="T19" s="17">
        <f t="shared" si="11"/>
        <v>13</v>
      </c>
      <c r="U19" s="17">
        <f t="shared" si="11"/>
        <v>10</v>
      </c>
      <c r="V19" s="17">
        <f t="shared" si="11"/>
        <v>17</v>
      </c>
      <c r="W19" s="17">
        <f t="shared" si="11"/>
        <v>2</v>
      </c>
      <c r="X19" s="17">
        <f t="shared" si="11"/>
        <v>0</v>
      </c>
      <c r="Y19" s="17">
        <f t="shared" si="11"/>
        <v>11</v>
      </c>
      <c r="Z19" s="17">
        <f t="shared" si="11"/>
        <v>2</v>
      </c>
      <c r="AA19" s="17">
        <f t="shared" si="11"/>
        <v>0</v>
      </c>
      <c r="AB19" s="17">
        <f t="shared" si="11"/>
        <v>1</v>
      </c>
      <c r="AC19" s="17">
        <f t="shared" si="11"/>
        <v>122</v>
      </c>
      <c r="AD19" s="17">
        <f t="shared" si="11"/>
        <v>0</v>
      </c>
      <c r="AE19" s="31">
        <f t="shared" si="11"/>
        <v>103</v>
      </c>
      <c r="AF19" s="31">
        <f t="shared" si="11"/>
        <v>225</v>
      </c>
    </row>
    <row r="20" spans="2:32" ht="23.1" customHeight="1" x14ac:dyDescent="0.25">
      <c r="B20" s="23" t="s">
        <v>47</v>
      </c>
      <c r="C20" s="50">
        <v>10</v>
      </c>
      <c r="D20" s="50">
        <v>2</v>
      </c>
      <c r="E20" s="50">
        <v>2</v>
      </c>
      <c r="F20" s="50">
        <v>2</v>
      </c>
      <c r="G20" s="50">
        <v>0</v>
      </c>
      <c r="H20" s="50">
        <v>0</v>
      </c>
      <c r="I20" s="50">
        <v>3</v>
      </c>
      <c r="J20" s="50">
        <v>2</v>
      </c>
      <c r="K20" s="50">
        <v>0</v>
      </c>
      <c r="L20" s="50">
        <v>1</v>
      </c>
      <c r="M20" s="50">
        <v>55</v>
      </c>
      <c r="N20" s="50">
        <v>0</v>
      </c>
      <c r="O20" s="15">
        <f t="shared" si="0"/>
        <v>22</v>
      </c>
      <c r="P20" s="15">
        <f t="shared" si="1"/>
        <v>77</v>
      </c>
      <c r="R20" s="1" t="s">
        <v>16</v>
      </c>
      <c r="S20" s="17">
        <f t="shared" ref="S20:AF20" si="12">SUM(C50:C53)</f>
        <v>48</v>
      </c>
      <c r="T20" s="17">
        <f t="shared" si="12"/>
        <v>8</v>
      </c>
      <c r="U20" s="17">
        <f t="shared" si="12"/>
        <v>7</v>
      </c>
      <c r="V20" s="17">
        <f t="shared" si="12"/>
        <v>17</v>
      </c>
      <c r="W20" s="17">
        <f t="shared" si="12"/>
        <v>0</v>
      </c>
      <c r="X20" s="17">
        <f t="shared" si="12"/>
        <v>0</v>
      </c>
      <c r="Y20" s="17">
        <f t="shared" si="12"/>
        <v>14</v>
      </c>
      <c r="Z20" s="17">
        <f t="shared" si="12"/>
        <v>1</v>
      </c>
      <c r="AA20" s="17">
        <f t="shared" si="12"/>
        <v>1</v>
      </c>
      <c r="AB20" s="17">
        <f t="shared" si="12"/>
        <v>1</v>
      </c>
      <c r="AC20" s="17">
        <f t="shared" si="12"/>
        <v>186</v>
      </c>
      <c r="AD20" s="17">
        <f t="shared" si="12"/>
        <v>0</v>
      </c>
      <c r="AE20" s="31">
        <f t="shared" si="12"/>
        <v>97</v>
      </c>
      <c r="AF20" s="31">
        <f t="shared" si="12"/>
        <v>283</v>
      </c>
    </row>
    <row r="21" spans="2:32" ht="23.1" customHeight="1" x14ac:dyDescent="0.25">
      <c r="B21" s="23" t="s">
        <v>48</v>
      </c>
      <c r="C21" s="50">
        <v>11</v>
      </c>
      <c r="D21" s="50">
        <v>1</v>
      </c>
      <c r="E21" s="50">
        <v>2</v>
      </c>
      <c r="F21" s="50">
        <v>2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28</v>
      </c>
      <c r="N21" s="50">
        <v>0</v>
      </c>
      <c r="O21" s="15">
        <f t="shared" si="0"/>
        <v>19</v>
      </c>
      <c r="P21" s="15">
        <f t="shared" si="1"/>
        <v>47</v>
      </c>
      <c r="R21" s="36" t="s">
        <v>20</v>
      </c>
      <c r="S21" s="34">
        <f t="shared" ref="S21:AF21" si="13">SUM(C54:C57)</f>
        <v>58</v>
      </c>
      <c r="T21" s="17">
        <f t="shared" si="13"/>
        <v>10</v>
      </c>
      <c r="U21" s="17">
        <f t="shared" si="13"/>
        <v>11</v>
      </c>
      <c r="V21" s="17">
        <f t="shared" si="13"/>
        <v>19</v>
      </c>
      <c r="W21" s="17">
        <f t="shared" si="13"/>
        <v>4</v>
      </c>
      <c r="X21" s="17">
        <f t="shared" si="13"/>
        <v>0</v>
      </c>
      <c r="Y21" s="17">
        <f t="shared" si="13"/>
        <v>12</v>
      </c>
      <c r="Z21" s="17">
        <f t="shared" si="13"/>
        <v>2</v>
      </c>
      <c r="AA21" s="17">
        <f t="shared" si="13"/>
        <v>3</v>
      </c>
      <c r="AB21" s="17">
        <f t="shared" si="13"/>
        <v>0</v>
      </c>
      <c r="AC21" s="17">
        <f t="shared" si="13"/>
        <v>179</v>
      </c>
      <c r="AD21" s="17">
        <f t="shared" si="13"/>
        <v>0</v>
      </c>
      <c r="AE21" s="31">
        <f t="shared" si="13"/>
        <v>119</v>
      </c>
      <c r="AF21" s="31">
        <f t="shared" si="13"/>
        <v>298</v>
      </c>
    </row>
    <row r="22" spans="2:32" ht="23.1" customHeight="1" x14ac:dyDescent="0.25">
      <c r="B22" s="23" t="s">
        <v>49</v>
      </c>
      <c r="C22" s="50">
        <v>12</v>
      </c>
      <c r="D22" s="50">
        <v>4</v>
      </c>
      <c r="E22" s="50">
        <v>3</v>
      </c>
      <c r="F22" s="50">
        <v>0</v>
      </c>
      <c r="G22" s="50">
        <v>0</v>
      </c>
      <c r="H22" s="50">
        <v>0</v>
      </c>
      <c r="I22" s="50">
        <v>3</v>
      </c>
      <c r="J22" s="50">
        <v>1</v>
      </c>
      <c r="K22" s="50">
        <v>0</v>
      </c>
      <c r="L22" s="50">
        <v>0</v>
      </c>
      <c r="M22" s="50">
        <v>42</v>
      </c>
      <c r="N22" s="50">
        <v>0</v>
      </c>
      <c r="O22" s="15">
        <f t="shared" si="0"/>
        <v>23</v>
      </c>
      <c r="P22" s="15">
        <f t="shared" si="1"/>
        <v>65</v>
      </c>
      <c r="R22" s="38" t="s">
        <v>90</v>
      </c>
      <c r="S22" s="39">
        <f>MAX(S10:S12)</f>
        <v>79</v>
      </c>
      <c r="T22" s="39">
        <f t="shared" ref="T22:AF22" si="14">MAX(T10:T12)</f>
        <v>10</v>
      </c>
      <c r="U22" s="39">
        <f t="shared" si="14"/>
        <v>10</v>
      </c>
      <c r="V22" s="39">
        <f t="shared" si="14"/>
        <v>11</v>
      </c>
      <c r="W22" s="39">
        <f t="shared" si="14"/>
        <v>10</v>
      </c>
      <c r="X22" s="39">
        <f t="shared" si="14"/>
        <v>0</v>
      </c>
      <c r="Y22" s="39">
        <f t="shared" si="14"/>
        <v>11</v>
      </c>
      <c r="Z22" s="39">
        <f t="shared" si="14"/>
        <v>5</v>
      </c>
      <c r="AA22" s="39">
        <f t="shared" si="14"/>
        <v>2</v>
      </c>
      <c r="AB22" s="39">
        <f t="shared" si="14"/>
        <v>1</v>
      </c>
      <c r="AC22" s="39">
        <f t="shared" si="14"/>
        <v>210</v>
      </c>
      <c r="AD22" s="39">
        <f t="shared" si="14"/>
        <v>0</v>
      </c>
      <c r="AE22" s="40">
        <f t="shared" si="14"/>
        <v>130</v>
      </c>
      <c r="AF22" s="40">
        <f t="shared" si="14"/>
        <v>324</v>
      </c>
    </row>
    <row r="23" spans="2:32" ht="23.1" customHeight="1" x14ac:dyDescent="0.25">
      <c r="B23" s="23" t="s">
        <v>50</v>
      </c>
      <c r="C23" s="50">
        <v>8</v>
      </c>
      <c r="D23" s="50">
        <v>4</v>
      </c>
      <c r="E23" s="50">
        <v>0</v>
      </c>
      <c r="F23" s="50">
        <v>3</v>
      </c>
      <c r="G23" s="50">
        <v>0</v>
      </c>
      <c r="H23" s="50">
        <v>0</v>
      </c>
      <c r="I23" s="50">
        <v>6</v>
      </c>
      <c r="J23" s="50">
        <v>1</v>
      </c>
      <c r="K23" s="50">
        <v>1</v>
      </c>
      <c r="L23" s="50">
        <v>0</v>
      </c>
      <c r="M23" s="50">
        <v>44</v>
      </c>
      <c r="N23" s="50">
        <v>0</v>
      </c>
      <c r="O23" s="15">
        <f t="shared" si="0"/>
        <v>23</v>
      </c>
      <c r="P23" s="15">
        <f t="shared" si="1"/>
        <v>67</v>
      </c>
      <c r="R23" s="38" t="s">
        <v>91</v>
      </c>
      <c r="S23" s="39">
        <f>MAX(S13:S18)</f>
        <v>51</v>
      </c>
      <c r="T23" s="39">
        <f t="shared" ref="T23:AF23" si="15">MAX(T13:T18)</f>
        <v>9</v>
      </c>
      <c r="U23" s="39">
        <f t="shared" si="15"/>
        <v>11</v>
      </c>
      <c r="V23" s="39">
        <f t="shared" si="15"/>
        <v>9</v>
      </c>
      <c r="W23" s="39">
        <f t="shared" si="15"/>
        <v>0</v>
      </c>
      <c r="X23" s="39">
        <f t="shared" si="15"/>
        <v>1</v>
      </c>
      <c r="Y23" s="39">
        <f t="shared" si="15"/>
        <v>13</v>
      </c>
      <c r="Z23" s="39">
        <f t="shared" si="15"/>
        <v>4</v>
      </c>
      <c r="AA23" s="39">
        <f t="shared" si="15"/>
        <v>2</v>
      </c>
      <c r="AB23" s="39">
        <f t="shared" si="15"/>
        <v>6</v>
      </c>
      <c r="AC23" s="39">
        <f t="shared" si="15"/>
        <v>156</v>
      </c>
      <c r="AD23" s="39">
        <f t="shared" si="15"/>
        <v>0</v>
      </c>
      <c r="AE23" s="40">
        <f t="shared" si="15"/>
        <v>89</v>
      </c>
      <c r="AF23" s="40">
        <f t="shared" si="15"/>
        <v>225</v>
      </c>
    </row>
    <row r="24" spans="2:32" ht="23.1" customHeight="1" x14ac:dyDescent="0.25">
      <c r="B24" s="23" t="s">
        <v>51</v>
      </c>
      <c r="C24" s="50">
        <v>9</v>
      </c>
      <c r="D24" s="50">
        <v>1</v>
      </c>
      <c r="E24" s="50">
        <v>0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25</v>
      </c>
      <c r="N24" s="50">
        <v>0</v>
      </c>
      <c r="O24" s="15">
        <f t="shared" si="0"/>
        <v>12</v>
      </c>
      <c r="P24" s="15">
        <f t="shared" si="1"/>
        <v>37</v>
      </c>
      <c r="R24" s="38" t="s">
        <v>92</v>
      </c>
      <c r="S24" s="39">
        <f>MAX(S19:S21)</f>
        <v>58</v>
      </c>
      <c r="T24" s="39">
        <f t="shared" ref="T24:AF24" si="16">MAX(T19:T21)</f>
        <v>13</v>
      </c>
      <c r="U24" s="39">
        <f t="shared" si="16"/>
        <v>11</v>
      </c>
      <c r="V24" s="39">
        <f t="shared" si="16"/>
        <v>19</v>
      </c>
      <c r="W24" s="39">
        <f t="shared" si="16"/>
        <v>4</v>
      </c>
      <c r="X24" s="39">
        <f t="shared" si="16"/>
        <v>0</v>
      </c>
      <c r="Y24" s="39">
        <f t="shared" si="16"/>
        <v>14</v>
      </c>
      <c r="Z24" s="39">
        <f t="shared" si="16"/>
        <v>2</v>
      </c>
      <c r="AA24" s="39">
        <f t="shared" si="16"/>
        <v>3</v>
      </c>
      <c r="AB24" s="39">
        <f t="shared" si="16"/>
        <v>1</v>
      </c>
      <c r="AC24" s="39">
        <f t="shared" si="16"/>
        <v>186</v>
      </c>
      <c r="AD24" s="39">
        <f t="shared" si="16"/>
        <v>0</v>
      </c>
      <c r="AE24" s="40">
        <f t="shared" si="16"/>
        <v>119</v>
      </c>
      <c r="AF24" s="40">
        <f t="shared" si="16"/>
        <v>298</v>
      </c>
    </row>
    <row r="25" spans="2:32" ht="23.1" customHeight="1" x14ac:dyDescent="0.25">
      <c r="B25" s="23" t="s">
        <v>52</v>
      </c>
      <c r="C25" s="50">
        <v>6</v>
      </c>
      <c r="D25" s="50">
        <v>0</v>
      </c>
      <c r="E25" s="50">
        <v>0</v>
      </c>
      <c r="F25" s="50">
        <v>0</v>
      </c>
      <c r="G25" s="50">
        <v>0</v>
      </c>
      <c r="H25" s="50">
        <v>1</v>
      </c>
      <c r="I25" s="50">
        <v>0</v>
      </c>
      <c r="J25" s="50">
        <v>0</v>
      </c>
      <c r="K25" s="50">
        <v>0</v>
      </c>
      <c r="L25" s="50">
        <v>0</v>
      </c>
      <c r="M25" s="50">
        <v>31</v>
      </c>
      <c r="N25" s="50">
        <v>0</v>
      </c>
      <c r="O25" s="15">
        <f t="shared" si="0"/>
        <v>7</v>
      </c>
      <c r="P25" s="15">
        <f t="shared" si="1"/>
        <v>38</v>
      </c>
      <c r="R25" s="37" t="s">
        <v>85</v>
      </c>
      <c r="S25" s="35">
        <f t="shared" ref="S25:AF25" si="17">SUM(S10:S12)</f>
        <v>177</v>
      </c>
      <c r="T25" s="16">
        <f t="shared" si="17"/>
        <v>21</v>
      </c>
      <c r="U25" s="16">
        <f t="shared" si="17"/>
        <v>25</v>
      </c>
      <c r="V25" s="16">
        <f t="shared" si="17"/>
        <v>29</v>
      </c>
      <c r="W25" s="16">
        <f t="shared" si="17"/>
        <v>12</v>
      </c>
      <c r="X25" s="16">
        <f t="shared" si="17"/>
        <v>0</v>
      </c>
      <c r="Y25" s="16">
        <f t="shared" si="17"/>
        <v>26</v>
      </c>
      <c r="Z25" s="16">
        <f t="shared" si="17"/>
        <v>9</v>
      </c>
      <c r="AA25" s="16">
        <f t="shared" si="17"/>
        <v>2</v>
      </c>
      <c r="AB25" s="16">
        <f t="shared" si="17"/>
        <v>2</v>
      </c>
      <c r="AC25" s="16">
        <f t="shared" si="17"/>
        <v>575</v>
      </c>
      <c r="AD25" s="16">
        <f t="shared" si="17"/>
        <v>0</v>
      </c>
      <c r="AE25" s="32">
        <f t="shared" si="17"/>
        <v>303</v>
      </c>
      <c r="AF25" s="32">
        <f t="shared" si="17"/>
        <v>878</v>
      </c>
    </row>
    <row r="26" spans="2:32" ht="23.1" customHeight="1" x14ac:dyDescent="0.25">
      <c r="B26" s="23" t="s">
        <v>53</v>
      </c>
      <c r="C26" s="50">
        <v>8</v>
      </c>
      <c r="D26" s="50">
        <v>0</v>
      </c>
      <c r="E26" s="50">
        <v>2</v>
      </c>
      <c r="F26" s="50">
        <v>2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3</v>
      </c>
      <c r="M26" s="50">
        <v>42</v>
      </c>
      <c r="N26" s="50">
        <v>0</v>
      </c>
      <c r="O26" s="15">
        <f t="shared" si="0"/>
        <v>19</v>
      </c>
      <c r="P26" s="15">
        <f t="shared" si="1"/>
        <v>61</v>
      </c>
      <c r="R26" s="28" t="s">
        <v>86</v>
      </c>
      <c r="S26" s="16">
        <f t="shared" ref="S26:AF26" si="18">SUM(S13:S18)</f>
        <v>229</v>
      </c>
      <c r="T26" s="16">
        <f t="shared" si="18"/>
        <v>48</v>
      </c>
      <c r="U26" s="16">
        <f t="shared" si="18"/>
        <v>37</v>
      </c>
      <c r="V26" s="16">
        <f t="shared" si="18"/>
        <v>38</v>
      </c>
      <c r="W26" s="16">
        <f t="shared" si="18"/>
        <v>0</v>
      </c>
      <c r="X26" s="16">
        <f t="shared" si="18"/>
        <v>1</v>
      </c>
      <c r="Y26" s="16">
        <f t="shared" si="18"/>
        <v>54</v>
      </c>
      <c r="Z26" s="16">
        <f t="shared" si="18"/>
        <v>9</v>
      </c>
      <c r="AA26" s="16">
        <f t="shared" si="18"/>
        <v>7</v>
      </c>
      <c r="AB26" s="16">
        <f t="shared" si="18"/>
        <v>6</v>
      </c>
      <c r="AC26" s="16">
        <f t="shared" si="18"/>
        <v>826</v>
      </c>
      <c r="AD26" s="16">
        <f t="shared" si="18"/>
        <v>0</v>
      </c>
      <c r="AE26" s="32">
        <f t="shared" si="18"/>
        <v>429</v>
      </c>
      <c r="AF26" s="32">
        <f t="shared" si="18"/>
        <v>1255</v>
      </c>
    </row>
    <row r="27" spans="2:32" ht="23.1" customHeight="1" x14ac:dyDescent="0.25">
      <c r="B27" s="23" t="s">
        <v>54</v>
      </c>
      <c r="C27" s="50">
        <v>6</v>
      </c>
      <c r="D27" s="50">
        <v>1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1</v>
      </c>
      <c r="M27" s="50">
        <v>23</v>
      </c>
      <c r="N27" s="50">
        <v>0</v>
      </c>
      <c r="O27" s="15">
        <f t="shared" si="0"/>
        <v>10</v>
      </c>
      <c r="P27" s="15">
        <f t="shared" si="1"/>
        <v>33</v>
      </c>
      <c r="R27" s="29" t="s">
        <v>87</v>
      </c>
      <c r="S27" s="16">
        <f t="shared" ref="S27:AF27" si="19">SUM(S19:S21)</f>
        <v>153</v>
      </c>
      <c r="T27" s="16">
        <f t="shared" si="19"/>
        <v>31</v>
      </c>
      <c r="U27" s="16">
        <f t="shared" si="19"/>
        <v>28</v>
      </c>
      <c r="V27" s="16">
        <f t="shared" si="19"/>
        <v>53</v>
      </c>
      <c r="W27" s="16">
        <f t="shared" si="19"/>
        <v>6</v>
      </c>
      <c r="X27" s="16">
        <f t="shared" si="19"/>
        <v>0</v>
      </c>
      <c r="Y27" s="16">
        <f t="shared" si="19"/>
        <v>37</v>
      </c>
      <c r="Z27" s="16">
        <f t="shared" si="19"/>
        <v>5</v>
      </c>
      <c r="AA27" s="16">
        <f t="shared" si="19"/>
        <v>4</v>
      </c>
      <c r="AB27" s="16">
        <f t="shared" si="19"/>
        <v>2</v>
      </c>
      <c r="AC27" s="16">
        <f t="shared" si="19"/>
        <v>487</v>
      </c>
      <c r="AD27" s="16">
        <f t="shared" si="19"/>
        <v>0</v>
      </c>
      <c r="AE27" s="32">
        <f t="shared" si="19"/>
        <v>319</v>
      </c>
      <c r="AF27" s="32">
        <f t="shared" si="19"/>
        <v>806</v>
      </c>
    </row>
    <row r="28" spans="2:32" ht="23.1" customHeight="1" x14ac:dyDescent="0.25">
      <c r="B28" s="23" t="s">
        <v>55</v>
      </c>
      <c r="C28" s="50">
        <v>23</v>
      </c>
      <c r="D28" s="50">
        <v>1</v>
      </c>
      <c r="E28" s="50">
        <v>2</v>
      </c>
      <c r="F28" s="50">
        <v>1</v>
      </c>
      <c r="G28" s="50">
        <v>0</v>
      </c>
      <c r="H28" s="50">
        <v>0</v>
      </c>
      <c r="I28" s="50">
        <v>9</v>
      </c>
      <c r="J28" s="50">
        <v>0</v>
      </c>
      <c r="K28" s="50">
        <v>0</v>
      </c>
      <c r="L28" s="50">
        <v>1</v>
      </c>
      <c r="M28" s="50">
        <v>35</v>
      </c>
      <c r="N28" s="50">
        <v>0</v>
      </c>
      <c r="O28" s="15">
        <f t="shared" si="0"/>
        <v>37</v>
      </c>
      <c r="P28" s="15">
        <f t="shared" si="1"/>
        <v>72</v>
      </c>
      <c r="R28" s="5" t="s">
        <v>17</v>
      </c>
      <c r="S28" s="16">
        <f t="shared" ref="S28:AF28" si="20">SUM(S10:S21)</f>
        <v>559</v>
      </c>
      <c r="T28" s="16">
        <f t="shared" si="20"/>
        <v>100</v>
      </c>
      <c r="U28" s="16">
        <f t="shared" si="20"/>
        <v>90</v>
      </c>
      <c r="V28" s="16">
        <f t="shared" si="20"/>
        <v>120</v>
      </c>
      <c r="W28" s="16">
        <f t="shared" si="20"/>
        <v>18</v>
      </c>
      <c r="X28" s="16">
        <f t="shared" si="20"/>
        <v>1</v>
      </c>
      <c r="Y28" s="16">
        <f t="shared" si="20"/>
        <v>117</v>
      </c>
      <c r="Z28" s="16">
        <f t="shared" si="20"/>
        <v>23</v>
      </c>
      <c r="AA28" s="16">
        <f t="shared" si="20"/>
        <v>13</v>
      </c>
      <c r="AB28" s="16">
        <f t="shared" si="20"/>
        <v>10</v>
      </c>
      <c r="AC28" s="16">
        <f t="shared" si="20"/>
        <v>1888</v>
      </c>
      <c r="AD28" s="16">
        <f t="shared" si="20"/>
        <v>0</v>
      </c>
      <c r="AE28" s="32">
        <f t="shared" si="20"/>
        <v>1051</v>
      </c>
      <c r="AF28" s="32">
        <f t="shared" si="20"/>
        <v>2939</v>
      </c>
    </row>
    <row r="29" spans="2:32" ht="23.1" customHeight="1" x14ac:dyDescent="0.25">
      <c r="B29" s="23" t="s">
        <v>56</v>
      </c>
      <c r="C29" s="50">
        <v>14</v>
      </c>
      <c r="D29" s="50">
        <v>5</v>
      </c>
      <c r="E29" s="50">
        <v>2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29</v>
      </c>
      <c r="N29" s="50">
        <v>0</v>
      </c>
      <c r="O29" s="15">
        <f t="shared" si="0"/>
        <v>23</v>
      </c>
      <c r="P29" s="15">
        <f t="shared" si="1"/>
        <v>52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3</v>
      </c>
      <c r="E30" s="50">
        <v>0</v>
      </c>
      <c r="F30" s="50">
        <v>1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0</v>
      </c>
      <c r="M30" s="50">
        <v>35</v>
      </c>
      <c r="N30" s="50">
        <v>0</v>
      </c>
      <c r="O30" s="15">
        <f t="shared" si="0"/>
        <v>12</v>
      </c>
      <c r="P30" s="15">
        <f t="shared" si="1"/>
        <v>47</v>
      </c>
    </row>
    <row r="31" spans="2:32" ht="23.1" customHeight="1" x14ac:dyDescent="0.25">
      <c r="B31" s="24" t="s">
        <v>58</v>
      </c>
      <c r="C31" s="50">
        <v>14</v>
      </c>
      <c r="D31" s="50">
        <v>0</v>
      </c>
      <c r="E31" s="50">
        <v>1</v>
      </c>
      <c r="F31" s="50">
        <v>3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56</v>
      </c>
      <c r="N31" s="50">
        <v>0</v>
      </c>
      <c r="O31" s="15">
        <f t="shared" si="0"/>
        <v>19</v>
      </c>
      <c r="P31" s="15">
        <f t="shared" si="1"/>
        <v>75</v>
      </c>
    </row>
    <row r="32" spans="2:32" ht="23.1" customHeight="1" x14ac:dyDescent="0.25">
      <c r="B32" s="24" t="s">
        <v>59</v>
      </c>
      <c r="C32" s="50">
        <v>11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2</v>
      </c>
      <c r="K32" s="50">
        <v>1</v>
      </c>
      <c r="L32" s="50">
        <v>0</v>
      </c>
      <c r="M32" s="50">
        <v>35</v>
      </c>
      <c r="N32" s="50">
        <v>0</v>
      </c>
      <c r="O32" s="15">
        <f t="shared" si="0"/>
        <v>15</v>
      </c>
      <c r="P32" s="15">
        <f t="shared" si="1"/>
        <v>50</v>
      </c>
    </row>
    <row r="33" spans="2:20" ht="23.1" customHeight="1" x14ac:dyDescent="0.25">
      <c r="B33" s="23" t="s">
        <v>60</v>
      </c>
      <c r="C33" s="50">
        <v>8</v>
      </c>
      <c r="D33" s="50">
        <v>1</v>
      </c>
      <c r="E33" s="50">
        <v>3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30</v>
      </c>
      <c r="N33" s="50">
        <v>0</v>
      </c>
      <c r="O33" s="15">
        <f t="shared" si="0"/>
        <v>14</v>
      </c>
      <c r="P33" s="15">
        <f t="shared" si="1"/>
        <v>44</v>
      </c>
    </row>
    <row r="34" spans="2:20" ht="23.1" customHeight="1" x14ac:dyDescent="0.25">
      <c r="B34" s="24" t="s">
        <v>61</v>
      </c>
      <c r="C34" s="50">
        <v>7</v>
      </c>
      <c r="D34" s="50">
        <v>3</v>
      </c>
      <c r="E34" s="50">
        <v>7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25</v>
      </c>
      <c r="N34" s="50">
        <v>0</v>
      </c>
      <c r="O34" s="15">
        <f t="shared" si="0"/>
        <v>22</v>
      </c>
      <c r="P34" s="15">
        <f t="shared" si="1"/>
        <v>47</v>
      </c>
    </row>
    <row r="35" spans="2:20" ht="23.1" customHeight="1" x14ac:dyDescent="0.25">
      <c r="B35" s="24" t="s">
        <v>62</v>
      </c>
      <c r="C35" s="50">
        <v>4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26</v>
      </c>
      <c r="N35" s="50">
        <v>0</v>
      </c>
      <c r="O35" s="15">
        <f t="shared" si="0"/>
        <v>7</v>
      </c>
      <c r="P35" s="15">
        <f t="shared" si="1"/>
        <v>33</v>
      </c>
    </row>
    <row r="36" spans="2:20" ht="23.1" customHeight="1" x14ac:dyDescent="0.25">
      <c r="B36" s="24" t="s">
        <v>63</v>
      </c>
      <c r="C36" s="50">
        <v>13</v>
      </c>
      <c r="D36" s="50">
        <v>2</v>
      </c>
      <c r="E36" s="50">
        <v>3</v>
      </c>
      <c r="F36" s="50">
        <v>3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36</v>
      </c>
      <c r="N36" s="50">
        <v>0</v>
      </c>
      <c r="O36" s="15">
        <f t="shared" si="0"/>
        <v>24</v>
      </c>
      <c r="P36" s="15">
        <f t="shared" si="1"/>
        <v>60</v>
      </c>
    </row>
    <row r="37" spans="2:20" ht="23.1" customHeight="1" x14ac:dyDescent="0.25">
      <c r="B37" s="23" t="s">
        <v>64</v>
      </c>
      <c r="C37" s="50">
        <v>6</v>
      </c>
      <c r="D37" s="50">
        <v>4</v>
      </c>
      <c r="E37" s="50">
        <v>0</v>
      </c>
      <c r="F37" s="50">
        <v>2</v>
      </c>
      <c r="G37" s="50">
        <v>0</v>
      </c>
      <c r="H37" s="50">
        <v>0</v>
      </c>
      <c r="I37" s="50">
        <v>3</v>
      </c>
      <c r="J37" s="50">
        <v>0</v>
      </c>
      <c r="K37" s="50">
        <v>2</v>
      </c>
      <c r="L37" s="50">
        <v>0</v>
      </c>
      <c r="M37" s="50">
        <v>46</v>
      </c>
      <c r="N37" s="50">
        <v>0</v>
      </c>
      <c r="O37" s="15">
        <f t="shared" si="0"/>
        <v>17</v>
      </c>
      <c r="P37" s="15">
        <f t="shared" si="1"/>
        <v>63</v>
      </c>
    </row>
    <row r="38" spans="2:20" ht="23.1" customHeight="1" x14ac:dyDescent="0.25">
      <c r="B38" s="24" t="s">
        <v>65</v>
      </c>
      <c r="C38" s="50">
        <v>2</v>
      </c>
      <c r="D38" s="50">
        <v>3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27</v>
      </c>
      <c r="N38" s="50">
        <v>0</v>
      </c>
      <c r="O38" s="15">
        <f t="shared" si="0"/>
        <v>6</v>
      </c>
      <c r="P38" s="15">
        <f t="shared" si="1"/>
        <v>33</v>
      </c>
    </row>
    <row r="39" spans="2:20" ht="23.1" customHeight="1" x14ac:dyDescent="0.25">
      <c r="B39" s="24" t="s">
        <v>66</v>
      </c>
      <c r="C39" s="50">
        <v>10</v>
      </c>
      <c r="D39" s="50">
        <v>3</v>
      </c>
      <c r="E39" s="50">
        <v>0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32</v>
      </c>
      <c r="N39" s="50">
        <v>0</v>
      </c>
      <c r="O39" s="15">
        <f t="shared" si="0"/>
        <v>17</v>
      </c>
      <c r="P39" s="15">
        <f t="shared" si="1"/>
        <v>49</v>
      </c>
    </row>
    <row r="40" spans="2:20" ht="23.1" customHeight="1" x14ac:dyDescent="0.25">
      <c r="B40" s="24" t="s">
        <v>67</v>
      </c>
      <c r="C40" s="50">
        <v>13</v>
      </c>
      <c r="D40" s="50">
        <v>2</v>
      </c>
      <c r="E40" s="50">
        <v>2</v>
      </c>
      <c r="F40" s="50">
        <v>3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36</v>
      </c>
      <c r="N40" s="50">
        <v>0</v>
      </c>
      <c r="O40" s="15">
        <f t="shared" si="0"/>
        <v>21</v>
      </c>
      <c r="P40" s="15">
        <f t="shared" si="1"/>
        <v>57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3</v>
      </c>
      <c r="F41" s="50">
        <v>2</v>
      </c>
      <c r="G41" s="50">
        <v>0</v>
      </c>
      <c r="H41" s="50">
        <v>0</v>
      </c>
      <c r="I41" s="50">
        <v>3</v>
      </c>
      <c r="J41" s="50">
        <v>1</v>
      </c>
      <c r="K41" s="50">
        <v>1</v>
      </c>
      <c r="L41" s="50">
        <v>0</v>
      </c>
      <c r="M41" s="50">
        <v>28</v>
      </c>
      <c r="N41" s="50">
        <v>0</v>
      </c>
      <c r="O41" s="15">
        <f t="shared" si="0"/>
        <v>19</v>
      </c>
      <c r="P41" s="15">
        <f t="shared" si="1"/>
        <v>47</v>
      </c>
    </row>
    <row r="42" spans="2:20" ht="23.1" customHeight="1" x14ac:dyDescent="0.25">
      <c r="B42" s="24" t="s">
        <v>69</v>
      </c>
      <c r="C42" s="50">
        <v>13</v>
      </c>
      <c r="D42" s="50">
        <v>1</v>
      </c>
      <c r="E42" s="50">
        <v>1</v>
      </c>
      <c r="F42" s="50">
        <v>3</v>
      </c>
      <c r="G42" s="50">
        <v>0</v>
      </c>
      <c r="H42" s="50">
        <v>0</v>
      </c>
      <c r="I42" s="50">
        <v>3</v>
      </c>
      <c r="J42" s="50">
        <v>3</v>
      </c>
      <c r="K42" s="50">
        <v>1</v>
      </c>
      <c r="L42" s="50">
        <v>0</v>
      </c>
      <c r="M42" s="50">
        <v>36</v>
      </c>
      <c r="N42" s="50">
        <v>0</v>
      </c>
      <c r="O42" s="15">
        <f t="shared" si="0"/>
        <v>25</v>
      </c>
      <c r="P42" s="15">
        <f t="shared" si="1"/>
        <v>61</v>
      </c>
    </row>
    <row r="43" spans="2:20" ht="23.1" customHeight="1" x14ac:dyDescent="0.25">
      <c r="B43" s="23" t="s">
        <v>70</v>
      </c>
      <c r="C43" s="50">
        <v>8</v>
      </c>
      <c r="D43" s="50">
        <v>2</v>
      </c>
      <c r="E43" s="50">
        <v>1</v>
      </c>
      <c r="F43" s="50">
        <v>2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33</v>
      </c>
      <c r="N43" s="50">
        <v>0</v>
      </c>
      <c r="O43" s="15">
        <f t="shared" si="0"/>
        <v>16</v>
      </c>
      <c r="P43" s="15">
        <f t="shared" si="1"/>
        <v>49</v>
      </c>
    </row>
    <row r="44" spans="2:20" ht="23.1" customHeight="1" x14ac:dyDescent="0.25">
      <c r="B44" s="25" t="s">
        <v>71</v>
      </c>
      <c r="C44" s="50">
        <v>7</v>
      </c>
      <c r="D44" s="50">
        <v>3</v>
      </c>
      <c r="E44" s="50">
        <v>2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34</v>
      </c>
      <c r="N44" s="50">
        <v>0</v>
      </c>
      <c r="O44" s="15">
        <f t="shared" si="0"/>
        <v>15</v>
      </c>
      <c r="P44" s="15">
        <f t="shared" si="1"/>
        <v>49</v>
      </c>
    </row>
    <row r="45" spans="2:20" ht="23.1" customHeight="1" x14ac:dyDescent="0.25">
      <c r="B45" s="23" t="s">
        <v>72</v>
      </c>
      <c r="C45" s="50">
        <v>14</v>
      </c>
      <c r="D45" s="50">
        <v>3</v>
      </c>
      <c r="E45" s="50">
        <v>2</v>
      </c>
      <c r="F45" s="50">
        <v>2</v>
      </c>
      <c r="G45" s="50">
        <v>0</v>
      </c>
      <c r="H45" s="50">
        <v>0</v>
      </c>
      <c r="I45" s="50">
        <v>4</v>
      </c>
      <c r="J45" s="50">
        <v>1</v>
      </c>
      <c r="K45" s="50">
        <v>0</v>
      </c>
      <c r="L45" s="50">
        <v>0</v>
      </c>
      <c r="M45" s="50">
        <v>40</v>
      </c>
      <c r="N45" s="50">
        <v>0</v>
      </c>
      <c r="O45" s="15">
        <f t="shared" si="0"/>
        <v>26</v>
      </c>
      <c r="P45" s="15">
        <f t="shared" si="1"/>
        <v>66</v>
      </c>
    </row>
    <row r="46" spans="2:20" ht="23.1" customHeight="1" x14ac:dyDescent="0.25">
      <c r="B46" s="24" t="s">
        <v>73</v>
      </c>
      <c r="C46" s="50">
        <v>11</v>
      </c>
      <c r="D46" s="50">
        <v>2</v>
      </c>
      <c r="E46" s="50">
        <v>0</v>
      </c>
      <c r="F46" s="50">
        <v>3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33</v>
      </c>
      <c r="N46" s="50">
        <v>0</v>
      </c>
      <c r="O46" s="15">
        <f t="shared" si="0"/>
        <v>19</v>
      </c>
      <c r="P46" s="15">
        <f t="shared" si="1"/>
        <v>52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2</v>
      </c>
      <c r="E47" s="50">
        <v>0</v>
      </c>
      <c r="F47" s="50">
        <v>4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34</v>
      </c>
      <c r="N47" s="50">
        <v>0</v>
      </c>
      <c r="O47" s="15">
        <f t="shared" si="0"/>
        <v>18</v>
      </c>
      <c r="P47" s="15">
        <f t="shared" si="1"/>
        <v>52</v>
      </c>
      <c r="R47" s="8"/>
      <c r="T47"/>
    </row>
    <row r="48" spans="2:20" ht="23.1" customHeight="1" x14ac:dyDescent="0.25">
      <c r="B48" s="24" t="s">
        <v>75</v>
      </c>
      <c r="C48" s="50">
        <v>22</v>
      </c>
      <c r="D48" s="50">
        <v>6</v>
      </c>
      <c r="E48" s="50">
        <v>5</v>
      </c>
      <c r="F48" s="50">
        <v>8</v>
      </c>
      <c r="G48" s="50">
        <v>2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33</v>
      </c>
      <c r="N48" s="50">
        <v>0</v>
      </c>
      <c r="O48" s="15">
        <f t="shared" si="0"/>
        <v>47</v>
      </c>
      <c r="P48" s="15">
        <f t="shared" si="1"/>
        <v>80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3</v>
      </c>
      <c r="E49" s="50">
        <v>5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1</v>
      </c>
      <c r="M49" s="50">
        <v>22</v>
      </c>
      <c r="N49" s="50">
        <v>0</v>
      </c>
      <c r="O49" s="15">
        <f t="shared" si="0"/>
        <v>19</v>
      </c>
      <c r="P49" s="15">
        <f t="shared" si="1"/>
        <v>41</v>
      </c>
      <c r="R49" s="8"/>
      <c r="T49"/>
    </row>
    <row r="50" spans="2:20" ht="23.1" customHeight="1" x14ac:dyDescent="0.25">
      <c r="B50" s="24" t="s">
        <v>77</v>
      </c>
      <c r="C50" s="50">
        <v>12</v>
      </c>
      <c r="D50" s="50">
        <v>1</v>
      </c>
      <c r="E50" s="50">
        <v>1</v>
      </c>
      <c r="F50" s="50">
        <v>5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1</v>
      </c>
      <c r="M50" s="50">
        <v>41</v>
      </c>
      <c r="N50" s="50">
        <v>0</v>
      </c>
      <c r="O50" s="15">
        <f t="shared" si="0"/>
        <v>23</v>
      </c>
      <c r="P50" s="15">
        <f t="shared" si="1"/>
        <v>64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3</v>
      </c>
      <c r="E51" s="50">
        <v>1</v>
      </c>
      <c r="F51" s="50">
        <v>3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51</v>
      </c>
      <c r="N51" s="50">
        <v>0</v>
      </c>
      <c r="O51" s="15">
        <f t="shared" si="0"/>
        <v>22</v>
      </c>
      <c r="P51" s="15">
        <f t="shared" si="1"/>
        <v>73</v>
      </c>
      <c r="R51" s="8"/>
      <c r="T51"/>
    </row>
    <row r="52" spans="2:20" ht="23.1" customHeight="1" x14ac:dyDescent="0.25">
      <c r="B52" s="24" t="s">
        <v>79</v>
      </c>
      <c r="C52" s="50">
        <v>11</v>
      </c>
      <c r="D52" s="50">
        <v>1</v>
      </c>
      <c r="E52" s="50">
        <v>1</v>
      </c>
      <c r="F52" s="50">
        <v>4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47</v>
      </c>
      <c r="N52" s="50">
        <v>0</v>
      </c>
      <c r="O52" s="15">
        <f t="shared" si="0"/>
        <v>22</v>
      </c>
      <c r="P52" s="15">
        <f t="shared" si="1"/>
        <v>69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3</v>
      </c>
      <c r="E53" s="50">
        <v>4</v>
      </c>
      <c r="F53" s="50">
        <v>5</v>
      </c>
      <c r="G53" s="50">
        <v>0</v>
      </c>
      <c r="H53" s="50">
        <v>0</v>
      </c>
      <c r="I53" s="50">
        <v>6</v>
      </c>
      <c r="J53" s="50">
        <v>0</v>
      </c>
      <c r="K53" s="50">
        <v>1</v>
      </c>
      <c r="L53" s="50">
        <v>0</v>
      </c>
      <c r="M53" s="50">
        <v>47</v>
      </c>
      <c r="N53" s="50">
        <v>0</v>
      </c>
      <c r="O53" s="15">
        <f t="shared" si="0"/>
        <v>30</v>
      </c>
      <c r="P53" s="15">
        <f t="shared" si="1"/>
        <v>77</v>
      </c>
      <c r="R53" s="8"/>
      <c r="T53"/>
    </row>
    <row r="54" spans="2:20" ht="23.1" customHeight="1" x14ac:dyDescent="0.25">
      <c r="B54" s="23" t="s">
        <v>81</v>
      </c>
      <c r="C54" s="50">
        <v>19</v>
      </c>
      <c r="D54" s="50">
        <v>4</v>
      </c>
      <c r="E54" s="50">
        <v>7</v>
      </c>
      <c r="F54" s="50">
        <v>5</v>
      </c>
      <c r="G54" s="50">
        <v>0</v>
      </c>
      <c r="H54" s="50">
        <v>0</v>
      </c>
      <c r="I54" s="50">
        <v>3</v>
      </c>
      <c r="J54" s="50">
        <v>2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40</v>
      </c>
      <c r="P54" s="15">
        <f t="shared" si="1"/>
        <v>90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1</v>
      </c>
      <c r="E55" s="50">
        <v>2</v>
      </c>
      <c r="F55" s="50">
        <v>5</v>
      </c>
      <c r="G55" s="50">
        <v>0</v>
      </c>
      <c r="H55" s="50">
        <v>0</v>
      </c>
      <c r="I55" s="50">
        <v>3</v>
      </c>
      <c r="J55" s="50">
        <v>0</v>
      </c>
      <c r="K55" s="50">
        <v>1</v>
      </c>
      <c r="L55" s="50">
        <v>0</v>
      </c>
      <c r="M55" s="50">
        <v>42</v>
      </c>
      <c r="N55" s="50">
        <v>0</v>
      </c>
      <c r="O55" s="15">
        <f t="shared" si="0"/>
        <v>24</v>
      </c>
      <c r="P55" s="15">
        <f t="shared" si="1"/>
        <v>66</v>
      </c>
      <c r="R55" s="8"/>
      <c r="T55"/>
    </row>
    <row r="56" spans="2:20" ht="23.1" customHeight="1" x14ac:dyDescent="0.25">
      <c r="B56" s="23" t="s">
        <v>83</v>
      </c>
      <c r="C56" s="50">
        <v>10</v>
      </c>
      <c r="D56" s="50">
        <v>4</v>
      </c>
      <c r="E56" s="50">
        <v>2</v>
      </c>
      <c r="F56" s="50">
        <v>4</v>
      </c>
      <c r="G56" s="50">
        <v>1</v>
      </c>
      <c r="H56" s="50">
        <v>0</v>
      </c>
      <c r="I56" s="50">
        <v>4</v>
      </c>
      <c r="J56" s="50">
        <v>0</v>
      </c>
      <c r="K56" s="50">
        <v>0</v>
      </c>
      <c r="L56" s="50">
        <v>0</v>
      </c>
      <c r="M56" s="50">
        <v>55</v>
      </c>
      <c r="N56" s="50">
        <v>0</v>
      </c>
      <c r="O56" s="15">
        <f t="shared" si="0"/>
        <v>25</v>
      </c>
      <c r="P56" s="15">
        <f t="shared" si="1"/>
        <v>80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1</v>
      </c>
      <c r="E57" s="50">
        <v>0</v>
      </c>
      <c r="F57" s="50">
        <v>5</v>
      </c>
      <c r="G57" s="50">
        <v>3</v>
      </c>
      <c r="H57" s="50">
        <v>0</v>
      </c>
      <c r="I57" s="50">
        <v>2</v>
      </c>
      <c r="J57" s="50">
        <v>0</v>
      </c>
      <c r="K57" s="50">
        <v>2</v>
      </c>
      <c r="L57" s="50">
        <v>0</v>
      </c>
      <c r="M57" s="50">
        <v>32</v>
      </c>
      <c r="N57" s="50">
        <v>0</v>
      </c>
      <c r="O57" s="15">
        <f t="shared" si="0"/>
        <v>30</v>
      </c>
      <c r="P57" s="15">
        <f t="shared" si="1"/>
        <v>62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559</v>
      </c>
      <c r="D58" s="16">
        <f t="shared" si="21"/>
        <v>100</v>
      </c>
      <c r="E58" s="16">
        <f t="shared" si="21"/>
        <v>90</v>
      </c>
      <c r="F58" s="16">
        <f t="shared" si="21"/>
        <v>120</v>
      </c>
      <c r="G58" s="16">
        <f t="shared" si="21"/>
        <v>18</v>
      </c>
      <c r="H58" s="16">
        <f t="shared" si="21"/>
        <v>1</v>
      </c>
      <c r="I58" s="16">
        <f t="shared" si="21"/>
        <v>117</v>
      </c>
      <c r="J58" s="16">
        <f t="shared" si="21"/>
        <v>23</v>
      </c>
      <c r="K58" s="16">
        <f t="shared" si="21"/>
        <v>13</v>
      </c>
      <c r="L58" s="16">
        <f t="shared" si="21"/>
        <v>10</v>
      </c>
      <c r="M58" s="16">
        <f t="shared" si="21"/>
        <v>1888</v>
      </c>
      <c r="N58" s="16">
        <f t="shared" si="21"/>
        <v>0</v>
      </c>
      <c r="O58" s="16">
        <f t="shared" si="21"/>
        <v>1051</v>
      </c>
      <c r="P58" s="16">
        <f t="shared" si="21"/>
        <v>2939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0.1902007485539299</v>
      </c>
      <c r="D59" s="43">
        <f t="shared" si="22"/>
        <v>3.4025178632187819E-2</v>
      </c>
      <c r="E59" s="43">
        <f t="shared" si="22"/>
        <v>3.0622660768969037E-2</v>
      </c>
      <c r="F59" s="43">
        <f t="shared" si="22"/>
        <v>4.0830214358625383E-2</v>
      </c>
      <c r="G59" s="43">
        <f t="shared" si="22"/>
        <v>6.1245321537938078E-3</v>
      </c>
      <c r="H59" s="43">
        <f t="shared" si="22"/>
        <v>3.4025178632187818E-4</v>
      </c>
      <c r="I59" s="43">
        <f t="shared" si="22"/>
        <v>3.980945899965975E-2</v>
      </c>
      <c r="J59" s="43">
        <f t="shared" si="22"/>
        <v>7.8257910854031987E-3</v>
      </c>
      <c r="K59" s="43">
        <f t="shared" si="22"/>
        <v>4.4232732221844168E-3</v>
      </c>
      <c r="L59" s="43">
        <f t="shared" si="22"/>
        <v>3.4025178632187819E-3</v>
      </c>
      <c r="M59" s="43">
        <f t="shared" si="22"/>
        <v>0.642395372575706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0.5318744053282588</v>
      </c>
      <c r="D60" s="44">
        <f t="shared" ref="D60:N60" si="23">D58/$O$58</f>
        <v>9.5147478591817311E-2</v>
      </c>
      <c r="E60" s="44">
        <f t="shared" si="23"/>
        <v>8.5632730732635581E-2</v>
      </c>
      <c r="F60" s="44">
        <f t="shared" si="23"/>
        <v>0.11417697431018078</v>
      </c>
      <c r="G60" s="44">
        <f t="shared" si="23"/>
        <v>1.7126546146527116E-2</v>
      </c>
      <c r="H60" s="44">
        <f t="shared" si="23"/>
        <v>9.5147478591817321E-4</v>
      </c>
      <c r="I60" s="44">
        <f t="shared" si="23"/>
        <v>0.11132254995242626</v>
      </c>
      <c r="J60" s="44">
        <f t="shared" si="23"/>
        <v>2.1883920076117985E-2</v>
      </c>
      <c r="K60" s="44">
        <f t="shared" si="23"/>
        <v>1.2369172216936251E-2</v>
      </c>
      <c r="L60" s="44">
        <f t="shared" si="23"/>
        <v>9.5147478591817315E-3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25" zoomScale="60" workbookViewId="0">
      <selection activeCell="K6" activeCellId="5" sqref="C3:G3 D6:E6 G5:H5 G6:H6 K5:L5 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'23.09- Kasangati-Matuga'!C3:G3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150" t="str">
        <f>'23.09- Kasangati-Matuga'!G5:H5</f>
        <v>Kiiza-besigye road</v>
      </c>
      <c r="H5" s="151"/>
      <c r="I5" s="14"/>
      <c r="J5" s="2" t="s">
        <v>5</v>
      </c>
      <c r="K5" s="150" t="str">
        <f>'23.09- Kasangati-Matuga'!K5:L5</f>
        <v>kivumbi george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tr">
        <f>'23.09- Kasangati-Matuga'!D6:E6</f>
        <v>Kasangati</v>
      </c>
      <c r="E6" s="151"/>
      <c r="F6" s="2" t="s">
        <v>2</v>
      </c>
      <c r="G6" s="150" t="str">
        <f>'23.09- Kasangati-Matuga'!G6:H6</f>
        <v>matugga</v>
      </c>
      <c r="H6" s="151"/>
      <c r="J6" s="2" t="s">
        <v>21</v>
      </c>
      <c r="K6" s="150" t="str">
        <f>'23.09- Kasangati-Matuga'!K6:L6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</v>
      </c>
      <c r="D10" s="50">
        <v>6</v>
      </c>
      <c r="E10" s="50">
        <v>2</v>
      </c>
      <c r="F10" s="50">
        <v>7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1</v>
      </c>
      <c r="M10" s="50">
        <v>40</v>
      </c>
      <c r="N10" s="50">
        <v>0</v>
      </c>
      <c r="O10" s="15">
        <f t="shared" ref="O10:O57" si="0">SUM(C10:L10,N10)</f>
        <v>28</v>
      </c>
      <c r="P10" s="15">
        <f t="shared" ref="P10:P57" si="1">SUM(C10:N10)</f>
        <v>68</v>
      </c>
      <c r="R10" s="1" t="s">
        <v>6</v>
      </c>
      <c r="S10" s="17">
        <f t="shared" ref="S10:AF10" si="2">SUM(C10:C13)</f>
        <v>38</v>
      </c>
      <c r="T10" s="17">
        <f t="shared" si="2"/>
        <v>16</v>
      </c>
      <c r="U10" s="17">
        <f t="shared" si="2"/>
        <v>10</v>
      </c>
      <c r="V10" s="17">
        <f t="shared" si="2"/>
        <v>17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2</v>
      </c>
      <c r="AA10" s="17">
        <f t="shared" si="2"/>
        <v>0</v>
      </c>
      <c r="AB10" s="17">
        <f t="shared" si="2"/>
        <v>1</v>
      </c>
      <c r="AC10" s="17">
        <f t="shared" si="2"/>
        <v>170</v>
      </c>
      <c r="AD10" s="17">
        <f t="shared" si="2"/>
        <v>0</v>
      </c>
      <c r="AE10" s="31">
        <f t="shared" si="2"/>
        <v>92</v>
      </c>
      <c r="AF10" s="31">
        <f t="shared" si="2"/>
        <v>262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5</v>
      </c>
      <c r="E11" s="50">
        <v>3</v>
      </c>
      <c r="F11" s="50">
        <v>5</v>
      </c>
      <c r="G11" s="50">
        <v>1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43</v>
      </c>
      <c r="N11" s="50">
        <v>0</v>
      </c>
      <c r="O11" s="15">
        <f t="shared" si="0"/>
        <v>28</v>
      </c>
      <c r="P11" s="15">
        <f t="shared" si="1"/>
        <v>71</v>
      </c>
      <c r="R11" s="1" t="s">
        <v>7</v>
      </c>
      <c r="S11" s="17">
        <f t="shared" ref="S11:AF11" si="3">SUM(C14:C17)</f>
        <v>45</v>
      </c>
      <c r="T11" s="17">
        <f t="shared" si="3"/>
        <v>12</v>
      </c>
      <c r="U11" s="17">
        <f t="shared" si="3"/>
        <v>8</v>
      </c>
      <c r="V11" s="17">
        <f t="shared" si="3"/>
        <v>12</v>
      </c>
      <c r="W11" s="17">
        <f t="shared" si="3"/>
        <v>0</v>
      </c>
      <c r="X11" s="17">
        <f t="shared" si="3"/>
        <v>0</v>
      </c>
      <c r="Y11" s="17">
        <f t="shared" si="3"/>
        <v>11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195</v>
      </c>
      <c r="AD11" s="17">
        <f t="shared" si="3"/>
        <v>0</v>
      </c>
      <c r="AE11" s="31">
        <f t="shared" si="3"/>
        <v>90</v>
      </c>
      <c r="AF11" s="31">
        <f t="shared" si="3"/>
        <v>285</v>
      </c>
    </row>
    <row r="12" spans="2:32" ht="23.1" customHeight="1" x14ac:dyDescent="0.25">
      <c r="B12" s="23" t="s">
        <v>39</v>
      </c>
      <c r="C12" s="50">
        <v>8</v>
      </c>
      <c r="D12" s="50">
        <v>3</v>
      </c>
      <c r="E12" s="50">
        <v>3</v>
      </c>
      <c r="F12" s="50">
        <v>3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48</v>
      </c>
      <c r="N12" s="50">
        <v>0</v>
      </c>
      <c r="O12" s="15">
        <f t="shared" si="0"/>
        <v>19</v>
      </c>
      <c r="P12" s="15">
        <f t="shared" si="1"/>
        <v>67</v>
      </c>
      <c r="R12" s="1" t="s">
        <v>8</v>
      </c>
      <c r="S12" s="17">
        <f t="shared" ref="S12:AF12" si="4">SUM(C18:C21)</f>
        <v>33</v>
      </c>
      <c r="T12" s="17">
        <f t="shared" si="4"/>
        <v>13</v>
      </c>
      <c r="U12" s="17">
        <f t="shared" si="4"/>
        <v>6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2</v>
      </c>
      <c r="AA12" s="17">
        <f t="shared" si="4"/>
        <v>1</v>
      </c>
      <c r="AB12" s="17">
        <f t="shared" si="4"/>
        <v>0</v>
      </c>
      <c r="AC12" s="17">
        <f t="shared" si="4"/>
        <v>148</v>
      </c>
      <c r="AD12" s="17">
        <f t="shared" si="4"/>
        <v>0</v>
      </c>
      <c r="AE12" s="31">
        <f t="shared" si="4"/>
        <v>72</v>
      </c>
      <c r="AF12" s="31">
        <f t="shared" si="4"/>
        <v>220</v>
      </c>
    </row>
    <row r="13" spans="2:32" ht="23.1" customHeight="1" x14ac:dyDescent="0.25">
      <c r="B13" s="23" t="s">
        <v>40</v>
      </c>
      <c r="C13" s="50">
        <v>10</v>
      </c>
      <c r="D13" s="50">
        <v>2</v>
      </c>
      <c r="E13" s="50">
        <v>2</v>
      </c>
      <c r="F13" s="50">
        <v>2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39</v>
      </c>
      <c r="N13" s="50">
        <v>0</v>
      </c>
      <c r="O13" s="15">
        <f t="shared" si="0"/>
        <v>17</v>
      </c>
      <c r="P13" s="15">
        <f t="shared" si="1"/>
        <v>56</v>
      </c>
      <c r="R13" s="1" t="s">
        <v>9</v>
      </c>
      <c r="S13" s="17">
        <f t="shared" ref="S13:AF13" si="5">SUM(C22:C25)</f>
        <v>28</v>
      </c>
      <c r="T13" s="17">
        <f t="shared" si="5"/>
        <v>11</v>
      </c>
      <c r="U13" s="17">
        <f t="shared" si="5"/>
        <v>10</v>
      </c>
      <c r="V13" s="17">
        <f t="shared" si="5"/>
        <v>5</v>
      </c>
      <c r="W13" s="17">
        <f t="shared" si="5"/>
        <v>0</v>
      </c>
      <c r="X13" s="17">
        <f t="shared" si="5"/>
        <v>1</v>
      </c>
      <c r="Y13" s="17">
        <f t="shared" si="5"/>
        <v>8</v>
      </c>
      <c r="Z13" s="17">
        <f t="shared" si="5"/>
        <v>7</v>
      </c>
      <c r="AA13" s="17">
        <f t="shared" si="5"/>
        <v>1</v>
      </c>
      <c r="AB13" s="17">
        <f t="shared" si="5"/>
        <v>0</v>
      </c>
      <c r="AC13" s="17">
        <f t="shared" si="5"/>
        <v>96</v>
      </c>
      <c r="AD13" s="17">
        <f t="shared" si="5"/>
        <v>0</v>
      </c>
      <c r="AE13" s="31">
        <f t="shared" si="5"/>
        <v>71</v>
      </c>
      <c r="AF13" s="31">
        <f t="shared" si="5"/>
        <v>167</v>
      </c>
    </row>
    <row r="14" spans="2:32" ht="23.1" customHeight="1" x14ac:dyDescent="0.25">
      <c r="B14" s="23" t="s">
        <v>41</v>
      </c>
      <c r="C14" s="50">
        <v>10</v>
      </c>
      <c r="D14" s="50">
        <v>1</v>
      </c>
      <c r="E14" s="50">
        <v>5</v>
      </c>
      <c r="F14" s="50">
        <v>3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53</v>
      </c>
      <c r="N14" s="50">
        <v>0</v>
      </c>
      <c r="O14" s="15">
        <f t="shared" si="0"/>
        <v>21</v>
      </c>
      <c r="P14" s="15">
        <f t="shared" si="1"/>
        <v>74</v>
      </c>
      <c r="R14" s="1" t="s">
        <v>10</v>
      </c>
      <c r="S14" s="17">
        <f t="shared" ref="S14:AF14" si="6">SUM(C26:C29)</f>
        <v>17</v>
      </c>
      <c r="T14" s="17">
        <f t="shared" si="6"/>
        <v>15</v>
      </c>
      <c r="U14" s="17">
        <f t="shared" si="6"/>
        <v>15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9</v>
      </c>
      <c r="AA14" s="17">
        <f t="shared" si="6"/>
        <v>2</v>
      </c>
      <c r="AB14" s="17">
        <f t="shared" si="6"/>
        <v>0</v>
      </c>
      <c r="AC14" s="17">
        <f t="shared" si="6"/>
        <v>95</v>
      </c>
      <c r="AD14" s="17">
        <f t="shared" si="6"/>
        <v>0</v>
      </c>
      <c r="AE14" s="31">
        <f t="shared" si="6"/>
        <v>69</v>
      </c>
      <c r="AF14" s="31">
        <f t="shared" si="6"/>
        <v>164</v>
      </c>
    </row>
    <row r="15" spans="2:32" ht="23.1" customHeight="1" x14ac:dyDescent="0.25">
      <c r="B15" s="23" t="s">
        <v>42</v>
      </c>
      <c r="C15" s="50">
        <v>21</v>
      </c>
      <c r="D15" s="50">
        <v>1</v>
      </c>
      <c r="E15" s="50">
        <v>1</v>
      </c>
      <c r="F15" s="50">
        <v>5</v>
      </c>
      <c r="G15" s="50">
        <v>0</v>
      </c>
      <c r="H15" s="50">
        <v>0</v>
      </c>
      <c r="I15" s="50">
        <v>6</v>
      </c>
      <c r="J15" s="50">
        <v>0</v>
      </c>
      <c r="K15" s="50">
        <v>1</v>
      </c>
      <c r="L15" s="50">
        <v>0</v>
      </c>
      <c r="M15" s="50">
        <v>51</v>
      </c>
      <c r="N15" s="50">
        <v>0</v>
      </c>
      <c r="O15" s="15">
        <f t="shared" si="0"/>
        <v>35</v>
      </c>
      <c r="P15" s="15">
        <f t="shared" si="1"/>
        <v>86</v>
      </c>
      <c r="R15" s="1" t="s">
        <v>11</v>
      </c>
      <c r="S15" s="17">
        <f t="shared" ref="S15:AF15" si="7">SUM(C30:C33)</f>
        <v>25</v>
      </c>
      <c r="T15" s="17">
        <f t="shared" si="7"/>
        <v>17</v>
      </c>
      <c r="U15" s="17">
        <f t="shared" si="7"/>
        <v>10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103</v>
      </c>
      <c r="AD15" s="17">
        <f t="shared" si="7"/>
        <v>0</v>
      </c>
      <c r="AE15" s="31">
        <f t="shared" si="7"/>
        <v>70</v>
      </c>
      <c r="AF15" s="31">
        <f t="shared" si="7"/>
        <v>173</v>
      </c>
    </row>
    <row r="16" spans="2:32" ht="23.1" customHeight="1" x14ac:dyDescent="0.25">
      <c r="B16" s="23" t="s">
        <v>43</v>
      </c>
      <c r="C16" s="50">
        <v>6</v>
      </c>
      <c r="D16" s="50">
        <v>2</v>
      </c>
      <c r="E16" s="50">
        <v>1</v>
      </c>
      <c r="F16" s="50">
        <v>3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50</v>
      </c>
      <c r="N16" s="50">
        <v>0</v>
      </c>
      <c r="O16" s="15">
        <f t="shared" si="0"/>
        <v>13</v>
      </c>
      <c r="P16" s="15">
        <f t="shared" si="1"/>
        <v>63</v>
      </c>
      <c r="R16" s="1" t="s">
        <v>12</v>
      </c>
      <c r="S16" s="17">
        <f t="shared" ref="S16:AF16" si="8">SUM(C34:C37)</f>
        <v>30</v>
      </c>
      <c r="T16" s="17">
        <f t="shared" si="8"/>
        <v>14</v>
      </c>
      <c r="U16" s="17">
        <f t="shared" si="8"/>
        <v>6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2</v>
      </c>
      <c r="AA16" s="17">
        <f t="shared" si="8"/>
        <v>1</v>
      </c>
      <c r="AB16" s="17">
        <f t="shared" si="8"/>
        <v>1</v>
      </c>
      <c r="AC16" s="17">
        <f t="shared" si="8"/>
        <v>108</v>
      </c>
      <c r="AD16" s="17">
        <f t="shared" si="8"/>
        <v>0</v>
      </c>
      <c r="AE16" s="31">
        <f t="shared" si="8"/>
        <v>69</v>
      </c>
      <c r="AF16" s="31">
        <f t="shared" si="8"/>
        <v>177</v>
      </c>
    </row>
    <row r="17" spans="2:32" ht="23.1" customHeight="1" x14ac:dyDescent="0.25">
      <c r="B17" s="23" t="s">
        <v>44</v>
      </c>
      <c r="C17" s="50">
        <v>8</v>
      </c>
      <c r="D17" s="50">
        <v>8</v>
      </c>
      <c r="E17" s="50">
        <v>1</v>
      </c>
      <c r="F17" s="50">
        <v>1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41</v>
      </c>
      <c r="N17" s="50">
        <v>0</v>
      </c>
      <c r="O17" s="15">
        <f t="shared" si="0"/>
        <v>21</v>
      </c>
      <c r="P17" s="15">
        <f t="shared" si="1"/>
        <v>62</v>
      </c>
      <c r="R17" s="1" t="s">
        <v>13</v>
      </c>
      <c r="S17" s="17">
        <f t="shared" ref="S17:AF17" si="9">SUM(C38:C41)</f>
        <v>21</v>
      </c>
      <c r="T17" s="17">
        <f t="shared" si="9"/>
        <v>3</v>
      </c>
      <c r="U17" s="17">
        <f t="shared" si="9"/>
        <v>9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6</v>
      </c>
      <c r="AA17" s="17">
        <f t="shared" si="9"/>
        <v>1</v>
      </c>
      <c r="AB17" s="17">
        <f t="shared" si="9"/>
        <v>0</v>
      </c>
      <c r="AC17" s="17">
        <f t="shared" si="9"/>
        <v>80</v>
      </c>
      <c r="AD17" s="17">
        <f t="shared" si="9"/>
        <v>0</v>
      </c>
      <c r="AE17" s="31">
        <f t="shared" si="9"/>
        <v>54</v>
      </c>
      <c r="AF17" s="31">
        <f t="shared" si="9"/>
        <v>134</v>
      </c>
    </row>
    <row r="18" spans="2:32" ht="23.1" customHeight="1" x14ac:dyDescent="0.25">
      <c r="B18" s="23" t="s">
        <v>45</v>
      </c>
      <c r="C18" s="50">
        <v>9</v>
      </c>
      <c r="D18" s="50">
        <v>6</v>
      </c>
      <c r="E18" s="50">
        <v>0</v>
      </c>
      <c r="F18" s="50">
        <v>4</v>
      </c>
      <c r="G18" s="50">
        <v>0</v>
      </c>
      <c r="H18" s="50">
        <v>0</v>
      </c>
      <c r="I18" s="50">
        <v>4</v>
      </c>
      <c r="J18" s="50">
        <v>0</v>
      </c>
      <c r="K18" s="50">
        <v>0</v>
      </c>
      <c r="L18" s="50">
        <v>0</v>
      </c>
      <c r="M18" s="50">
        <v>36</v>
      </c>
      <c r="N18" s="50">
        <v>0</v>
      </c>
      <c r="O18" s="15">
        <f t="shared" si="0"/>
        <v>23</v>
      </c>
      <c r="P18" s="15">
        <f t="shared" si="1"/>
        <v>59</v>
      </c>
      <c r="R18" s="1" t="s">
        <v>14</v>
      </c>
      <c r="S18" s="17">
        <f t="shared" ref="S18:AF18" si="10">SUM(C42:C45)</f>
        <v>34</v>
      </c>
      <c r="T18" s="17">
        <f t="shared" si="10"/>
        <v>8</v>
      </c>
      <c r="U18" s="17">
        <f t="shared" si="10"/>
        <v>3</v>
      </c>
      <c r="V18" s="17">
        <f t="shared" si="10"/>
        <v>10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107</v>
      </c>
      <c r="AD18" s="17">
        <f t="shared" si="10"/>
        <v>0</v>
      </c>
      <c r="AE18" s="31">
        <f t="shared" si="10"/>
        <v>65</v>
      </c>
      <c r="AF18" s="31">
        <f t="shared" si="10"/>
        <v>172</v>
      </c>
    </row>
    <row r="19" spans="2:32" ht="23.1" customHeight="1" x14ac:dyDescent="0.25">
      <c r="B19" s="23" t="s">
        <v>46</v>
      </c>
      <c r="C19" s="50">
        <v>8</v>
      </c>
      <c r="D19" s="50">
        <v>2</v>
      </c>
      <c r="E19" s="50">
        <v>3</v>
      </c>
      <c r="F19" s="50">
        <v>3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38</v>
      </c>
      <c r="N19" s="50">
        <v>0</v>
      </c>
      <c r="O19" s="15">
        <f t="shared" si="0"/>
        <v>19</v>
      </c>
      <c r="P19" s="15">
        <f t="shared" si="1"/>
        <v>57</v>
      </c>
      <c r="R19" s="1" t="s">
        <v>15</v>
      </c>
      <c r="S19" s="17">
        <f t="shared" ref="S19:AF19" si="11">SUM(C46:C49)</f>
        <v>34</v>
      </c>
      <c r="T19" s="17">
        <f t="shared" si="11"/>
        <v>12</v>
      </c>
      <c r="U19" s="17">
        <f t="shared" si="11"/>
        <v>4</v>
      </c>
      <c r="V19" s="17">
        <f t="shared" si="11"/>
        <v>17</v>
      </c>
      <c r="W19" s="17">
        <f t="shared" si="11"/>
        <v>1</v>
      </c>
      <c r="X19" s="17">
        <f t="shared" si="11"/>
        <v>2</v>
      </c>
      <c r="Y19" s="17">
        <f t="shared" si="11"/>
        <v>10</v>
      </c>
      <c r="Z19" s="17">
        <f t="shared" si="11"/>
        <v>7</v>
      </c>
      <c r="AA19" s="17">
        <f t="shared" si="11"/>
        <v>0</v>
      </c>
      <c r="AB19" s="17">
        <f t="shared" si="11"/>
        <v>0</v>
      </c>
      <c r="AC19" s="17">
        <f t="shared" si="11"/>
        <v>129</v>
      </c>
      <c r="AD19" s="17">
        <f t="shared" si="11"/>
        <v>0</v>
      </c>
      <c r="AE19" s="31">
        <f t="shared" si="11"/>
        <v>87</v>
      </c>
      <c r="AF19" s="31">
        <f t="shared" si="11"/>
        <v>216</v>
      </c>
    </row>
    <row r="20" spans="2:32" ht="23.1" customHeight="1" x14ac:dyDescent="0.25">
      <c r="B20" s="23" t="s">
        <v>47</v>
      </c>
      <c r="C20" s="50">
        <v>11</v>
      </c>
      <c r="D20" s="50">
        <v>3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39</v>
      </c>
      <c r="N20" s="50">
        <v>0</v>
      </c>
      <c r="O20" s="15">
        <f t="shared" si="0"/>
        <v>16</v>
      </c>
      <c r="P20" s="15">
        <f t="shared" si="1"/>
        <v>55</v>
      </c>
      <c r="R20" s="1" t="s">
        <v>16</v>
      </c>
      <c r="S20" s="17">
        <f t="shared" ref="S20:AF20" si="12">SUM(C50:C53)</f>
        <v>51</v>
      </c>
      <c r="T20" s="17">
        <f t="shared" si="12"/>
        <v>33</v>
      </c>
      <c r="U20" s="17">
        <f t="shared" si="12"/>
        <v>12</v>
      </c>
      <c r="V20" s="17">
        <f t="shared" si="12"/>
        <v>19</v>
      </c>
      <c r="W20" s="17">
        <f t="shared" si="12"/>
        <v>0</v>
      </c>
      <c r="X20" s="17">
        <f t="shared" si="12"/>
        <v>0</v>
      </c>
      <c r="Y20" s="17">
        <f t="shared" si="12"/>
        <v>8</v>
      </c>
      <c r="Z20" s="17">
        <f t="shared" si="12"/>
        <v>4</v>
      </c>
      <c r="AA20" s="17">
        <f t="shared" si="12"/>
        <v>1</v>
      </c>
      <c r="AB20" s="17">
        <f t="shared" si="12"/>
        <v>1</v>
      </c>
      <c r="AC20" s="17">
        <f t="shared" si="12"/>
        <v>122</v>
      </c>
      <c r="AD20" s="17">
        <f t="shared" si="12"/>
        <v>1</v>
      </c>
      <c r="AE20" s="31">
        <f t="shared" si="12"/>
        <v>130</v>
      </c>
      <c r="AF20" s="31">
        <f t="shared" si="12"/>
        <v>252</v>
      </c>
    </row>
    <row r="21" spans="2:32" ht="23.1" customHeight="1" x14ac:dyDescent="0.25">
      <c r="B21" s="23" t="s">
        <v>48</v>
      </c>
      <c r="C21" s="50">
        <v>5</v>
      </c>
      <c r="D21" s="50">
        <v>2</v>
      </c>
      <c r="E21" s="50">
        <v>3</v>
      </c>
      <c r="F21" s="50">
        <v>2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35</v>
      </c>
      <c r="N21" s="50">
        <v>0</v>
      </c>
      <c r="O21" s="15">
        <f t="shared" si="0"/>
        <v>14</v>
      </c>
      <c r="P21" s="15">
        <f t="shared" si="1"/>
        <v>49</v>
      </c>
      <c r="R21" s="36" t="s">
        <v>20</v>
      </c>
      <c r="S21" s="34">
        <f t="shared" ref="S21:AF21" si="13">SUM(C54:C57)</f>
        <v>58</v>
      </c>
      <c r="T21" s="17">
        <f t="shared" si="13"/>
        <v>35</v>
      </c>
      <c r="U21" s="17">
        <f t="shared" si="13"/>
        <v>9</v>
      </c>
      <c r="V21" s="17">
        <f t="shared" si="13"/>
        <v>24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2</v>
      </c>
      <c r="AA21" s="17">
        <f t="shared" si="13"/>
        <v>1</v>
      </c>
      <c r="AB21" s="17">
        <f t="shared" si="13"/>
        <v>1</v>
      </c>
      <c r="AC21" s="17">
        <f t="shared" si="13"/>
        <v>168</v>
      </c>
      <c r="AD21" s="17">
        <f t="shared" si="13"/>
        <v>0</v>
      </c>
      <c r="AE21" s="31">
        <f t="shared" si="13"/>
        <v>135</v>
      </c>
      <c r="AF21" s="31">
        <f t="shared" si="13"/>
        <v>303</v>
      </c>
    </row>
    <row r="22" spans="2:32" ht="23.1" customHeight="1" x14ac:dyDescent="0.25">
      <c r="B22" s="23" t="s">
        <v>49</v>
      </c>
      <c r="C22" s="50">
        <v>7</v>
      </c>
      <c r="D22" s="50">
        <v>2</v>
      </c>
      <c r="E22" s="50">
        <v>1</v>
      </c>
      <c r="F22" s="50">
        <v>0</v>
      </c>
      <c r="G22" s="50">
        <v>0</v>
      </c>
      <c r="H22" s="50">
        <v>1</v>
      </c>
      <c r="I22" s="50">
        <v>0</v>
      </c>
      <c r="J22" s="50">
        <v>0</v>
      </c>
      <c r="K22" s="50">
        <v>0</v>
      </c>
      <c r="L22" s="50">
        <v>0</v>
      </c>
      <c r="M22" s="50">
        <v>28</v>
      </c>
      <c r="N22" s="50">
        <v>0</v>
      </c>
      <c r="O22" s="15">
        <f t="shared" si="0"/>
        <v>11</v>
      </c>
      <c r="P22" s="15">
        <f t="shared" si="1"/>
        <v>39</v>
      </c>
      <c r="R22" s="38" t="s">
        <v>90</v>
      </c>
      <c r="S22" s="39">
        <f>MAX(S10:S12)</f>
        <v>45</v>
      </c>
      <c r="T22" s="39">
        <f t="shared" ref="T22:AF22" si="14">MAX(T10:T12)</f>
        <v>16</v>
      </c>
      <c r="U22" s="39">
        <f t="shared" si="14"/>
        <v>10</v>
      </c>
      <c r="V22" s="39">
        <f t="shared" si="14"/>
        <v>17</v>
      </c>
      <c r="W22" s="39">
        <f t="shared" si="14"/>
        <v>1</v>
      </c>
      <c r="X22" s="39">
        <f t="shared" si="14"/>
        <v>0</v>
      </c>
      <c r="Y22" s="39">
        <f t="shared" si="14"/>
        <v>11</v>
      </c>
      <c r="Z22" s="39">
        <f t="shared" si="14"/>
        <v>2</v>
      </c>
      <c r="AA22" s="39">
        <f t="shared" si="14"/>
        <v>1</v>
      </c>
      <c r="AB22" s="39">
        <f t="shared" si="14"/>
        <v>1</v>
      </c>
      <c r="AC22" s="39">
        <f t="shared" si="14"/>
        <v>195</v>
      </c>
      <c r="AD22" s="39">
        <f t="shared" si="14"/>
        <v>0</v>
      </c>
      <c r="AE22" s="40">
        <f t="shared" si="14"/>
        <v>92</v>
      </c>
      <c r="AF22" s="40">
        <f t="shared" si="14"/>
        <v>285</v>
      </c>
    </row>
    <row r="23" spans="2:32" ht="23.1" customHeight="1" x14ac:dyDescent="0.25">
      <c r="B23" s="23" t="s">
        <v>50</v>
      </c>
      <c r="C23" s="50">
        <v>8</v>
      </c>
      <c r="D23" s="50">
        <v>1</v>
      </c>
      <c r="E23" s="50">
        <v>5</v>
      </c>
      <c r="F23" s="50">
        <v>1</v>
      </c>
      <c r="G23" s="50">
        <v>0</v>
      </c>
      <c r="H23" s="50">
        <v>0</v>
      </c>
      <c r="I23" s="50">
        <v>3</v>
      </c>
      <c r="J23" s="50">
        <v>3</v>
      </c>
      <c r="K23" s="50">
        <v>1</v>
      </c>
      <c r="L23" s="50">
        <v>0</v>
      </c>
      <c r="M23" s="50">
        <v>30</v>
      </c>
      <c r="N23" s="50">
        <v>0</v>
      </c>
      <c r="O23" s="15">
        <f t="shared" si="0"/>
        <v>22</v>
      </c>
      <c r="P23" s="15">
        <f t="shared" si="1"/>
        <v>52</v>
      </c>
      <c r="R23" s="38" t="s">
        <v>91</v>
      </c>
      <c r="S23" s="39">
        <f>MAX(S13:S18)</f>
        <v>34</v>
      </c>
      <c r="T23" s="39">
        <f t="shared" ref="T23:AF23" si="15">MAX(T13:T18)</f>
        <v>17</v>
      </c>
      <c r="U23" s="39">
        <f t="shared" si="15"/>
        <v>15</v>
      </c>
      <c r="V23" s="39">
        <f t="shared" si="15"/>
        <v>10</v>
      </c>
      <c r="W23" s="39">
        <f t="shared" si="15"/>
        <v>0</v>
      </c>
      <c r="X23" s="39">
        <f t="shared" si="15"/>
        <v>1</v>
      </c>
      <c r="Y23" s="39">
        <f t="shared" si="15"/>
        <v>8</v>
      </c>
      <c r="Z23" s="39">
        <f t="shared" si="15"/>
        <v>9</v>
      </c>
      <c r="AA23" s="39">
        <f t="shared" si="15"/>
        <v>2</v>
      </c>
      <c r="AB23" s="39">
        <f t="shared" si="15"/>
        <v>1</v>
      </c>
      <c r="AC23" s="39">
        <f t="shared" si="15"/>
        <v>108</v>
      </c>
      <c r="AD23" s="39">
        <f t="shared" si="15"/>
        <v>0</v>
      </c>
      <c r="AE23" s="40">
        <f t="shared" si="15"/>
        <v>71</v>
      </c>
      <c r="AF23" s="40">
        <f t="shared" si="15"/>
        <v>177</v>
      </c>
    </row>
    <row r="24" spans="2:32" ht="23.1" customHeight="1" x14ac:dyDescent="0.25">
      <c r="B24" s="23" t="s">
        <v>51</v>
      </c>
      <c r="C24" s="50">
        <v>6</v>
      </c>
      <c r="D24" s="50">
        <v>4</v>
      </c>
      <c r="E24" s="50">
        <v>3</v>
      </c>
      <c r="F24" s="50">
        <v>2</v>
      </c>
      <c r="G24" s="50">
        <v>0</v>
      </c>
      <c r="H24" s="50">
        <v>0</v>
      </c>
      <c r="I24" s="50">
        <v>3</v>
      </c>
      <c r="J24" s="50">
        <v>2</v>
      </c>
      <c r="K24" s="50">
        <v>0</v>
      </c>
      <c r="L24" s="50">
        <v>0</v>
      </c>
      <c r="M24" s="50">
        <v>23</v>
      </c>
      <c r="N24" s="50">
        <v>0</v>
      </c>
      <c r="O24" s="15">
        <f t="shared" si="0"/>
        <v>20</v>
      </c>
      <c r="P24" s="15">
        <f t="shared" si="1"/>
        <v>43</v>
      </c>
      <c r="R24" s="38" t="s">
        <v>92</v>
      </c>
      <c r="S24" s="39">
        <f>MAX(S19:S21)</f>
        <v>58</v>
      </c>
      <c r="T24" s="39">
        <f t="shared" ref="T24:AF24" si="16">MAX(T19:T21)</f>
        <v>35</v>
      </c>
      <c r="U24" s="39">
        <f t="shared" si="16"/>
        <v>12</v>
      </c>
      <c r="V24" s="39">
        <f t="shared" si="16"/>
        <v>24</v>
      </c>
      <c r="W24" s="39">
        <f t="shared" si="16"/>
        <v>1</v>
      </c>
      <c r="X24" s="39">
        <f t="shared" si="16"/>
        <v>2</v>
      </c>
      <c r="Y24" s="39">
        <f t="shared" si="16"/>
        <v>10</v>
      </c>
      <c r="Z24" s="39">
        <f t="shared" si="16"/>
        <v>7</v>
      </c>
      <c r="AA24" s="39">
        <f t="shared" si="16"/>
        <v>1</v>
      </c>
      <c r="AB24" s="39">
        <f t="shared" si="16"/>
        <v>1</v>
      </c>
      <c r="AC24" s="39">
        <f t="shared" si="16"/>
        <v>168</v>
      </c>
      <c r="AD24" s="39">
        <f t="shared" si="16"/>
        <v>1</v>
      </c>
      <c r="AE24" s="40">
        <f t="shared" si="16"/>
        <v>135</v>
      </c>
      <c r="AF24" s="40">
        <f t="shared" si="16"/>
        <v>303</v>
      </c>
    </row>
    <row r="25" spans="2:32" ht="23.1" customHeight="1" x14ac:dyDescent="0.25">
      <c r="B25" s="23" t="s">
        <v>52</v>
      </c>
      <c r="C25" s="50">
        <v>7</v>
      </c>
      <c r="D25" s="50">
        <v>4</v>
      </c>
      <c r="E25" s="50">
        <v>1</v>
      </c>
      <c r="F25" s="50">
        <v>2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18</v>
      </c>
      <c r="P25" s="15">
        <f t="shared" si="1"/>
        <v>33</v>
      </c>
      <c r="R25" s="37" t="s">
        <v>85</v>
      </c>
      <c r="S25" s="35">
        <f t="shared" ref="S25:AF25" si="17">SUM(S10:S12)</f>
        <v>116</v>
      </c>
      <c r="T25" s="16">
        <f t="shared" si="17"/>
        <v>41</v>
      </c>
      <c r="U25" s="16">
        <f t="shared" si="17"/>
        <v>24</v>
      </c>
      <c r="V25" s="16">
        <f t="shared" si="17"/>
        <v>39</v>
      </c>
      <c r="W25" s="16">
        <f t="shared" si="17"/>
        <v>1</v>
      </c>
      <c r="X25" s="16">
        <f t="shared" si="17"/>
        <v>0</v>
      </c>
      <c r="Y25" s="16">
        <f t="shared" si="17"/>
        <v>25</v>
      </c>
      <c r="Z25" s="16">
        <f t="shared" si="17"/>
        <v>5</v>
      </c>
      <c r="AA25" s="16">
        <f t="shared" si="17"/>
        <v>2</v>
      </c>
      <c r="AB25" s="16">
        <f t="shared" si="17"/>
        <v>1</v>
      </c>
      <c r="AC25" s="16">
        <f t="shared" si="17"/>
        <v>513</v>
      </c>
      <c r="AD25" s="16">
        <f t="shared" si="17"/>
        <v>0</v>
      </c>
      <c r="AE25" s="32">
        <f t="shared" si="17"/>
        <v>254</v>
      </c>
      <c r="AF25" s="32">
        <f t="shared" si="17"/>
        <v>767</v>
      </c>
    </row>
    <row r="26" spans="2:32" ht="23.1" customHeight="1" x14ac:dyDescent="0.25">
      <c r="B26" s="23" t="s">
        <v>53</v>
      </c>
      <c r="C26" s="50">
        <v>3</v>
      </c>
      <c r="D26" s="50">
        <v>5</v>
      </c>
      <c r="E26" s="50">
        <v>2</v>
      </c>
      <c r="F26" s="50">
        <v>2</v>
      </c>
      <c r="G26" s="50">
        <v>0</v>
      </c>
      <c r="H26" s="50">
        <v>0</v>
      </c>
      <c r="I26" s="50">
        <v>3</v>
      </c>
      <c r="J26" s="50">
        <v>5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20</v>
      </c>
      <c r="P26" s="15">
        <f t="shared" si="1"/>
        <v>37</v>
      </c>
      <c r="R26" s="28" t="s">
        <v>86</v>
      </c>
      <c r="S26" s="16">
        <f t="shared" ref="S26:AF26" si="18">SUM(S13:S18)</f>
        <v>155</v>
      </c>
      <c r="T26" s="16">
        <f t="shared" si="18"/>
        <v>68</v>
      </c>
      <c r="U26" s="16">
        <f t="shared" si="18"/>
        <v>53</v>
      </c>
      <c r="V26" s="16">
        <f t="shared" si="18"/>
        <v>45</v>
      </c>
      <c r="W26" s="16">
        <f t="shared" si="18"/>
        <v>0</v>
      </c>
      <c r="X26" s="16">
        <f t="shared" si="18"/>
        <v>1</v>
      </c>
      <c r="Y26" s="16">
        <f t="shared" si="18"/>
        <v>38</v>
      </c>
      <c r="Z26" s="16">
        <f t="shared" si="18"/>
        <v>30</v>
      </c>
      <c r="AA26" s="16">
        <f t="shared" si="18"/>
        <v>7</v>
      </c>
      <c r="AB26" s="16">
        <f t="shared" si="18"/>
        <v>1</v>
      </c>
      <c r="AC26" s="16">
        <f t="shared" si="18"/>
        <v>589</v>
      </c>
      <c r="AD26" s="16">
        <f t="shared" si="18"/>
        <v>0</v>
      </c>
      <c r="AE26" s="32">
        <f t="shared" si="18"/>
        <v>398</v>
      </c>
      <c r="AF26" s="32">
        <f t="shared" si="18"/>
        <v>987</v>
      </c>
    </row>
    <row r="27" spans="2:32" ht="23.1" customHeight="1" x14ac:dyDescent="0.25">
      <c r="B27" s="23" t="s">
        <v>54</v>
      </c>
      <c r="C27" s="50">
        <v>4</v>
      </c>
      <c r="D27" s="50">
        <v>3</v>
      </c>
      <c r="E27" s="50">
        <v>4</v>
      </c>
      <c r="F27" s="50">
        <v>1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31</v>
      </c>
      <c r="N27" s="50">
        <v>0</v>
      </c>
      <c r="O27" s="15">
        <f t="shared" si="0"/>
        <v>14</v>
      </c>
      <c r="P27" s="15">
        <f t="shared" si="1"/>
        <v>45</v>
      </c>
      <c r="R27" s="29" t="s">
        <v>87</v>
      </c>
      <c r="S27" s="16">
        <f t="shared" ref="S27:AF27" si="19">SUM(S19:S21)</f>
        <v>143</v>
      </c>
      <c r="T27" s="16">
        <f t="shared" si="19"/>
        <v>80</v>
      </c>
      <c r="U27" s="16">
        <f t="shared" si="19"/>
        <v>25</v>
      </c>
      <c r="V27" s="16">
        <f t="shared" si="19"/>
        <v>60</v>
      </c>
      <c r="W27" s="16">
        <f t="shared" si="19"/>
        <v>1</v>
      </c>
      <c r="X27" s="16">
        <f t="shared" si="19"/>
        <v>2</v>
      </c>
      <c r="Y27" s="16">
        <f t="shared" si="19"/>
        <v>23</v>
      </c>
      <c r="Z27" s="16">
        <f t="shared" si="19"/>
        <v>13</v>
      </c>
      <c r="AA27" s="16">
        <f t="shared" si="19"/>
        <v>2</v>
      </c>
      <c r="AB27" s="16">
        <f t="shared" si="19"/>
        <v>2</v>
      </c>
      <c r="AC27" s="16">
        <f t="shared" si="19"/>
        <v>419</v>
      </c>
      <c r="AD27" s="16">
        <f t="shared" si="19"/>
        <v>1</v>
      </c>
      <c r="AE27" s="32">
        <f t="shared" si="19"/>
        <v>352</v>
      </c>
      <c r="AF27" s="32">
        <f t="shared" si="19"/>
        <v>771</v>
      </c>
    </row>
    <row r="28" spans="2:32" ht="23.1" customHeight="1" x14ac:dyDescent="0.25">
      <c r="B28" s="23" t="s">
        <v>55</v>
      </c>
      <c r="C28" s="50">
        <v>4</v>
      </c>
      <c r="D28" s="50">
        <v>5</v>
      </c>
      <c r="E28" s="50">
        <v>3</v>
      </c>
      <c r="F28" s="50">
        <v>1</v>
      </c>
      <c r="G28" s="50">
        <v>0</v>
      </c>
      <c r="H28" s="50">
        <v>0</v>
      </c>
      <c r="I28" s="50">
        <v>2</v>
      </c>
      <c r="J28" s="50">
        <v>1</v>
      </c>
      <c r="K28" s="50">
        <v>1</v>
      </c>
      <c r="L28" s="50">
        <v>0</v>
      </c>
      <c r="M28" s="50">
        <v>14</v>
      </c>
      <c r="N28" s="50">
        <v>0</v>
      </c>
      <c r="O28" s="15">
        <f t="shared" si="0"/>
        <v>17</v>
      </c>
      <c r="P28" s="15">
        <f t="shared" si="1"/>
        <v>31</v>
      </c>
      <c r="R28" s="5" t="s">
        <v>17</v>
      </c>
      <c r="S28" s="16">
        <f t="shared" ref="S28:AF28" si="20">SUM(S10:S21)</f>
        <v>414</v>
      </c>
      <c r="T28" s="16">
        <f t="shared" si="20"/>
        <v>189</v>
      </c>
      <c r="U28" s="16">
        <f t="shared" si="20"/>
        <v>102</v>
      </c>
      <c r="V28" s="16">
        <f t="shared" si="20"/>
        <v>144</v>
      </c>
      <c r="W28" s="16">
        <f t="shared" si="20"/>
        <v>2</v>
      </c>
      <c r="X28" s="16">
        <f t="shared" si="20"/>
        <v>3</v>
      </c>
      <c r="Y28" s="16">
        <f t="shared" si="20"/>
        <v>86</v>
      </c>
      <c r="Z28" s="16">
        <f t="shared" si="20"/>
        <v>48</v>
      </c>
      <c r="AA28" s="16">
        <f t="shared" si="20"/>
        <v>11</v>
      </c>
      <c r="AB28" s="16">
        <f t="shared" si="20"/>
        <v>4</v>
      </c>
      <c r="AC28" s="16">
        <f t="shared" si="20"/>
        <v>1521</v>
      </c>
      <c r="AD28" s="16">
        <f t="shared" si="20"/>
        <v>1</v>
      </c>
      <c r="AE28" s="32">
        <f t="shared" si="20"/>
        <v>1004</v>
      </c>
      <c r="AF28" s="32">
        <f t="shared" si="20"/>
        <v>2525</v>
      </c>
    </row>
    <row r="29" spans="2:32" ht="23.1" customHeight="1" x14ac:dyDescent="0.25">
      <c r="B29" s="23" t="s">
        <v>56</v>
      </c>
      <c r="C29" s="50">
        <v>6</v>
      </c>
      <c r="D29" s="50">
        <v>2</v>
      </c>
      <c r="E29" s="50">
        <v>6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1</v>
      </c>
      <c r="L29" s="50">
        <v>0</v>
      </c>
      <c r="M29" s="50">
        <v>33</v>
      </c>
      <c r="N29" s="50">
        <v>0</v>
      </c>
      <c r="O29" s="15">
        <f t="shared" si="0"/>
        <v>18</v>
      </c>
      <c r="P29" s="15">
        <f t="shared" si="1"/>
        <v>51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3</v>
      </c>
      <c r="E30" s="50">
        <v>2</v>
      </c>
      <c r="F30" s="50">
        <v>3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17</v>
      </c>
      <c r="P30" s="15">
        <f t="shared" si="1"/>
        <v>32</v>
      </c>
    </row>
    <row r="31" spans="2:32" ht="23.1" customHeight="1" x14ac:dyDescent="0.25">
      <c r="B31" s="24" t="s">
        <v>58</v>
      </c>
      <c r="C31" s="50">
        <v>6</v>
      </c>
      <c r="D31" s="50">
        <v>5</v>
      </c>
      <c r="E31" s="50">
        <v>2</v>
      </c>
      <c r="F31" s="50">
        <v>1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24</v>
      </c>
      <c r="N31" s="50">
        <v>0</v>
      </c>
      <c r="O31" s="15">
        <f t="shared" si="0"/>
        <v>18</v>
      </c>
      <c r="P31" s="15">
        <f t="shared" si="1"/>
        <v>42</v>
      </c>
    </row>
    <row r="32" spans="2:32" ht="23.1" customHeight="1" x14ac:dyDescent="0.25">
      <c r="B32" s="24" t="s">
        <v>59</v>
      </c>
      <c r="C32" s="50">
        <v>5</v>
      </c>
      <c r="D32" s="50">
        <v>8</v>
      </c>
      <c r="E32" s="50">
        <v>1</v>
      </c>
      <c r="F32" s="50">
        <v>3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34</v>
      </c>
      <c r="N32" s="50">
        <v>0</v>
      </c>
      <c r="O32" s="15">
        <f t="shared" si="0"/>
        <v>17</v>
      </c>
      <c r="P32" s="15">
        <f t="shared" si="1"/>
        <v>51</v>
      </c>
    </row>
    <row r="33" spans="2:20" ht="23.1" customHeight="1" x14ac:dyDescent="0.25">
      <c r="B33" s="23" t="s">
        <v>60</v>
      </c>
      <c r="C33" s="50">
        <v>6</v>
      </c>
      <c r="D33" s="50">
        <v>1</v>
      </c>
      <c r="E33" s="50">
        <v>5</v>
      </c>
      <c r="F33" s="50">
        <v>2</v>
      </c>
      <c r="G33" s="50">
        <v>0</v>
      </c>
      <c r="H33" s="50">
        <v>0</v>
      </c>
      <c r="I33" s="50">
        <v>1</v>
      </c>
      <c r="J33" s="50">
        <v>2</v>
      </c>
      <c r="K33" s="50">
        <v>1</v>
      </c>
      <c r="L33" s="50">
        <v>0</v>
      </c>
      <c r="M33" s="50">
        <v>30</v>
      </c>
      <c r="N33" s="50">
        <v>0</v>
      </c>
      <c r="O33" s="15">
        <f t="shared" si="0"/>
        <v>18</v>
      </c>
      <c r="P33" s="15">
        <f t="shared" si="1"/>
        <v>48</v>
      </c>
    </row>
    <row r="34" spans="2:20" ht="23.1" customHeight="1" x14ac:dyDescent="0.25">
      <c r="B34" s="24" t="s">
        <v>61</v>
      </c>
      <c r="C34" s="50">
        <v>7</v>
      </c>
      <c r="D34" s="50">
        <v>5</v>
      </c>
      <c r="E34" s="50">
        <v>2</v>
      </c>
      <c r="F34" s="50">
        <v>2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1</v>
      </c>
      <c r="M34" s="50">
        <v>22</v>
      </c>
      <c r="N34" s="50">
        <v>0</v>
      </c>
      <c r="O34" s="15">
        <f t="shared" si="0"/>
        <v>18</v>
      </c>
      <c r="P34" s="15">
        <f t="shared" si="1"/>
        <v>40</v>
      </c>
    </row>
    <row r="35" spans="2:20" ht="23.1" customHeight="1" x14ac:dyDescent="0.25">
      <c r="B35" s="24" t="s">
        <v>62</v>
      </c>
      <c r="C35" s="50">
        <v>9</v>
      </c>
      <c r="D35" s="50">
        <v>5</v>
      </c>
      <c r="E35" s="50">
        <v>0</v>
      </c>
      <c r="F35" s="50">
        <v>3</v>
      </c>
      <c r="G35" s="50">
        <v>0</v>
      </c>
      <c r="H35" s="50">
        <v>0</v>
      </c>
      <c r="I35" s="50">
        <v>3</v>
      </c>
      <c r="J35" s="50">
        <v>0</v>
      </c>
      <c r="K35" s="50">
        <v>1</v>
      </c>
      <c r="L35" s="50">
        <v>0</v>
      </c>
      <c r="M35" s="50">
        <v>30</v>
      </c>
      <c r="N35" s="50">
        <v>0</v>
      </c>
      <c r="O35" s="15">
        <f t="shared" si="0"/>
        <v>21</v>
      </c>
      <c r="P35" s="15">
        <f t="shared" si="1"/>
        <v>51</v>
      </c>
    </row>
    <row r="36" spans="2:20" ht="23.1" customHeight="1" x14ac:dyDescent="0.25">
      <c r="B36" s="24" t="s">
        <v>63</v>
      </c>
      <c r="C36" s="50">
        <v>5</v>
      </c>
      <c r="D36" s="50">
        <v>3</v>
      </c>
      <c r="E36" s="50">
        <v>1</v>
      </c>
      <c r="F36" s="50">
        <v>3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20</v>
      </c>
      <c r="N36" s="50">
        <v>0</v>
      </c>
      <c r="O36" s="15">
        <f t="shared" si="0"/>
        <v>14</v>
      </c>
      <c r="P36" s="15">
        <f t="shared" si="1"/>
        <v>34</v>
      </c>
    </row>
    <row r="37" spans="2:20" ht="23.1" customHeight="1" x14ac:dyDescent="0.25">
      <c r="B37" s="23" t="s">
        <v>64</v>
      </c>
      <c r="C37" s="50">
        <v>9</v>
      </c>
      <c r="D37" s="50">
        <v>1</v>
      </c>
      <c r="E37" s="50">
        <v>3</v>
      </c>
      <c r="F37" s="50">
        <v>2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36</v>
      </c>
      <c r="N37" s="50">
        <v>0</v>
      </c>
      <c r="O37" s="15">
        <f t="shared" si="0"/>
        <v>16</v>
      </c>
      <c r="P37" s="15">
        <f t="shared" si="1"/>
        <v>52</v>
      </c>
    </row>
    <row r="38" spans="2:20" ht="23.1" customHeight="1" x14ac:dyDescent="0.25">
      <c r="B38" s="24" t="s">
        <v>65</v>
      </c>
      <c r="C38" s="50">
        <v>6</v>
      </c>
      <c r="D38" s="50">
        <v>0</v>
      </c>
      <c r="E38" s="50">
        <v>4</v>
      </c>
      <c r="F38" s="50">
        <v>3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25</v>
      </c>
      <c r="N38" s="50">
        <v>0</v>
      </c>
      <c r="O38" s="15">
        <f t="shared" si="0"/>
        <v>19</v>
      </c>
      <c r="P38" s="15">
        <f t="shared" si="1"/>
        <v>44</v>
      </c>
    </row>
    <row r="39" spans="2:20" ht="23.1" customHeight="1" x14ac:dyDescent="0.25">
      <c r="B39" s="24" t="s">
        <v>66</v>
      </c>
      <c r="C39" s="50">
        <v>4</v>
      </c>
      <c r="D39" s="50">
        <v>2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2</v>
      </c>
      <c r="K39" s="50">
        <v>1</v>
      </c>
      <c r="L39" s="50">
        <v>0</v>
      </c>
      <c r="M39" s="50">
        <v>29</v>
      </c>
      <c r="N39" s="50">
        <v>0</v>
      </c>
      <c r="O39" s="15">
        <f t="shared" si="0"/>
        <v>10</v>
      </c>
      <c r="P39" s="15">
        <f t="shared" si="1"/>
        <v>39</v>
      </c>
    </row>
    <row r="40" spans="2:20" ht="23.1" customHeight="1" x14ac:dyDescent="0.25">
      <c r="B40" s="24" t="s">
        <v>67</v>
      </c>
      <c r="C40" s="50">
        <v>6</v>
      </c>
      <c r="D40" s="50">
        <v>1</v>
      </c>
      <c r="E40" s="50">
        <v>3</v>
      </c>
      <c r="F40" s="50">
        <v>1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17</v>
      </c>
      <c r="N40" s="50">
        <v>0</v>
      </c>
      <c r="O40" s="15">
        <f t="shared" si="0"/>
        <v>15</v>
      </c>
      <c r="P40" s="15">
        <f t="shared" si="1"/>
        <v>32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1</v>
      </c>
      <c r="F41" s="50">
        <v>2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10</v>
      </c>
      <c r="P41" s="15">
        <f t="shared" si="1"/>
        <v>19</v>
      </c>
    </row>
    <row r="42" spans="2:20" ht="23.1" customHeight="1" x14ac:dyDescent="0.25">
      <c r="B42" s="24" t="s">
        <v>69</v>
      </c>
      <c r="C42" s="50">
        <v>11</v>
      </c>
      <c r="D42" s="50">
        <v>3</v>
      </c>
      <c r="E42" s="50">
        <v>0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26</v>
      </c>
      <c r="N42" s="50">
        <v>0</v>
      </c>
      <c r="O42" s="15">
        <f t="shared" si="0"/>
        <v>17</v>
      </c>
      <c r="P42" s="15">
        <f t="shared" si="1"/>
        <v>43</v>
      </c>
    </row>
    <row r="43" spans="2:20" ht="23.1" customHeight="1" x14ac:dyDescent="0.25">
      <c r="B43" s="23" t="s">
        <v>70</v>
      </c>
      <c r="C43" s="50">
        <v>8</v>
      </c>
      <c r="D43" s="50">
        <v>3</v>
      </c>
      <c r="E43" s="50">
        <v>2</v>
      </c>
      <c r="F43" s="50">
        <v>2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21</v>
      </c>
      <c r="N43" s="50">
        <v>0</v>
      </c>
      <c r="O43" s="15">
        <f t="shared" si="0"/>
        <v>17</v>
      </c>
      <c r="P43" s="15">
        <f t="shared" si="1"/>
        <v>38</v>
      </c>
    </row>
    <row r="44" spans="2:20" ht="23.1" customHeight="1" x14ac:dyDescent="0.25">
      <c r="B44" s="25" t="s">
        <v>71</v>
      </c>
      <c r="C44" s="50">
        <v>8</v>
      </c>
      <c r="D44" s="50">
        <v>1</v>
      </c>
      <c r="E44" s="50">
        <v>1</v>
      </c>
      <c r="F44" s="50">
        <v>2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29</v>
      </c>
      <c r="N44" s="50">
        <v>0</v>
      </c>
      <c r="O44" s="15">
        <f t="shared" si="0"/>
        <v>14</v>
      </c>
      <c r="P44" s="15">
        <f t="shared" si="1"/>
        <v>43</v>
      </c>
    </row>
    <row r="45" spans="2:20" ht="23.1" customHeight="1" x14ac:dyDescent="0.25">
      <c r="B45" s="23" t="s">
        <v>72</v>
      </c>
      <c r="C45" s="50">
        <v>7</v>
      </c>
      <c r="D45" s="50">
        <v>1</v>
      </c>
      <c r="E45" s="50">
        <v>0</v>
      </c>
      <c r="F45" s="50">
        <v>4</v>
      </c>
      <c r="G45" s="50">
        <v>0</v>
      </c>
      <c r="H45" s="50">
        <v>0</v>
      </c>
      <c r="I45" s="50">
        <v>3</v>
      </c>
      <c r="J45" s="50">
        <v>1</v>
      </c>
      <c r="K45" s="50">
        <v>1</v>
      </c>
      <c r="L45" s="50">
        <v>0</v>
      </c>
      <c r="M45" s="50">
        <v>31</v>
      </c>
      <c r="N45" s="50">
        <v>0</v>
      </c>
      <c r="O45" s="15">
        <f t="shared" si="0"/>
        <v>17</v>
      </c>
      <c r="P45" s="15">
        <f t="shared" si="1"/>
        <v>48</v>
      </c>
    </row>
    <row r="46" spans="2:20" ht="23.1" customHeight="1" x14ac:dyDescent="0.25">
      <c r="B46" s="24" t="s">
        <v>73</v>
      </c>
      <c r="C46" s="50">
        <v>6</v>
      </c>
      <c r="D46" s="50">
        <v>0</v>
      </c>
      <c r="E46" s="50">
        <v>1</v>
      </c>
      <c r="F46" s="50">
        <v>3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32</v>
      </c>
      <c r="N46" s="50">
        <v>0</v>
      </c>
      <c r="O46" s="15">
        <f t="shared" si="0"/>
        <v>14</v>
      </c>
      <c r="P46" s="15">
        <f t="shared" si="1"/>
        <v>46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2</v>
      </c>
      <c r="E47" s="50">
        <v>1</v>
      </c>
      <c r="F47" s="50">
        <v>5</v>
      </c>
      <c r="G47" s="50">
        <v>0</v>
      </c>
      <c r="H47" s="50">
        <v>0</v>
      </c>
      <c r="I47" s="50">
        <v>1</v>
      </c>
      <c r="J47" s="50">
        <v>2</v>
      </c>
      <c r="K47" s="50">
        <v>0</v>
      </c>
      <c r="L47" s="50">
        <v>0</v>
      </c>
      <c r="M47" s="50">
        <v>25</v>
      </c>
      <c r="N47" s="50">
        <v>0</v>
      </c>
      <c r="O47" s="15">
        <f t="shared" si="0"/>
        <v>17</v>
      </c>
      <c r="P47" s="15">
        <f t="shared" si="1"/>
        <v>42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2</v>
      </c>
      <c r="E48" s="50">
        <v>2</v>
      </c>
      <c r="F48" s="50">
        <v>5</v>
      </c>
      <c r="G48" s="50">
        <v>0</v>
      </c>
      <c r="H48" s="50">
        <v>0</v>
      </c>
      <c r="I48" s="50">
        <v>2</v>
      </c>
      <c r="J48" s="50">
        <v>3</v>
      </c>
      <c r="K48" s="50">
        <v>0</v>
      </c>
      <c r="L48" s="50">
        <v>0</v>
      </c>
      <c r="M48" s="50">
        <v>38</v>
      </c>
      <c r="N48" s="50">
        <v>0</v>
      </c>
      <c r="O48" s="15">
        <f t="shared" si="0"/>
        <v>22</v>
      </c>
      <c r="P48" s="15">
        <f t="shared" si="1"/>
        <v>60</v>
      </c>
      <c r="R48" s="8"/>
      <c r="T48"/>
    </row>
    <row r="49" spans="2:20" ht="23.1" customHeight="1" x14ac:dyDescent="0.25">
      <c r="B49" s="23" t="s">
        <v>76</v>
      </c>
      <c r="C49" s="50">
        <v>14</v>
      </c>
      <c r="D49" s="50">
        <v>8</v>
      </c>
      <c r="E49" s="50">
        <v>0</v>
      </c>
      <c r="F49" s="50">
        <v>4</v>
      </c>
      <c r="G49" s="50">
        <v>1</v>
      </c>
      <c r="H49" s="50">
        <v>2</v>
      </c>
      <c r="I49" s="50">
        <v>5</v>
      </c>
      <c r="J49" s="50">
        <v>0</v>
      </c>
      <c r="K49" s="50">
        <v>0</v>
      </c>
      <c r="L49" s="50">
        <v>0</v>
      </c>
      <c r="M49" s="50">
        <v>34</v>
      </c>
      <c r="N49" s="50">
        <v>0</v>
      </c>
      <c r="O49" s="15">
        <f t="shared" si="0"/>
        <v>34</v>
      </c>
      <c r="P49" s="15">
        <f t="shared" si="1"/>
        <v>68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7</v>
      </c>
      <c r="E50" s="50">
        <v>3</v>
      </c>
      <c r="F50" s="50">
        <v>2</v>
      </c>
      <c r="G50" s="50">
        <v>0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36</v>
      </c>
      <c r="N50" s="50">
        <v>0</v>
      </c>
      <c r="O50" s="15">
        <f t="shared" si="0"/>
        <v>21</v>
      </c>
      <c r="P50" s="15">
        <f t="shared" si="1"/>
        <v>57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11</v>
      </c>
      <c r="E51" s="50">
        <v>4</v>
      </c>
      <c r="F51" s="50">
        <v>5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24</v>
      </c>
      <c r="N51" s="50">
        <v>1</v>
      </c>
      <c r="O51" s="15">
        <f t="shared" si="0"/>
        <v>32</v>
      </c>
      <c r="P51" s="15">
        <f t="shared" si="1"/>
        <v>56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10</v>
      </c>
      <c r="E52" s="50">
        <v>4</v>
      </c>
      <c r="F52" s="50">
        <v>4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27</v>
      </c>
      <c r="N52" s="50">
        <v>0</v>
      </c>
      <c r="O52" s="15">
        <f t="shared" si="0"/>
        <v>41</v>
      </c>
      <c r="P52" s="15">
        <f t="shared" si="1"/>
        <v>68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5</v>
      </c>
      <c r="E53" s="50">
        <v>1</v>
      </c>
      <c r="F53" s="50">
        <v>8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1</v>
      </c>
      <c r="M53" s="50">
        <v>35</v>
      </c>
      <c r="N53" s="50">
        <v>0</v>
      </c>
      <c r="O53" s="15">
        <f t="shared" si="0"/>
        <v>36</v>
      </c>
      <c r="P53" s="15">
        <f t="shared" si="1"/>
        <v>71</v>
      </c>
      <c r="R53" s="8"/>
      <c r="T53"/>
    </row>
    <row r="54" spans="2:20" ht="23.1" customHeight="1" x14ac:dyDescent="0.25">
      <c r="B54" s="23" t="s">
        <v>81</v>
      </c>
      <c r="C54" s="50">
        <v>20</v>
      </c>
      <c r="D54" s="50">
        <v>6</v>
      </c>
      <c r="E54" s="50">
        <v>3</v>
      </c>
      <c r="F54" s="50">
        <v>5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30</v>
      </c>
      <c r="N54" s="50">
        <v>0</v>
      </c>
      <c r="O54" s="15">
        <f t="shared" si="0"/>
        <v>36</v>
      </c>
      <c r="P54" s="15">
        <f t="shared" si="1"/>
        <v>66</v>
      </c>
      <c r="R54" s="8"/>
      <c r="T54"/>
    </row>
    <row r="55" spans="2:20" ht="23.1" customHeight="1" x14ac:dyDescent="0.25">
      <c r="B55" s="23" t="s">
        <v>82</v>
      </c>
      <c r="C55" s="50">
        <v>14</v>
      </c>
      <c r="D55" s="50">
        <v>12</v>
      </c>
      <c r="E55" s="50">
        <v>1</v>
      </c>
      <c r="F55" s="50">
        <v>6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33</v>
      </c>
      <c r="N55" s="50">
        <v>0</v>
      </c>
      <c r="O55" s="15">
        <f t="shared" si="0"/>
        <v>36</v>
      </c>
      <c r="P55" s="15">
        <f t="shared" si="1"/>
        <v>69</v>
      </c>
      <c r="R55" s="8"/>
      <c r="T55"/>
    </row>
    <row r="56" spans="2:20" ht="23.1" customHeight="1" x14ac:dyDescent="0.25">
      <c r="B56" s="23" t="s">
        <v>83</v>
      </c>
      <c r="C56" s="50">
        <v>16</v>
      </c>
      <c r="D56" s="50">
        <v>10</v>
      </c>
      <c r="E56" s="50">
        <v>1</v>
      </c>
      <c r="F56" s="50">
        <v>9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53</v>
      </c>
      <c r="N56" s="50">
        <v>0</v>
      </c>
      <c r="O56" s="15">
        <f t="shared" si="0"/>
        <v>36</v>
      </c>
      <c r="P56" s="15">
        <f t="shared" si="1"/>
        <v>89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7</v>
      </c>
      <c r="E57" s="50">
        <v>4</v>
      </c>
      <c r="F57" s="50">
        <v>4</v>
      </c>
      <c r="G57" s="50">
        <v>0</v>
      </c>
      <c r="H57" s="50">
        <v>0</v>
      </c>
      <c r="I57" s="50">
        <v>1</v>
      </c>
      <c r="J57" s="50">
        <v>1</v>
      </c>
      <c r="K57" s="50">
        <v>1</v>
      </c>
      <c r="L57" s="50">
        <v>1</v>
      </c>
      <c r="M57" s="50">
        <v>52</v>
      </c>
      <c r="N57" s="50">
        <v>0</v>
      </c>
      <c r="O57" s="15">
        <f t="shared" si="0"/>
        <v>27</v>
      </c>
      <c r="P57" s="15">
        <f t="shared" si="1"/>
        <v>79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414</v>
      </c>
      <c r="D58" s="16">
        <f t="shared" si="21"/>
        <v>189</v>
      </c>
      <c r="E58" s="16">
        <f t="shared" si="21"/>
        <v>102</v>
      </c>
      <c r="F58" s="16">
        <f t="shared" si="21"/>
        <v>144</v>
      </c>
      <c r="G58" s="16">
        <f t="shared" si="21"/>
        <v>2</v>
      </c>
      <c r="H58" s="16">
        <f t="shared" si="21"/>
        <v>3</v>
      </c>
      <c r="I58" s="16">
        <f t="shared" si="21"/>
        <v>86</v>
      </c>
      <c r="J58" s="16">
        <f t="shared" si="21"/>
        <v>48</v>
      </c>
      <c r="K58" s="16">
        <f t="shared" si="21"/>
        <v>11</v>
      </c>
      <c r="L58" s="16">
        <f t="shared" si="21"/>
        <v>4</v>
      </c>
      <c r="M58" s="16">
        <f t="shared" si="21"/>
        <v>1521</v>
      </c>
      <c r="N58" s="16">
        <f t="shared" si="21"/>
        <v>1</v>
      </c>
      <c r="O58" s="16">
        <f t="shared" si="21"/>
        <v>1004</v>
      </c>
      <c r="P58" s="16">
        <f t="shared" si="21"/>
        <v>2525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0.16396039603960397</v>
      </c>
      <c r="D59" s="43">
        <f t="shared" si="22"/>
        <v>7.4851485148514849E-2</v>
      </c>
      <c r="E59" s="43">
        <f t="shared" si="22"/>
        <v>4.0396039603960397E-2</v>
      </c>
      <c r="F59" s="43">
        <f t="shared" si="22"/>
        <v>5.7029702970297032E-2</v>
      </c>
      <c r="G59" s="43">
        <f t="shared" si="22"/>
        <v>7.9207920792079213E-4</v>
      </c>
      <c r="H59" s="43">
        <f t="shared" si="22"/>
        <v>1.1881188118811881E-3</v>
      </c>
      <c r="I59" s="43">
        <f t="shared" si="22"/>
        <v>3.4059405940594062E-2</v>
      </c>
      <c r="J59" s="43">
        <f t="shared" si="22"/>
        <v>1.9009900990099009E-2</v>
      </c>
      <c r="K59" s="43">
        <f t="shared" si="22"/>
        <v>4.3564356435643568E-3</v>
      </c>
      <c r="L59" s="43">
        <f t="shared" si="22"/>
        <v>1.5841584158415843E-3</v>
      </c>
      <c r="M59" s="43">
        <f t="shared" si="22"/>
        <v>0.60237623762376236</v>
      </c>
      <c r="N59" s="43">
        <f t="shared" si="22"/>
        <v>3.9603960396039607E-4</v>
      </c>
      <c r="R59" s="8"/>
      <c r="T59"/>
    </row>
    <row r="60" spans="2:20" ht="23.1" customHeight="1" x14ac:dyDescent="0.25">
      <c r="B60" s="42" t="s">
        <v>94</v>
      </c>
      <c r="C60" s="44">
        <f>C58/$O$58</f>
        <v>0.41235059760956178</v>
      </c>
      <c r="D60" s="44">
        <f t="shared" ref="D60:N60" si="23">D58/$O$58</f>
        <v>0.18824701195219123</v>
      </c>
      <c r="E60" s="44">
        <f t="shared" si="23"/>
        <v>0.10159362549800798</v>
      </c>
      <c r="F60" s="44">
        <f t="shared" si="23"/>
        <v>0.14342629482071714</v>
      </c>
      <c r="G60" s="44">
        <f t="shared" si="23"/>
        <v>1.9920318725099601E-3</v>
      </c>
      <c r="H60" s="44">
        <f t="shared" si="23"/>
        <v>2.9880478087649402E-3</v>
      </c>
      <c r="I60" s="44">
        <f t="shared" si="23"/>
        <v>8.565737051792828E-2</v>
      </c>
      <c r="J60" s="44">
        <f t="shared" si="23"/>
        <v>4.7808764940239043E-2</v>
      </c>
      <c r="K60" s="44">
        <f t="shared" si="23"/>
        <v>1.0956175298804782E-2</v>
      </c>
      <c r="L60" s="44">
        <f t="shared" si="23"/>
        <v>3.9840637450199202E-3</v>
      </c>
      <c r="M60" s="44"/>
      <c r="N60" s="44">
        <f t="shared" si="23"/>
        <v>9.9601593625498006E-4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K6" activeCellId="5" sqref="C3:G3 D6:E6 G5:H5 G6:H6 K5:L5 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'23.09- Matuga -Kasangati'!C3:G3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'25.09 Kasangati-Matugga'!D5</f>
        <v>25.09.19</v>
      </c>
      <c r="E5" s="3"/>
      <c r="F5" s="41" t="s">
        <v>1</v>
      </c>
      <c r="G5" s="150" t="str">
        <f>'23.09- Kasangati-Matuga'!G5:H5</f>
        <v>Kiiza-besigye road</v>
      </c>
      <c r="H5" s="151"/>
      <c r="I5" s="14"/>
      <c r="J5" s="2" t="s">
        <v>5</v>
      </c>
      <c r="K5" s="150" t="s">
        <v>171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tr">
        <f>'23.09- Matuga -Kasangati'!D6:E6</f>
        <v>Matuga</v>
      </c>
      <c r="E6" s="151"/>
      <c r="F6" s="2" t="s">
        <v>2</v>
      </c>
      <c r="G6" s="150" t="str">
        <f>'23.09- Matuga -Kasangati'!G6:H6</f>
        <v>Kasangati</v>
      </c>
      <c r="H6" s="151"/>
      <c r="J6" s="2" t="s">
        <v>21</v>
      </c>
      <c r="K6" s="150" t="str">
        <f>'23.09- Kasangati-Matuga'!K6:L6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2</v>
      </c>
      <c r="E10" s="50">
        <v>3</v>
      </c>
      <c r="F10" s="50">
        <v>3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64</v>
      </c>
      <c r="N10" s="50">
        <v>0</v>
      </c>
      <c r="O10" s="15">
        <f t="shared" ref="O10:O57" si="0">SUM(C10:L10,N10)</f>
        <v>44</v>
      </c>
      <c r="P10" s="15">
        <f t="shared" ref="P10:P57" si="1">SUM(C10:N10)</f>
        <v>108</v>
      </c>
      <c r="R10" s="1" t="s">
        <v>6</v>
      </c>
      <c r="S10" s="17">
        <f t="shared" ref="S10:AF10" si="2">SUM(C10:C13)</f>
        <v>91</v>
      </c>
      <c r="T10" s="17">
        <f t="shared" si="2"/>
        <v>7</v>
      </c>
      <c r="U10" s="17">
        <f t="shared" si="2"/>
        <v>10</v>
      </c>
      <c r="V10" s="17">
        <f t="shared" si="2"/>
        <v>13</v>
      </c>
      <c r="W10" s="17">
        <f t="shared" si="2"/>
        <v>0</v>
      </c>
      <c r="X10" s="17">
        <f t="shared" si="2"/>
        <v>0</v>
      </c>
      <c r="Y10" s="17">
        <f t="shared" si="2"/>
        <v>9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217</v>
      </c>
      <c r="AD10" s="17">
        <f t="shared" si="2"/>
        <v>0</v>
      </c>
      <c r="AE10" s="31">
        <f t="shared" si="2"/>
        <v>130</v>
      </c>
      <c r="AF10" s="31">
        <f t="shared" si="2"/>
        <v>347</v>
      </c>
    </row>
    <row r="11" spans="2:32" s="6" customFormat="1" ht="23.1" customHeight="1" x14ac:dyDescent="0.25">
      <c r="B11" s="23" t="s">
        <v>38</v>
      </c>
      <c r="C11" s="50">
        <v>24</v>
      </c>
      <c r="D11" s="50">
        <v>0</v>
      </c>
      <c r="E11" s="50">
        <v>2</v>
      </c>
      <c r="F11" s="50">
        <v>4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55</v>
      </c>
      <c r="N11" s="50">
        <v>0</v>
      </c>
      <c r="O11" s="15">
        <f t="shared" si="0"/>
        <v>33</v>
      </c>
      <c r="P11" s="15">
        <f t="shared" si="1"/>
        <v>88</v>
      </c>
      <c r="R11" s="1" t="s">
        <v>7</v>
      </c>
      <c r="S11" s="17">
        <f t="shared" ref="S11:AF11" si="3">SUM(C14:C17)</f>
        <v>33</v>
      </c>
      <c r="T11" s="17">
        <f t="shared" si="3"/>
        <v>11</v>
      </c>
      <c r="U11" s="17">
        <f t="shared" si="3"/>
        <v>10</v>
      </c>
      <c r="V11" s="17">
        <f t="shared" si="3"/>
        <v>12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178</v>
      </c>
      <c r="AD11" s="17">
        <f t="shared" si="3"/>
        <v>0</v>
      </c>
      <c r="AE11" s="31">
        <f t="shared" si="3"/>
        <v>74</v>
      </c>
      <c r="AF11" s="31">
        <f t="shared" si="3"/>
        <v>252</v>
      </c>
    </row>
    <row r="12" spans="2:32" ht="23.1" customHeight="1" x14ac:dyDescent="0.25">
      <c r="B12" s="23" t="s">
        <v>39</v>
      </c>
      <c r="C12" s="50">
        <v>22</v>
      </c>
      <c r="D12" s="50">
        <v>0</v>
      </c>
      <c r="E12" s="50">
        <v>1</v>
      </c>
      <c r="F12" s="50">
        <v>3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44</v>
      </c>
      <c r="N12" s="50">
        <v>0</v>
      </c>
      <c r="O12" s="15">
        <f t="shared" si="0"/>
        <v>29</v>
      </c>
      <c r="P12" s="15">
        <f t="shared" si="1"/>
        <v>73</v>
      </c>
      <c r="R12" s="1" t="s">
        <v>8</v>
      </c>
      <c r="S12" s="17">
        <f t="shared" ref="S12:AF12" si="4">SUM(C18:C21)</f>
        <v>39</v>
      </c>
      <c r="T12" s="17">
        <f t="shared" si="4"/>
        <v>9</v>
      </c>
      <c r="U12" s="17">
        <f t="shared" si="4"/>
        <v>2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1</v>
      </c>
      <c r="AA12" s="17">
        <f t="shared" si="4"/>
        <v>1</v>
      </c>
      <c r="AB12" s="17">
        <f t="shared" si="4"/>
        <v>0</v>
      </c>
      <c r="AC12" s="17">
        <f t="shared" si="4"/>
        <v>185</v>
      </c>
      <c r="AD12" s="17">
        <f t="shared" si="4"/>
        <v>0</v>
      </c>
      <c r="AE12" s="31">
        <f t="shared" si="4"/>
        <v>76</v>
      </c>
      <c r="AF12" s="31">
        <f t="shared" si="4"/>
        <v>261</v>
      </c>
    </row>
    <row r="13" spans="2:32" ht="23.1" customHeight="1" x14ac:dyDescent="0.25">
      <c r="B13" s="23" t="s">
        <v>40</v>
      </c>
      <c r="C13" s="50">
        <v>12</v>
      </c>
      <c r="D13" s="50">
        <v>5</v>
      </c>
      <c r="E13" s="50">
        <v>4</v>
      </c>
      <c r="F13" s="50">
        <v>3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54</v>
      </c>
      <c r="N13" s="50">
        <v>0</v>
      </c>
      <c r="O13" s="15">
        <f t="shared" si="0"/>
        <v>24</v>
      </c>
      <c r="P13" s="15">
        <f t="shared" si="1"/>
        <v>78</v>
      </c>
      <c r="R13" s="1" t="s">
        <v>9</v>
      </c>
      <c r="S13" s="17">
        <f t="shared" ref="S13:AF13" si="5">SUM(C22:C25)</f>
        <v>31</v>
      </c>
      <c r="T13" s="17">
        <f t="shared" si="5"/>
        <v>7</v>
      </c>
      <c r="U13" s="17">
        <f t="shared" si="5"/>
        <v>8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167</v>
      </c>
      <c r="AD13" s="17">
        <f t="shared" si="5"/>
        <v>1</v>
      </c>
      <c r="AE13" s="31">
        <f t="shared" si="5"/>
        <v>76</v>
      </c>
      <c r="AF13" s="31">
        <f t="shared" si="5"/>
        <v>243</v>
      </c>
    </row>
    <row r="14" spans="2:32" ht="23.1" customHeight="1" x14ac:dyDescent="0.25">
      <c r="B14" s="23" t="s">
        <v>41</v>
      </c>
      <c r="C14" s="50">
        <v>19</v>
      </c>
      <c r="D14" s="50">
        <v>5</v>
      </c>
      <c r="E14" s="50">
        <v>2</v>
      </c>
      <c r="F14" s="50">
        <v>4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58</v>
      </c>
      <c r="N14" s="50">
        <v>0</v>
      </c>
      <c r="O14" s="15">
        <f t="shared" si="0"/>
        <v>30</v>
      </c>
      <c r="P14" s="15">
        <f t="shared" si="1"/>
        <v>88</v>
      </c>
      <c r="R14" s="1" t="s">
        <v>10</v>
      </c>
      <c r="S14" s="17">
        <f t="shared" ref="S14:AF14" si="6">SUM(C26:C29)</f>
        <v>32</v>
      </c>
      <c r="T14" s="17">
        <f t="shared" si="6"/>
        <v>5</v>
      </c>
      <c r="U14" s="17">
        <f t="shared" si="6"/>
        <v>9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143</v>
      </c>
      <c r="AD14" s="17">
        <f t="shared" si="6"/>
        <v>0</v>
      </c>
      <c r="AE14" s="31">
        <f t="shared" si="6"/>
        <v>59</v>
      </c>
      <c r="AF14" s="31">
        <f t="shared" si="6"/>
        <v>202</v>
      </c>
    </row>
    <row r="15" spans="2:32" ht="23.1" customHeight="1" x14ac:dyDescent="0.25">
      <c r="B15" s="23" t="s">
        <v>42</v>
      </c>
      <c r="C15" s="50">
        <v>6</v>
      </c>
      <c r="D15" s="50">
        <v>1</v>
      </c>
      <c r="E15" s="50">
        <v>2</v>
      </c>
      <c r="F15" s="50">
        <v>4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32</v>
      </c>
      <c r="N15" s="50">
        <v>0</v>
      </c>
      <c r="O15" s="15">
        <f t="shared" si="0"/>
        <v>14</v>
      </c>
      <c r="P15" s="15">
        <f t="shared" si="1"/>
        <v>46</v>
      </c>
      <c r="R15" s="1" t="s">
        <v>11</v>
      </c>
      <c r="S15" s="17">
        <f t="shared" ref="S15:AF15" si="7">SUM(C30:C33)</f>
        <v>46</v>
      </c>
      <c r="T15" s="17">
        <f t="shared" si="7"/>
        <v>3</v>
      </c>
      <c r="U15" s="17">
        <f t="shared" si="7"/>
        <v>7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20</v>
      </c>
      <c r="Z15" s="17">
        <f t="shared" si="7"/>
        <v>5</v>
      </c>
      <c r="AA15" s="17">
        <f t="shared" si="7"/>
        <v>5</v>
      </c>
      <c r="AB15" s="17">
        <f t="shared" si="7"/>
        <v>0</v>
      </c>
      <c r="AC15" s="17">
        <f t="shared" si="7"/>
        <v>147</v>
      </c>
      <c r="AD15" s="17">
        <f t="shared" si="7"/>
        <v>0</v>
      </c>
      <c r="AE15" s="31">
        <f t="shared" si="7"/>
        <v>95</v>
      </c>
      <c r="AF15" s="31">
        <f t="shared" si="7"/>
        <v>242</v>
      </c>
    </row>
    <row r="16" spans="2:32" ht="23.1" customHeight="1" x14ac:dyDescent="0.25">
      <c r="B16" s="23" t="s">
        <v>43</v>
      </c>
      <c r="C16" s="50">
        <v>6</v>
      </c>
      <c r="D16" s="50">
        <v>3</v>
      </c>
      <c r="E16" s="50">
        <v>3</v>
      </c>
      <c r="F16" s="50">
        <v>2</v>
      </c>
      <c r="G16" s="50">
        <v>0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38</v>
      </c>
      <c r="N16" s="50">
        <v>0</v>
      </c>
      <c r="O16" s="15">
        <f t="shared" si="0"/>
        <v>18</v>
      </c>
      <c r="P16" s="15">
        <f t="shared" si="1"/>
        <v>56</v>
      </c>
      <c r="R16" s="1" t="s">
        <v>12</v>
      </c>
      <c r="S16" s="17">
        <f t="shared" ref="S16:AF16" si="8">SUM(C34:C37)</f>
        <v>50</v>
      </c>
      <c r="T16" s="17">
        <f t="shared" si="8"/>
        <v>4</v>
      </c>
      <c r="U16" s="17">
        <f t="shared" si="8"/>
        <v>6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6</v>
      </c>
      <c r="AA16" s="17">
        <f t="shared" si="8"/>
        <v>4</v>
      </c>
      <c r="AB16" s="17">
        <f t="shared" si="8"/>
        <v>0</v>
      </c>
      <c r="AC16" s="17">
        <f t="shared" si="8"/>
        <v>173</v>
      </c>
      <c r="AD16" s="17">
        <f t="shared" si="8"/>
        <v>0</v>
      </c>
      <c r="AE16" s="31">
        <f t="shared" si="8"/>
        <v>89</v>
      </c>
      <c r="AF16" s="31">
        <f t="shared" si="8"/>
        <v>262</v>
      </c>
    </row>
    <row r="17" spans="2:32" ht="23.1" customHeight="1" x14ac:dyDescent="0.25">
      <c r="B17" s="23" t="s">
        <v>44</v>
      </c>
      <c r="C17" s="50">
        <v>2</v>
      </c>
      <c r="D17" s="50">
        <v>2</v>
      </c>
      <c r="E17" s="50">
        <v>3</v>
      </c>
      <c r="F17" s="50">
        <v>2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50</v>
      </c>
      <c r="N17" s="50">
        <v>0</v>
      </c>
      <c r="O17" s="15">
        <f t="shared" si="0"/>
        <v>12</v>
      </c>
      <c r="P17" s="15">
        <f t="shared" si="1"/>
        <v>62</v>
      </c>
      <c r="R17" s="1" t="s">
        <v>13</v>
      </c>
      <c r="S17" s="17">
        <f t="shared" ref="S17:AF17" si="9">SUM(C38:C41)</f>
        <v>24</v>
      </c>
      <c r="T17" s="17">
        <f t="shared" si="9"/>
        <v>7</v>
      </c>
      <c r="U17" s="17">
        <f t="shared" si="9"/>
        <v>2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100</v>
      </c>
      <c r="AD17" s="17">
        <f t="shared" si="9"/>
        <v>0</v>
      </c>
      <c r="AE17" s="31">
        <f t="shared" si="9"/>
        <v>51</v>
      </c>
      <c r="AF17" s="31">
        <f t="shared" si="9"/>
        <v>151</v>
      </c>
    </row>
    <row r="18" spans="2:32" ht="23.1" customHeight="1" x14ac:dyDescent="0.25">
      <c r="B18" s="23" t="s">
        <v>45</v>
      </c>
      <c r="C18" s="50">
        <v>9</v>
      </c>
      <c r="D18" s="50">
        <v>3</v>
      </c>
      <c r="E18" s="50">
        <v>0</v>
      </c>
      <c r="F18" s="50">
        <v>1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43</v>
      </c>
      <c r="N18" s="50">
        <v>0</v>
      </c>
      <c r="O18" s="15">
        <f t="shared" si="0"/>
        <v>16</v>
      </c>
      <c r="P18" s="15">
        <f t="shared" si="1"/>
        <v>59</v>
      </c>
      <c r="R18" s="1" t="s">
        <v>14</v>
      </c>
      <c r="S18" s="17">
        <f t="shared" ref="S18:AF18" si="10">SUM(C42:C45)</f>
        <v>44</v>
      </c>
      <c r="T18" s="17">
        <f t="shared" si="10"/>
        <v>2</v>
      </c>
      <c r="U18" s="17">
        <f t="shared" si="10"/>
        <v>6</v>
      </c>
      <c r="V18" s="17">
        <f t="shared" si="10"/>
        <v>8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118</v>
      </c>
      <c r="AD18" s="17">
        <f t="shared" si="10"/>
        <v>0</v>
      </c>
      <c r="AE18" s="31">
        <f t="shared" si="10"/>
        <v>70</v>
      </c>
      <c r="AF18" s="31">
        <f t="shared" si="10"/>
        <v>188</v>
      </c>
    </row>
    <row r="19" spans="2:32" ht="23.1" customHeight="1" x14ac:dyDescent="0.25">
      <c r="B19" s="23" t="s">
        <v>46</v>
      </c>
      <c r="C19" s="50">
        <v>15</v>
      </c>
      <c r="D19" s="50">
        <v>3</v>
      </c>
      <c r="E19" s="50">
        <v>0</v>
      </c>
      <c r="F19" s="50">
        <v>2</v>
      </c>
      <c r="G19" s="50">
        <v>0</v>
      </c>
      <c r="H19" s="50">
        <v>0</v>
      </c>
      <c r="I19" s="50">
        <v>4</v>
      </c>
      <c r="J19" s="50">
        <v>1</v>
      </c>
      <c r="K19" s="50">
        <v>0</v>
      </c>
      <c r="L19" s="50">
        <v>0</v>
      </c>
      <c r="M19" s="50">
        <v>55</v>
      </c>
      <c r="N19" s="50">
        <v>0</v>
      </c>
      <c r="O19" s="15">
        <f t="shared" si="0"/>
        <v>25</v>
      </c>
      <c r="P19" s="15">
        <f t="shared" si="1"/>
        <v>80</v>
      </c>
      <c r="R19" s="1" t="s">
        <v>15</v>
      </c>
      <c r="S19" s="17">
        <f t="shared" ref="S19:AF19" si="11">SUM(C46:C49)</f>
        <v>47</v>
      </c>
      <c r="T19" s="17">
        <f t="shared" si="11"/>
        <v>9</v>
      </c>
      <c r="U19" s="17">
        <f t="shared" si="11"/>
        <v>6</v>
      </c>
      <c r="V19" s="17">
        <f t="shared" si="11"/>
        <v>16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151</v>
      </c>
      <c r="AD19" s="17">
        <f t="shared" si="11"/>
        <v>0</v>
      </c>
      <c r="AE19" s="31">
        <f t="shared" si="11"/>
        <v>93</v>
      </c>
      <c r="AF19" s="31">
        <f t="shared" si="11"/>
        <v>244</v>
      </c>
    </row>
    <row r="20" spans="2:32" ht="23.1" customHeight="1" x14ac:dyDescent="0.25">
      <c r="B20" s="23" t="s">
        <v>47</v>
      </c>
      <c r="C20" s="50">
        <v>8</v>
      </c>
      <c r="D20" s="50">
        <v>2</v>
      </c>
      <c r="E20" s="50">
        <v>1</v>
      </c>
      <c r="F20" s="50">
        <v>4</v>
      </c>
      <c r="G20" s="50">
        <v>0</v>
      </c>
      <c r="H20" s="50">
        <v>0</v>
      </c>
      <c r="I20" s="50">
        <v>4</v>
      </c>
      <c r="J20" s="50">
        <v>0</v>
      </c>
      <c r="K20" s="50">
        <v>1</v>
      </c>
      <c r="L20" s="50">
        <v>0</v>
      </c>
      <c r="M20" s="50">
        <v>46</v>
      </c>
      <c r="N20" s="50">
        <v>0</v>
      </c>
      <c r="O20" s="15">
        <f t="shared" si="0"/>
        <v>20</v>
      </c>
      <c r="P20" s="15">
        <f t="shared" si="1"/>
        <v>66</v>
      </c>
      <c r="R20" s="1" t="s">
        <v>16</v>
      </c>
      <c r="S20" s="17">
        <f t="shared" ref="S20:AF20" si="12">SUM(C50:C53)</f>
        <v>54</v>
      </c>
      <c r="T20" s="17">
        <f t="shared" si="12"/>
        <v>7</v>
      </c>
      <c r="U20" s="17">
        <f t="shared" si="12"/>
        <v>16</v>
      </c>
      <c r="V20" s="17">
        <f t="shared" si="12"/>
        <v>19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7</v>
      </c>
      <c r="AA20" s="17">
        <f t="shared" si="12"/>
        <v>3</v>
      </c>
      <c r="AB20" s="17">
        <f t="shared" si="12"/>
        <v>0</v>
      </c>
      <c r="AC20" s="17">
        <f t="shared" si="12"/>
        <v>190</v>
      </c>
      <c r="AD20" s="17">
        <f t="shared" si="12"/>
        <v>0</v>
      </c>
      <c r="AE20" s="31">
        <f t="shared" si="12"/>
        <v>115</v>
      </c>
      <c r="AF20" s="31">
        <f t="shared" si="12"/>
        <v>305</v>
      </c>
    </row>
    <row r="21" spans="2:32" ht="23.1" customHeight="1" x14ac:dyDescent="0.25">
      <c r="B21" s="23" t="s">
        <v>48</v>
      </c>
      <c r="C21" s="50">
        <v>7</v>
      </c>
      <c r="D21" s="50">
        <v>1</v>
      </c>
      <c r="E21" s="50">
        <v>1</v>
      </c>
      <c r="F21" s="50">
        <v>2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41</v>
      </c>
      <c r="N21" s="50">
        <v>0</v>
      </c>
      <c r="O21" s="15">
        <f t="shared" si="0"/>
        <v>15</v>
      </c>
      <c r="P21" s="15">
        <f t="shared" si="1"/>
        <v>56</v>
      </c>
      <c r="R21" s="36" t="s">
        <v>20</v>
      </c>
      <c r="S21" s="34">
        <f t="shared" ref="S21:AF21" si="13">SUM(C54:C57)</f>
        <v>59</v>
      </c>
      <c r="T21" s="17">
        <f t="shared" si="13"/>
        <v>10</v>
      </c>
      <c r="U21" s="17">
        <f t="shared" si="13"/>
        <v>16</v>
      </c>
      <c r="V21" s="17">
        <f t="shared" si="13"/>
        <v>19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7</v>
      </c>
      <c r="AA21" s="17">
        <f t="shared" si="13"/>
        <v>0</v>
      </c>
      <c r="AB21" s="17">
        <f t="shared" si="13"/>
        <v>0</v>
      </c>
      <c r="AC21" s="17">
        <f t="shared" si="13"/>
        <v>170</v>
      </c>
      <c r="AD21" s="17">
        <f t="shared" si="13"/>
        <v>0</v>
      </c>
      <c r="AE21" s="31">
        <f t="shared" si="13"/>
        <v>118</v>
      </c>
      <c r="AF21" s="31">
        <f t="shared" si="13"/>
        <v>288</v>
      </c>
    </row>
    <row r="22" spans="2:32" ht="23.1" customHeight="1" x14ac:dyDescent="0.25">
      <c r="B22" s="23" t="s">
        <v>49</v>
      </c>
      <c r="C22" s="50">
        <v>11</v>
      </c>
      <c r="D22" s="50">
        <v>2</v>
      </c>
      <c r="E22" s="50">
        <v>4</v>
      </c>
      <c r="F22" s="50">
        <v>3</v>
      </c>
      <c r="G22" s="50">
        <v>0</v>
      </c>
      <c r="H22" s="50">
        <v>0</v>
      </c>
      <c r="I22" s="50">
        <v>4</v>
      </c>
      <c r="J22" s="50">
        <v>1</v>
      </c>
      <c r="K22" s="50">
        <v>1</v>
      </c>
      <c r="L22" s="50">
        <v>0</v>
      </c>
      <c r="M22" s="50">
        <v>36</v>
      </c>
      <c r="N22" s="50">
        <v>0</v>
      </c>
      <c r="O22" s="15">
        <f t="shared" si="0"/>
        <v>26</v>
      </c>
      <c r="P22" s="15">
        <f t="shared" si="1"/>
        <v>62</v>
      </c>
      <c r="R22" s="38" t="s">
        <v>90</v>
      </c>
      <c r="S22" s="39">
        <f>MAX(S10:S12)</f>
        <v>91</v>
      </c>
      <c r="T22" s="39">
        <f t="shared" ref="T22:AF22" si="14">MAX(T10:T12)</f>
        <v>11</v>
      </c>
      <c r="U22" s="39">
        <f t="shared" si="14"/>
        <v>10</v>
      </c>
      <c r="V22" s="39">
        <f t="shared" si="14"/>
        <v>13</v>
      </c>
      <c r="W22" s="39">
        <f t="shared" si="14"/>
        <v>0</v>
      </c>
      <c r="X22" s="39">
        <f t="shared" si="14"/>
        <v>0</v>
      </c>
      <c r="Y22" s="39">
        <f t="shared" si="14"/>
        <v>15</v>
      </c>
      <c r="Z22" s="39">
        <f t="shared" si="14"/>
        <v>1</v>
      </c>
      <c r="AA22" s="39">
        <f t="shared" si="14"/>
        <v>1</v>
      </c>
      <c r="AB22" s="39">
        <f t="shared" si="14"/>
        <v>0</v>
      </c>
      <c r="AC22" s="39">
        <f t="shared" si="14"/>
        <v>217</v>
      </c>
      <c r="AD22" s="39">
        <f t="shared" si="14"/>
        <v>0</v>
      </c>
      <c r="AE22" s="40">
        <f t="shared" si="14"/>
        <v>130</v>
      </c>
      <c r="AF22" s="40">
        <f t="shared" si="14"/>
        <v>347</v>
      </c>
    </row>
    <row r="23" spans="2:32" ht="23.1" customHeight="1" x14ac:dyDescent="0.25">
      <c r="B23" s="23" t="s">
        <v>50</v>
      </c>
      <c r="C23" s="50">
        <v>9</v>
      </c>
      <c r="D23" s="50">
        <v>0</v>
      </c>
      <c r="E23" s="50">
        <v>4</v>
      </c>
      <c r="F23" s="50">
        <v>2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47</v>
      </c>
      <c r="N23" s="50">
        <v>0</v>
      </c>
      <c r="O23" s="15">
        <f t="shared" si="0"/>
        <v>17</v>
      </c>
      <c r="P23" s="15">
        <f t="shared" si="1"/>
        <v>64</v>
      </c>
      <c r="R23" s="38" t="s">
        <v>91</v>
      </c>
      <c r="S23" s="39">
        <f>MAX(S13:S18)</f>
        <v>50</v>
      </c>
      <c r="T23" s="39">
        <f t="shared" ref="T23:AF23" si="15">MAX(T13:T18)</f>
        <v>7</v>
      </c>
      <c r="U23" s="39">
        <f t="shared" si="15"/>
        <v>9</v>
      </c>
      <c r="V23" s="39">
        <f t="shared" si="15"/>
        <v>11</v>
      </c>
      <c r="W23" s="39">
        <f t="shared" si="15"/>
        <v>0</v>
      </c>
      <c r="X23" s="39">
        <f t="shared" si="15"/>
        <v>0</v>
      </c>
      <c r="Y23" s="39">
        <f t="shared" si="15"/>
        <v>20</v>
      </c>
      <c r="Z23" s="39">
        <f t="shared" si="15"/>
        <v>6</v>
      </c>
      <c r="AA23" s="39">
        <f t="shared" si="15"/>
        <v>5</v>
      </c>
      <c r="AB23" s="39">
        <f t="shared" si="15"/>
        <v>0</v>
      </c>
      <c r="AC23" s="39">
        <f t="shared" si="15"/>
        <v>173</v>
      </c>
      <c r="AD23" s="39">
        <f t="shared" si="15"/>
        <v>1</v>
      </c>
      <c r="AE23" s="40">
        <f t="shared" si="15"/>
        <v>95</v>
      </c>
      <c r="AF23" s="40">
        <f t="shared" si="15"/>
        <v>262</v>
      </c>
    </row>
    <row r="24" spans="2:32" ht="23.1" customHeight="1" x14ac:dyDescent="0.25">
      <c r="B24" s="23" t="s">
        <v>51</v>
      </c>
      <c r="C24" s="50">
        <v>10</v>
      </c>
      <c r="D24" s="50">
        <v>3</v>
      </c>
      <c r="E24" s="50">
        <v>0</v>
      </c>
      <c r="F24" s="50">
        <v>2</v>
      </c>
      <c r="G24" s="50">
        <v>0</v>
      </c>
      <c r="H24" s="50">
        <v>0</v>
      </c>
      <c r="I24" s="50">
        <v>6</v>
      </c>
      <c r="J24" s="50">
        <v>2</v>
      </c>
      <c r="K24" s="50">
        <v>0</v>
      </c>
      <c r="L24" s="50">
        <v>0</v>
      </c>
      <c r="M24" s="50">
        <v>35</v>
      </c>
      <c r="N24" s="50">
        <v>0</v>
      </c>
      <c r="O24" s="15">
        <f t="shared" si="0"/>
        <v>23</v>
      </c>
      <c r="P24" s="15">
        <f t="shared" si="1"/>
        <v>58</v>
      </c>
      <c r="R24" s="38" t="s">
        <v>92</v>
      </c>
      <c r="S24" s="39">
        <f>MAX(S19:S21)</f>
        <v>59</v>
      </c>
      <c r="T24" s="39">
        <f t="shared" ref="T24:AF24" si="16">MAX(T19:T21)</f>
        <v>10</v>
      </c>
      <c r="U24" s="39">
        <f t="shared" si="16"/>
        <v>16</v>
      </c>
      <c r="V24" s="39">
        <f t="shared" si="16"/>
        <v>19</v>
      </c>
      <c r="W24" s="39">
        <f t="shared" si="16"/>
        <v>0</v>
      </c>
      <c r="X24" s="39">
        <f t="shared" si="16"/>
        <v>0</v>
      </c>
      <c r="Y24" s="39">
        <f t="shared" si="16"/>
        <v>10</v>
      </c>
      <c r="Z24" s="39">
        <f t="shared" si="16"/>
        <v>7</v>
      </c>
      <c r="AA24" s="39">
        <f t="shared" si="16"/>
        <v>3</v>
      </c>
      <c r="AB24" s="39">
        <f t="shared" si="16"/>
        <v>0</v>
      </c>
      <c r="AC24" s="39">
        <f t="shared" si="16"/>
        <v>190</v>
      </c>
      <c r="AD24" s="39">
        <f t="shared" si="16"/>
        <v>0</v>
      </c>
      <c r="AE24" s="40">
        <f t="shared" si="16"/>
        <v>118</v>
      </c>
      <c r="AF24" s="40">
        <f t="shared" si="16"/>
        <v>305</v>
      </c>
    </row>
    <row r="25" spans="2:32" ht="23.1" customHeight="1" x14ac:dyDescent="0.25">
      <c r="B25" s="23" t="s">
        <v>52</v>
      </c>
      <c r="C25" s="50">
        <v>1</v>
      </c>
      <c r="D25" s="50">
        <v>2</v>
      </c>
      <c r="E25" s="50">
        <v>0</v>
      </c>
      <c r="F25" s="50">
        <v>1</v>
      </c>
      <c r="G25" s="50">
        <v>0</v>
      </c>
      <c r="H25" s="50">
        <v>0</v>
      </c>
      <c r="I25" s="50">
        <v>3</v>
      </c>
      <c r="J25" s="50">
        <v>2</v>
      </c>
      <c r="K25" s="50">
        <v>0</v>
      </c>
      <c r="L25" s="50">
        <v>0</v>
      </c>
      <c r="M25" s="50">
        <v>49</v>
      </c>
      <c r="N25" s="50">
        <v>1</v>
      </c>
      <c r="O25" s="15">
        <f t="shared" si="0"/>
        <v>10</v>
      </c>
      <c r="P25" s="15">
        <f t="shared" si="1"/>
        <v>59</v>
      </c>
      <c r="R25" s="37" t="s">
        <v>85</v>
      </c>
      <c r="S25" s="35">
        <f t="shared" ref="S25:AF25" si="17">SUM(S10:S12)</f>
        <v>163</v>
      </c>
      <c r="T25" s="16">
        <f t="shared" si="17"/>
        <v>27</v>
      </c>
      <c r="U25" s="16">
        <f t="shared" si="17"/>
        <v>22</v>
      </c>
      <c r="V25" s="16">
        <f t="shared" si="17"/>
        <v>34</v>
      </c>
      <c r="W25" s="16">
        <f t="shared" si="17"/>
        <v>0</v>
      </c>
      <c r="X25" s="16">
        <f t="shared" si="17"/>
        <v>0</v>
      </c>
      <c r="Y25" s="16">
        <f t="shared" si="17"/>
        <v>32</v>
      </c>
      <c r="Z25" s="16">
        <f t="shared" si="17"/>
        <v>1</v>
      </c>
      <c r="AA25" s="16">
        <f t="shared" si="17"/>
        <v>1</v>
      </c>
      <c r="AB25" s="16">
        <f t="shared" si="17"/>
        <v>0</v>
      </c>
      <c r="AC25" s="16">
        <f t="shared" si="17"/>
        <v>580</v>
      </c>
      <c r="AD25" s="16">
        <f t="shared" si="17"/>
        <v>0</v>
      </c>
      <c r="AE25" s="32">
        <f t="shared" si="17"/>
        <v>280</v>
      </c>
      <c r="AF25" s="32">
        <f t="shared" si="17"/>
        <v>860</v>
      </c>
    </row>
    <row r="26" spans="2:32" ht="23.1" customHeight="1" x14ac:dyDescent="0.25">
      <c r="B26" s="23" t="s">
        <v>53</v>
      </c>
      <c r="C26" s="50">
        <v>10</v>
      </c>
      <c r="D26" s="50">
        <v>1</v>
      </c>
      <c r="E26" s="50">
        <v>2</v>
      </c>
      <c r="F26" s="50">
        <v>2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43</v>
      </c>
      <c r="N26" s="50">
        <v>0</v>
      </c>
      <c r="O26" s="15">
        <f t="shared" si="0"/>
        <v>17</v>
      </c>
      <c r="P26" s="15">
        <f t="shared" si="1"/>
        <v>60</v>
      </c>
      <c r="R26" s="28" t="s">
        <v>86</v>
      </c>
      <c r="S26" s="16">
        <f t="shared" ref="S26:AF26" si="18">SUM(S13:S18)</f>
        <v>227</v>
      </c>
      <c r="T26" s="16">
        <f t="shared" si="18"/>
        <v>28</v>
      </c>
      <c r="U26" s="16">
        <f t="shared" si="18"/>
        <v>38</v>
      </c>
      <c r="V26" s="16">
        <f t="shared" si="18"/>
        <v>50</v>
      </c>
      <c r="W26" s="16">
        <f t="shared" si="18"/>
        <v>0</v>
      </c>
      <c r="X26" s="16">
        <f t="shared" si="18"/>
        <v>0</v>
      </c>
      <c r="Y26" s="16">
        <f t="shared" si="18"/>
        <v>64</v>
      </c>
      <c r="Z26" s="16">
        <f t="shared" si="18"/>
        <v>21</v>
      </c>
      <c r="AA26" s="16">
        <f t="shared" si="18"/>
        <v>11</v>
      </c>
      <c r="AB26" s="16">
        <f t="shared" si="18"/>
        <v>0</v>
      </c>
      <c r="AC26" s="16">
        <f t="shared" si="18"/>
        <v>848</v>
      </c>
      <c r="AD26" s="16">
        <f t="shared" si="18"/>
        <v>1</v>
      </c>
      <c r="AE26" s="32">
        <f t="shared" si="18"/>
        <v>440</v>
      </c>
      <c r="AF26" s="32">
        <f t="shared" si="18"/>
        <v>1288</v>
      </c>
    </row>
    <row r="27" spans="2:32" ht="23.1" customHeight="1" x14ac:dyDescent="0.25">
      <c r="B27" s="23" t="s">
        <v>54</v>
      </c>
      <c r="C27" s="50">
        <v>9</v>
      </c>
      <c r="D27" s="50">
        <v>4</v>
      </c>
      <c r="E27" s="50">
        <v>3</v>
      </c>
      <c r="F27" s="50">
        <v>1</v>
      </c>
      <c r="G27" s="50">
        <v>0</v>
      </c>
      <c r="H27" s="50">
        <v>0</v>
      </c>
      <c r="I27" s="50">
        <v>2</v>
      </c>
      <c r="J27" s="50">
        <v>1</v>
      </c>
      <c r="K27" s="50">
        <v>1</v>
      </c>
      <c r="L27" s="50">
        <v>0</v>
      </c>
      <c r="M27" s="50">
        <v>30</v>
      </c>
      <c r="N27" s="50">
        <v>0</v>
      </c>
      <c r="O27" s="15">
        <f t="shared" si="0"/>
        <v>21</v>
      </c>
      <c r="P27" s="15">
        <f t="shared" si="1"/>
        <v>51</v>
      </c>
      <c r="R27" s="29" t="s">
        <v>87</v>
      </c>
      <c r="S27" s="16">
        <f t="shared" ref="S27:AF27" si="19">SUM(S19:S21)</f>
        <v>160</v>
      </c>
      <c r="T27" s="16">
        <f t="shared" si="19"/>
        <v>26</v>
      </c>
      <c r="U27" s="16">
        <f t="shared" si="19"/>
        <v>38</v>
      </c>
      <c r="V27" s="16">
        <f t="shared" si="19"/>
        <v>54</v>
      </c>
      <c r="W27" s="16">
        <f t="shared" si="19"/>
        <v>0</v>
      </c>
      <c r="X27" s="16">
        <f t="shared" si="19"/>
        <v>0</v>
      </c>
      <c r="Y27" s="16">
        <f t="shared" si="19"/>
        <v>26</v>
      </c>
      <c r="Z27" s="16">
        <f t="shared" si="19"/>
        <v>18</v>
      </c>
      <c r="AA27" s="16">
        <f t="shared" si="19"/>
        <v>4</v>
      </c>
      <c r="AB27" s="16">
        <f t="shared" si="19"/>
        <v>0</v>
      </c>
      <c r="AC27" s="16">
        <f t="shared" si="19"/>
        <v>511</v>
      </c>
      <c r="AD27" s="16">
        <f t="shared" si="19"/>
        <v>0</v>
      </c>
      <c r="AE27" s="32">
        <f t="shared" si="19"/>
        <v>326</v>
      </c>
      <c r="AF27" s="32">
        <f t="shared" si="19"/>
        <v>837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3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35</v>
      </c>
      <c r="N28" s="50">
        <v>0</v>
      </c>
      <c r="O28" s="15">
        <f t="shared" si="0"/>
        <v>13</v>
      </c>
      <c r="P28" s="15">
        <f t="shared" si="1"/>
        <v>48</v>
      </c>
      <c r="R28" s="5" t="s">
        <v>17</v>
      </c>
      <c r="S28" s="16">
        <f t="shared" ref="S28:AF28" si="20">SUM(S10:S21)</f>
        <v>550</v>
      </c>
      <c r="T28" s="16">
        <f t="shared" si="20"/>
        <v>81</v>
      </c>
      <c r="U28" s="16">
        <f t="shared" si="20"/>
        <v>98</v>
      </c>
      <c r="V28" s="16">
        <f t="shared" si="20"/>
        <v>138</v>
      </c>
      <c r="W28" s="16">
        <f t="shared" si="20"/>
        <v>0</v>
      </c>
      <c r="X28" s="16">
        <f t="shared" si="20"/>
        <v>0</v>
      </c>
      <c r="Y28" s="16">
        <f t="shared" si="20"/>
        <v>122</v>
      </c>
      <c r="Z28" s="16">
        <f t="shared" si="20"/>
        <v>40</v>
      </c>
      <c r="AA28" s="16">
        <f t="shared" si="20"/>
        <v>16</v>
      </c>
      <c r="AB28" s="16">
        <f t="shared" si="20"/>
        <v>0</v>
      </c>
      <c r="AC28" s="16">
        <f t="shared" si="20"/>
        <v>1939</v>
      </c>
      <c r="AD28" s="16">
        <f t="shared" si="20"/>
        <v>1</v>
      </c>
      <c r="AE28" s="32">
        <f t="shared" si="20"/>
        <v>1046</v>
      </c>
      <c r="AF28" s="32">
        <f t="shared" si="20"/>
        <v>2985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35</v>
      </c>
      <c r="N29" s="50">
        <v>0</v>
      </c>
      <c r="O29" s="15">
        <f t="shared" si="0"/>
        <v>8</v>
      </c>
      <c r="P29" s="15">
        <f t="shared" si="1"/>
        <v>43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2</v>
      </c>
      <c r="E30" s="50">
        <v>3</v>
      </c>
      <c r="F30" s="50">
        <v>2</v>
      </c>
      <c r="G30" s="50">
        <v>0</v>
      </c>
      <c r="H30" s="50">
        <v>0</v>
      </c>
      <c r="I30" s="50">
        <v>7</v>
      </c>
      <c r="J30" s="50">
        <v>1</v>
      </c>
      <c r="K30" s="50">
        <v>2</v>
      </c>
      <c r="L30" s="50">
        <v>0</v>
      </c>
      <c r="M30" s="50">
        <v>30</v>
      </c>
      <c r="N30" s="50">
        <v>0</v>
      </c>
      <c r="O30" s="15">
        <f t="shared" si="0"/>
        <v>24</v>
      </c>
      <c r="P30" s="15">
        <f t="shared" si="1"/>
        <v>54</v>
      </c>
    </row>
    <row r="31" spans="2:32" ht="23.1" customHeight="1" x14ac:dyDescent="0.25">
      <c r="B31" s="24" t="s">
        <v>58</v>
      </c>
      <c r="C31" s="50">
        <v>12</v>
      </c>
      <c r="D31" s="50">
        <v>0</v>
      </c>
      <c r="E31" s="50">
        <v>1</v>
      </c>
      <c r="F31" s="50">
        <v>5</v>
      </c>
      <c r="G31" s="50">
        <v>0</v>
      </c>
      <c r="H31" s="50">
        <v>0</v>
      </c>
      <c r="I31" s="50">
        <v>8</v>
      </c>
      <c r="J31" s="50">
        <v>0</v>
      </c>
      <c r="K31" s="50">
        <v>3</v>
      </c>
      <c r="L31" s="50">
        <v>0</v>
      </c>
      <c r="M31" s="50">
        <v>43</v>
      </c>
      <c r="N31" s="50">
        <v>0</v>
      </c>
      <c r="O31" s="15">
        <f t="shared" si="0"/>
        <v>29</v>
      </c>
      <c r="P31" s="15">
        <f t="shared" si="1"/>
        <v>72</v>
      </c>
    </row>
    <row r="32" spans="2:32" ht="23.1" customHeight="1" x14ac:dyDescent="0.25">
      <c r="B32" s="24" t="s">
        <v>59</v>
      </c>
      <c r="C32" s="50">
        <v>15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0</v>
      </c>
      <c r="M32" s="50">
        <v>31</v>
      </c>
      <c r="N32" s="50">
        <v>0</v>
      </c>
      <c r="O32" s="15">
        <f t="shared" si="0"/>
        <v>21</v>
      </c>
      <c r="P32" s="15">
        <f t="shared" si="1"/>
        <v>52</v>
      </c>
    </row>
    <row r="33" spans="2:20" ht="23.1" customHeight="1" x14ac:dyDescent="0.25">
      <c r="B33" s="23" t="s">
        <v>60</v>
      </c>
      <c r="C33" s="50">
        <v>12</v>
      </c>
      <c r="D33" s="50">
        <v>1</v>
      </c>
      <c r="E33" s="50">
        <v>2</v>
      </c>
      <c r="F33" s="50">
        <v>1</v>
      </c>
      <c r="G33" s="50">
        <v>0</v>
      </c>
      <c r="H33" s="50">
        <v>0</v>
      </c>
      <c r="I33" s="50">
        <v>3</v>
      </c>
      <c r="J33" s="50">
        <v>2</v>
      </c>
      <c r="K33" s="50">
        <v>0</v>
      </c>
      <c r="L33" s="50">
        <v>0</v>
      </c>
      <c r="M33" s="50">
        <v>43</v>
      </c>
      <c r="N33" s="50">
        <v>0</v>
      </c>
      <c r="O33" s="15">
        <f t="shared" si="0"/>
        <v>21</v>
      </c>
      <c r="P33" s="15">
        <f t="shared" si="1"/>
        <v>64</v>
      </c>
    </row>
    <row r="34" spans="2:20" ht="23.1" customHeight="1" x14ac:dyDescent="0.25">
      <c r="B34" s="24" t="s">
        <v>61</v>
      </c>
      <c r="C34" s="50">
        <v>19</v>
      </c>
      <c r="D34" s="50">
        <v>1</v>
      </c>
      <c r="E34" s="50">
        <v>3</v>
      </c>
      <c r="F34" s="50">
        <v>4</v>
      </c>
      <c r="G34" s="50">
        <v>0</v>
      </c>
      <c r="H34" s="50">
        <v>0</v>
      </c>
      <c r="I34" s="50">
        <v>6</v>
      </c>
      <c r="J34" s="50">
        <v>3</v>
      </c>
      <c r="K34" s="50">
        <v>2</v>
      </c>
      <c r="L34" s="50">
        <v>0</v>
      </c>
      <c r="M34" s="50">
        <v>41</v>
      </c>
      <c r="N34" s="50">
        <v>0</v>
      </c>
      <c r="O34" s="15">
        <f t="shared" si="0"/>
        <v>38</v>
      </c>
      <c r="P34" s="15">
        <f t="shared" si="1"/>
        <v>79</v>
      </c>
    </row>
    <row r="35" spans="2:20" ht="23.1" customHeight="1" x14ac:dyDescent="0.25">
      <c r="B35" s="24" t="s">
        <v>62</v>
      </c>
      <c r="C35" s="50">
        <v>8</v>
      </c>
      <c r="D35" s="50">
        <v>0</v>
      </c>
      <c r="E35" s="50">
        <v>2</v>
      </c>
      <c r="F35" s="50">
        <v>1</v>
      </c>
      <c r="G35" s="50">
        <v>0</v>
      </c>
      <c r="H35" s="50">
        <v>0</v>
      </c>
      <c r="I35" s="50">
        <v>2</v>
      </c>
      <c r="J35" s="50">
        <v>3</v>
      </c>
      <c r="K35" s="50">
        <v>0</v>
      </c>
      <c r="L35" s="50">
        <v>0</v>
      </c>
      <c r="M35" s="50">
        <v>50</v>
      </c>
      <c r="N35" s="50">
        <v>0</v>
      </c>
      <c r="O35" s="15">
        <f t="shared" si="0"/>
        <v>16</v>
      </c>
      <c r="P35" s="15">
        <f t="shared" si="1"/>
        <v>66</v>
      </c>
    </row>
    <row r="36" spans="2:20" ht="23.1" customHeight="1" x14ac:dyDescent="0.25">
      <c r="B36" s="24" t="s">
        <v>63</v>
      </c>
      <c r="C36" s="50">
        <v>15</v>
      </c>
      <c r="D36" s="50">
        <v>1</v>
      </c>
      <c r="E36" s="50">
        <v>1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2</v>
      </c>
      <c r="L36" s="50">
        <v>0</v>
      </c>
      <c r="M36" s="50">
        <v>45</v>
      </c>
      <c r="N36" s="50">
        <v>0</v>
      </c>
      <c r="O36" s="15">
        <f t="shared" si="0"/>
        <v>22</v>
      </c>
      <c r="P36" s="15">
        <f t="shared" si="1"/>
        <v>67</v>
      </c>
    </row>
    <row r="37" spans="2:20" ht="23.1" customHeight="1" x14ac:dyDescent="0.25">
      <c r="B37" s="23" t="s">
        <v>64</v>
      </c>
      <c r="C37" s="50">
        <v>8</v>
      </c>
      <c r="D37" s="50">
        <v>2</v>
      </c>
      <c r="E37" s="50">
        <v>0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37</v>
      </c>
      <c r="N37" s="50">
        <v>0</v>
      </c>
      <c r="O37" s="15">
        <f t="shared" si="0"/>
        <v>13</v>
      </c>
      <c r="P37" s="15">
        <f t="shared" si="1"/>
        <v>50</v>
      </c>
    </row>
    <row r="38" spans="2:20" ht="23.1" customHeight="1" x14ac:dyDescent="0.25">
      <c r="B38" s="24" t="s">
        <v>65</v>
      </c>
      <c r="C38" s="50">
        <v>5</v>
      </c>
      <c r="D38" s="50">
        <v>1</v>
      </c>
      <c r="E38" s="50">
        <v>1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9</v>
      </c>
      <c r="P38" s="15">
        <f t="shared" si="1"/>
        <v>20</v>
      </c>
    </row>
    <row r="39" spans="2:20" ht="23.1" customHeight="1" x14ac:dyDescent="0.25">
      <c r="B39" s="24" t="s">
        <v>66</v>
      </c>
      <c r="C39" s="50">
        <v>8</v>
      </c>
      <c r="D39" s="50">
        <v>1</v>
      </c>
      <c r="E39" s="50">
        <v>1</v>
      </c>
      <c r="F39" s="50">
        <v>7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33</v>
      </c>
      <c r="N39" s="50">
        <v>0</v>
      </c>
      <c r="O39" s="15">
        <f t="shared" si="0"/>
        <v>19</v>
      </c>
      <c r="P39" s="15">
        <f t="shared" si="1"/>
        <v>52</v>
      </c>
    </row>
    <row r="40" spans="2:20" ht="23.1" customHeight="1" x14ac:dyDescent="0.25">
      <c r="B40" s="24" t="s">
        <v>67</v>
      </c>
      <c r="C40" s="50">
        <v>4</v>
      </c>
      <c r="D40" s="50">
        <v>1</v>
      </c>
      <c r="E40" s="50">
        <v>0</v>
      </c>
      <c r="F40" s="50">
        <v>2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33</v>
      </c>
      <c r="N40" s="50">
        <v>0</v>
      </c>
      <c r="O40" s="15">
        <f t="shared" si="0"/>
        <v>9</v>
      </c>
      <c r="P40" s="15">
        <f t="shared" si="1"/>
        <v>42</v>
      </c>
    </row>
    <row r="41" spans="2:20" ht="23.1" customHeight="1" x14ac:dyDescent="0.25">
      <c r="B41" s="23" t="s">
        <v>68</v>
      </c>
      <c r="C41" s="50">
        <v>7</v>
      </c>
      <c r="D41" s="50">
        <v>4</v>
      </c>
      <c r="E41" s="50">
        <v>0</v>
      </c>
      <c r="F41" s="50">
        <v>1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23</v>
      </c>
      <c r="N41" s="50">
        <v>0</v>
      </c>
      <c r="O41" s="15">
        <f t="shared" si="0"/>
        <v>14</v>
      </c>
      <c r="P41" s="15">
        <f t="shared" si="1"/>
        <v>37</v>
      </c>
    </row>
    <row r="42" spans="2:20" ht="23.1" customHeight="1" x14ac:dyDescent="0.25">
      <c r="B42" s="24" t="s">
        <v>69</v>
      </c>
      <c r="C42" s="50">
        <v>11</v>
      </c>
      <c r="D42" s="50">
        <v>1</v>
      </c>
      <c r="E42" s="50">
        <v>1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34</v>
      </c>
      <c r="N42" s="50">
        <v>0</v>
      </c>
      <c r="O42" s="15">
        <f t="shared" si="0"/>
        <v>15</v>
      </c>
      <c r="P42" s="15">
        <f t="shared" si="1"/>
        <v>49</v>
      </c>
    </row>
    <row r="43" spans="2:20" ht="23.1" customHeight="1" x14ac:dyDescent="0.25">
      <c r="B43" s="23" t="s">
        <v>70</v>
      </c>
      <c r="C43" s="50">
        <v>12</v>
      </c>
      <c r="D43" s="50">
        <v>1</v>
      </c>
      <c r="E43" s="50">
        <v>1</v>
      </c>
      <c r="F43" s="50">
        <v>1</v>
      </c>
      <c r="G43" s="50">
        <v>0</v>
      </c>
      <c r="H43" s="50">
        <v>0</v>
      </c>
      <c r="I43" s="50">
        <v>2</v>
      </c>
      <c r="J43" s="50">
        <v>2</v>
      </c>
      <c r="K43" s="50">
        <v>0</v>
      </c>
      <c r="L43" s="50">
        <v>0</v>
      </c>
      <c r="M43" s="50">
        <v>31</v>
      </c>
      <c r="N43" s="50">
        <v>0</v>
      </c>
      <c r="O43" s="15">
        <f t="shared" si="0"/>
        <v>19</v>
      </c>
      <c r="P43" s="15">
        <f t="shared" si="1"/>
        <v>50</v>
      </c>
    </row>
    <row r="44" spans="2:20" ht="23.1" customHeight="1" x14ac:dyDescent="0.25">
      <c r="B44" s="25" t="s">
        <v>71</v>
      </c>
      <c r="C44" s="50">
        <v>8</v>
      </c>
      <c r="D44" s="50">
        <v>0</v>
      </c>
      <c r="E44" s="50">
        <v>2</v>
      </c>
      <c r="F44" s="50">
        <v>3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22</v>
      </c>
      <c r="N44" s="50">
        <v>0</v>
      </c>
      <c r="O44" s="15">
        <f t="shared" si="0"/>
        <v>16</v>
      </c>
      <c r="P44" s="15">
        <f t="shared" si="1"/>
        <v>38</v>
      </c>
    </row>
    <row r="45" spans="2:20" ht="23.1" customHeight="1" x14ac:dyDescent="0.25">
      <c r="B45" s="23" t="s">
        <v>72</v>
      </c>
      <c r="C45" s="50">
        <v>13</v>
      </c>
      <c r="D45" s="50">
        <v>0</v>
      </c>
      <c r="E45" s="50">
        <v>2</v>
      </c>
      <c r="F45" s="50">
        <v>3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31</v>
      </c>
      <c r="N45" s="50">
        <v>0</v>
      </c>
      <c r="O45" s="15">
        <f t="shared" si="0"/>
        <v>20</v>
      </c>
      <c r="P45" s="15">
        <f t="shared" si="1"/>
        <v>51</v>
      </c>
    </row>
    <row r="46" spans="2:20" ht="23.1" customHeight="1" x14ac:dyDescent="0.25">
      <c r="B46" s="24" t="s">
        <v>73</v>
      </c>
      <c r="C46" s="50">
        <v>11</v>
      </c>
      <c r="D46" s="50">
        <v>4</v>
      </c>
      <c r="E46" s="50">
        <v>4</v>
      </c>
      <c r="F46" s="50">
        <v>4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32</v>
      </c>
      <c r="N46" s="50">
        <v>0</v>
      </c>
      <c r="O46" s="15">
        <f t="shared" si="0"/>
        <v>26</v>
      </c>
      <c r="P46" s="15">
        <f t="shared" si="1"/>
        <v>58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3</v>
      </c>
      <c r="E47" s="50">
        <v>2</v>
      </c>
      <c r="F47" s="50">
        <v>1</v>
      </c>
      <c r="G47" s="50">
        <v>0</v>
      </c>
      <c r="H47" s="50">
        <v>0</v>
      </c>
      <c r="I47" s="50">
        <v>4</v>
      </c>
      <c r="J47" s="50">
        <v>1</v>
      </c>
      <c r="K47" s="50">
        <v>1</v>
      </c>
      <c r="L47" s="50">
        <v>0</v>
      </c>
      <c r="M47" s="50">
        <v>43</v>
      </c>
      <c r="N47" s="50">
        <v>0</v>
      </c>
      <c r="O47" s="15">
        <f t="shared" si="0"/>
        <v>20</v>
      </c>
      <c r="P47" s="15">
        <f t="shared" si="1"/>
        <v>63</v>
      </c>
      <c r="R47" s="8"/>
      <c r="T47"/>
    </row>
    <row r="48" spans="2:20" ht="23.1" customHeight="1" x14ac:dyDescent="0.25">
      <c r="B48" s="24" t="s">
        <v>75</v>
      </c>
      <c r="C48" s="50">
        <v>17</v>
      </c>
      <c r="D48" s="50">
        <v>1</v>
      </c>
      <c r="E48" s="50">
        <v>0</v>
      </c>
      <c r="F48" s="50">
        <v>4</v>
      </c>
      <c r="G48" s="50">
        <v>0</v>
      </c>
      <c r="H48" s="50">
        <v>0</v>
      </c>
      <c r="I48" s="50">
        <v>3</v>
      </c>
      <c r="J48" s="50">
        <v>3</v>
      </c>
      <c r="K48" s="50">
        <v>0</v>
      </c>
      <c r="L48" s="50">
        <v>0</v>
      </c>
      <c r="M48" s="50">
        <v>43</v>
      </c>
      <c r="N48" s="50">
        <v>0</v>
      </c>
      <c r="O48" s="15">
        <f t="shared" si="0"/>
        <v>28</v>
      </c>
      <c r="P48" s="15">
        <f t="shared" si="1"/>
        <v>71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1</v>
      </c>
      <c r="E49" s="50">
        <v>0</v>
      </c>
      <c r="F49" s="50">
        <v>7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33</v>
      </c>
      <c r="N49" s="50">
        <v>0</v>
      </c>
      <c r="O49" s="15">
        <f t="shared" si="0"/>
        <v>19</v>
      </c>
      <c r="P49" s="15">
        <f t="shared" si="1"/>
        <v>52</v>
      </c>
      <c r="R49" s="8"/>
      <c r="T49"/>
    </row>
    <row r="50" spans="2:20" ht="23.1" customHeight="1" x14ac:dyDescent="0.25">
      <c r="B50" s="24" t="s">
        <v>77</v>
      </c>
      <c r="C50" s="50">
        <v>18</v>
      </c>
      <c r="D50" s="50">
        <v>1</v>
      </c>
      <c r="E50" s="50">
        <v>4</v>
      </c>
      <c r="F50" s="50">
        <v>7</v>
      </c>
      <c r="G50" s="50">
        <v>0</v>
      </c>
      <c r="H50" s="50">
        <v>0</v>
      </c>
      <c r="I50" s="50">
        <v>0</v>
      </c>
      <c r="J50" s="50">
        <v>3</v>
      </c>
      <c r="K50" s="50">
        <v>1</v>
      </c>
      <c r="L50" s="50">
        <v>0</v>
      </c>
      <c r="M50" s="50">
        <v>48</v>
      </c>
      <c r="N50" s="50">
        <v>0</v>
      </c>
      <c r="O50" s="15">
        <f t="shared" si="0"/>
        <v>34</v>
      </c>
      <c r="P50" s="15">
        <f t="shared" si="1"/>
        <v>82</v>
      </c>
      <c r="R50" s="8"/>
      <c r="T50"/>
    </row>
    <row r="51" spans="2:20" ht="23.1" customHeight="1" x14ac:dyDescent="0.25">
      <c r="B51" s="24" t="s">
        <v>78</v>
      </c>
      <c r="C51" s="50">
        <v>11</v>
      </c>
      <c r="D51" s="50">
        <v>3</v>
      </c>
      <c r="E51" s="50">
        <v>3</v>
      </c>
      <c r="F51" s="50">
        <v>2</v>
      </c>
      <c r="G51" s="50">
        <v>0</v>
      </c>
      <c r="H51" s="50">
        <v>0</v>
      </c>
      <c r="I51" s="50">
        <v>5</v>
      </c>
      <c r="J51" s="50">
        <v>1</v>
      </c>
      <c r="K51" s="50">
        <v>1</v>
      </c>
      <c r="L51" s="50">
        <v>0</v>
      </c>
      <c r="M51" s="50">
        <v>46</v>
      </c>
      <c r="N51" s="50">
        <v>0</v>
      </c>
      <c r="O51" s="15">
        <f t="shared" si="0"/>
        <v>26</v>
      </c>
      <c r="P51" s="15">
        <f t="shared" si="1"/>
        <v>72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1</v>
      </c>
      <c r="E52" s="50">
        <v>7</v>
      </c>
      <c r="F52" s="50">
        <v>4</v>
      </c>
      <c r="G52" s="50">
        <v>0</v>
      </c>
      <c r="H52" s="50">
        <v>0</v>
      </c>
      <c r="I52" s="50">
        <v>3</v>
      </c>
      <c r="J52" s="50">
        <v>2</v>
      </c>
      <c r="K52" s="50">
        <v>1</v>
      </c>
      <c r="L52" s="50">
        <v>0</v>
      </c>
      <c r="M52" s="50">
        <v>46</v>
      </c>
      <c r="N52" s="50">
        <v>0</v>
      </c>
      <c r="O52" s="15">
        <f t="shared" si="0"/>
        <v>32</v>
      </c>
      <c r="P52" s="15">
        <f t="shared" si="1"/>
        <v>78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2</v>
      </c>
      <c r="E53" s="50">
        <v>2</v>
      </c>
      <c r="F53" s="50">
        <v>6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50</v>
      </c>
      <c r="N53" s="50">
        <v>0</v>
      </c>
      <c r="O53" s="15">
        <f t="shared" si="0"/>
        <v>23</v>
      </c>
      <c r="P53" s="15">
        <f t="shared" si="1"/>
        <v>73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0</v>
      </c>
      <c r="E54" s="50">
        <v>4</v>
      </c>
      <c r="F54" s="50">
        <v>7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43</v>
      </c>
      <c r="N54" s="50">
        <v>0</v>
      </c>
      <c r="O54" s="15">
        <f t="shared" si="0"/>
        <v>26</v>
      </c>
      <c r="P54" s="15">
        <f t="shared" si="1"/>
        <v>69</v>
      </c>
      <c r="R54" s="8"/>
      <c r="T54"/>
    </row>
    <row r="55" spans="2:20" ht="23.1" customHeight="1" x14ac:dyDescent="0.25">
      <c r="B55" s="23" t="s">
        <v>82</v>
      </c>
      <c r="C55" s="50">
        <v>19</v>
      </c>
      <c r="D55" s="50">
        <v>2</v>
      </c>
      <c r="E55" s="50">
        <v>2</v>
      </c>
      <c r="F55" s="50">
        <v>4</v>
      </c>
      <c r="G55" s="50">
        <v>0</v>
      </c>
      <c r="H55" s="50">
        <v>0</v>
      </c>
      <c r="I55" s="50">
        <v>4</v>
      </c>
      <c r="J55" s="50">
        <v>2</v>
      </c>
      <c r="K55" s="50">
        <v>0</v>
      </c>
      <c r="L55" s="50">
        <v>0</v>
      </c>
      <c r="M55" s="50">
        <v>50</v>
      </c>
      <c r="N55" s="50">
        <v>0</v>
      </c>
      <c r="O55" s="15">
        <f t="shared" si="0"/>
        <v>33</v>
      </c>
      <c r="P55" s="15">
        <f t="shared" si="1"/>
        <v>83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4</v>
      </c>
      <c r="E56" s="50">
        <v>5</v>
      </c>
      <c r="F56" s="50">
        <v>4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43</v>
      </c>
      <c r="N56" s="50">
        <v>0</v>
      </c>
      <c r="O56" s="15">
        <f t="shared" si="0"/>
        <v>28</v>
      </c>
      <c r="P56" s="15">
        <f t="shared" si="1"/>
        <v>71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4</v>
      </c>
      <c r="E57" s="50">
        <v>5</v>
      </c>
      <c r="F57" s="50">
        <v>4</v>
      </c>
      <c r="G57" s="50">
        <v>0</v>
      </c>
      <c r="H57" s="50">
        <v>0</v>
      </c>
      <c r="I57" s="50">
        <v>1</v>
      </c>
      <c r="J57" s="50">
        <v>3</v>
      </c>
      <c r="K57" s="50">
        <v>0</v>
      </c>
      <c r="L57" s="50">
        <v>0</v>
      </c>
      <c r="M57" s="50">
        <v>34</v>
      </c>
      <c r="N57" s="50">
        <v>0</v>
      </c>
      <c r="O57" s="15">
        <f t="shared" si="0"/>
        <v>31</v>
      </c>
      <c r="P57" s="15">
        <f t="shared" si="1"/>
        <v>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550</v>
      </c>
      <c r="D58" s="16">
        <f t="shared" si="21"/>
        <v>81</v>
      </c>
      <c r="E58" s="16">
        <f t="shared" si="21"/>
        <v>98</v>
      </c>
      <c r="F58" s="16">
        <f t="shared" si="21"/>
        <v>138</v>
      </c>
      <c r="G58" s="16">
        <f t="shared" si="21"/>
        <v>0</v>
      </c>
      <c r="H58" s="16">
        <f t="shared" si="21"/>
        <v>0</v>
      </c>
      <c r="I58" s="16">
        <f t="shared" si="21"/>
        <v>122</v>
      </c>
      <c r="J58" s="16">
        <f t="shared" si="21"/>
        <v>40</v>
      </c>
      <c r="K58" s="16">
        <f t="shared" si="21"/>
        <v>16</v>
      </c>
      <c r="L58" s="16">
        <f t="shared" si="21"/>
        <v>0</v>
      </c>
      <c r="M58" s="16">
        <f t="shared" si="21"/>
        <v>1939</v>
      </c>
      <c r="N58" s="16">
        <f t="shared" si="21"/>
        <v>1</v>
      </c>
      <c r="O58" s="16">
        <f t="shared" si="21"/>
        <v>1046</v>
      </c>
      <c r="P58" s="16">
        <f t="shared" si="21"/>
        <v>2985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0.18425460636515914</v>
      </c>
      <c r="D59" s="43">
        <f t="shared" si="22"/>
        <v>2.7135678391959798E-2</v>
      </c>
      <c r="E59" s="43">
        <f t="shared" si="22"/>
        <v>3.2830820770519263E-2</v>
      </c>
      <c r="F59" s="43">
        <f t="shared" si="22"/>
        <v>4.6231155778894473E-2</v>
      </c>
      <c r="G59" s="43">
        <f t="shared" si="22"/>
        <v>0</v>
      </c>
      <c r="H59" s="43">
        <f t="shared" si="22"/>
        <v>0</v>
      </c>
      <c r="I59" s="43">
        <f t="shared" si="22"/>
        <v>4.0871021775544386E-2</v>
      </c>
      <c r="J59" s="43">
        <f t="shared" si="22"/>
        <v>1.340033500837521E-2</v>
      </c>
      <c r="K59" s="43">
        <f t="shared" si="22"/>
        <v>5.360134003350084E-3</v>
      </c>
      <c r="L59" s="43">
        <f t="shared" si="22"/>
        <v>0</v>
      </c>
      <c r="M59" s="43">
        <f t="shared" si="22"/>
        <v>0.64958123953098823</v>
      </c>
      <c r="N59" s="43">
        <f t="shared" si="22"/>
        <v>3.3500837520938025E-4</v>
      </c>
      <c r="R59" s="8"/>
      <c r="T59"/>
    </row>
    <row r="60" spans="2:20" ht="23.1" customHeight="1" x14ac:dyDescent="0.25">
      <c r="B60" s="42" t="s">
        <v>94</v>
      </c>
      <c r="C60" s="44">
        <f>C58/$O$58</f>
        <v>0.52581261950286806</v>
      </c>
      <c r="D60" s="44">
        <f t="shared" ref="D60:N60" si="23">D58/$O$58</f>
        <v>7.7437858508604213E-2</v>
      </c>
      <c r="E60" s="44">
        <f t="shared" si="23"/>
        <v>9.3690248565965584E-2</v>
      </c>
      <c r="F60" s="44">
        <f t="shared" si="23"/>
        <v>0.13193116634799235</v>
      </c>
      <c r="G60" s="44">
        <f t="shared" si="23"/>
        <v>0</v>
      </c>
      <c r="H60" s="44">
        <f t="shared" si="23"/>
        <v>0</v>
      </c>
      <c r="I60" s="44">
        <f t="shared" si="23"/>
        <v>0.11663479923518165</v>
      </c>
      <c r="J60" s="44">
        <f t="shared" si="23"/>
        <v>3.8240917782026769E-2</v>
      </c>
      <c r="K60" s="44">
        <f t="shared" si="23"/>
        <v>1.5296367112810707E-2</v>
      </c>
      <c r="L60" s="44">
        <f t="shared" si="23"/>
        <v>0</v>
      </c>
      <c r="M60" s="44"/>
      <c r="N60" s="44">
        <f t="shared" si="23"/>
        <v>9.5602294455066918E-4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57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57"/>
    </row>
    <row r="3" spans="2:32" ht="20.100000000000001" customHeight="1" x14ac:dyDescent="0.25">
      <c r="B3" s="76" t="s">
        <v>96</v>
      </c>
      <c r="C3" s="155" t="s">
        <v>178</v>
      </c>
      <c r="D3" s="155"/>
      <c r="E3" s="155"/>
      <c r="F3" s="155"/>
      <c r="G3" s="155"/>
      <c r="H3" s="76"/>
      <c r="I3" s="76"/>
      <c r="J3" s="76"/>
      <c r="K3" s="76"/>
      <c r="L3" s="76"/>
      <c r="M3" s="76"/>
      <c r="N3" s="76"/>
      <c r="O3" s="76"/>
      <c r="P3" s="76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</row>
    <row r="4" spans="2:32" ht="20.100000000000001" customHeight="1" x14ac:dyDescent="0.25"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</row>
    <row r="5" spans="2:32" ht="20.100000000000001" customHeight="1" x14ac:dyDescent="0.25">
      <c r="B5" s="57"/>
      <c r="C5" s="61" t="s">
        <v>3</v>
      </c>
      <c r="D5" s="145" t="s">
        <v>177</v>
      </c>
      <c r="E5" s="60"/>
      <c r="F5" s="92" t="s">
        <v>1</v>
      </c>
      <c r="G5" s="150" t="s">
        <v>165</v>
      </c>
      <c r="H5" s="151"/>
      <c r="I5" s="71"/>
      <c r="J5" s="59" t="s">
        <v>5</v>
      </c>
      <c r="K5" s="150" t="s">
        <v>171</v>
      </c>
      <c r="L5" s="151"/>
      <c r="M5" s="67"/>
      <c r="N5" s="67"/>
      <c r="O5" s="60"/>
      <c r="P5" s="60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</row>
    <row r="6" spans="2:32" ht="23.25" customHeight="1" x14ac:dyDescent="0.25">
      <c r="B6" s="57"/>
      <c r="C6" s="59" t="s">
        <v>4</v>
      </c>
      <c r="D6" s="150" t="s">
        <v>164</v>
      </c>
      <c r="E6" s="151"/>
      <c r="F6" s="59" t="s">
        <v>2</v>
      </c>
      <c r="G6" s="150" t="s">
        <v>166</v>
      </c>
      <c r="H6" s="151"/>
      <c r="I6" s="57"/>
      <c r="J6" s="59" t="s">
        <v>21</v>
      </c>
      <c r="K6" s="150" t="s">
        <v>168</v>
      </c>
      <c r="L6" s="151"/>
      <c r="M6" s="67"/>
      <c r="N6" s="67"/>
      <c r="O6" s="60"/>
      <c r="P6" s="60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</row>
    <row r="7" spans="2:32" ht="20.100000000000001" customHeight="1" x14ac:dyDescent="0.25">
      <c r="B7" s="59"/>
      <c r="C7" s="57"/>
      <c r="D7" s="60"/>
      <c r="E7" s="60"/>
      <c r="F7" s="60"/>
      <c r="G7" s="60"/>
      <c r="H7" s="57"/>
      <c r="I7" s="59"/>
      <c r="J7" s="57"/>
      <c r="K7" s="57"/>
      <c r="L7" s="60"/>
      <c r="M7" s="60"/>
      <c r="N7" s="60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</row>
    <row r="8" spans="2:32" ht="50.25" customHeight="1" x14ac:dyDescent="0.25">
      <c r="B8" s="68" t="s">
        <v>0</v>
      </c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7"/>
      <c r="P8" s="57"/>
      <c r="Q8" s="57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69"/>
      <c r="C9" s="70" t="s">
        <v>24</v>
      </c>
      <c r="D9" s="70" t="s">
        <v>25</v>
      </c>
      <c r="E9" s="70" t="s">
        <v>26</v>
      </c>
      <c r="F9" s="70" t="s">
        <v>27</v>
      </c>
      <c r="G9" s="70" t="s">
        <v>28</v>
      </c>
      <c r="H9" s="70" t="s">
        <v>29</v>
      </c>
      <c r="I9" s="70" t="s">
        <v>30</v>
      </c>
      <c r="J9" s="70" t="s">
        <v>31</v>
      </c>
      <c r="K9" s="70" t="s">
        <v>32</v>
      </c>
      <c r="L9" s="70" t="s">
        <v>33</v>
      </c>
      <c r="M9" s="70" t="s">
        <v>98</v>
      </c>
      <c r="N9" s="70" t="s">
        <v>97</v>
      </c>
      <c r="O9" s="68" t="s">
        <v>36</v>
      </c>
      <c r="P9" s="68" t="s">
        <v>22</v>
      </c>
      <c r="Q9" s="57"/>
      <c r="R9" s="66" t="s">
        <v>19</v>
      </c>
      <c r="S9" s="78" t="s">
        <v>24</v>
      </c>
      <c r="T9" s="78" t="s">
        <v>25</v>
      </c>
      <c r="U9" s="78" t="s">
        <v>26</v>
      </c>
      <c r="V9" s="78" t="s">
        <v>27</v>
      </c>
      <c r="W9" s="78" t="s">
        <v>28</v>
      </c>
      <c r="X9" s="78" t="s">
        <v>29</v>
      </c>
      <c r="Y9" s="78" t="s">
        <v>30</v>
      </c>
      <c r="Z9" s="78" t="s">
        <v>31</v>
      </c>
      <c r="AA9" s="78" t="s">
        <v>32</v>
      </c>
      <c r="AB9" s="78" t="s">
        <v>33</v>
      </c>
      <c r="AC9" s="78" t="s">
        <v>34</v>
      </c>
      <c r="AD9" s="78" t="s">
        <v>35</v>
      </c>
      <c r="AE9" s="81" t="s">
        <v>89</v>
      </c>
      <c r="AF9" s="81" t="s">
        <v>22</v>
      </c>
    </row>
    <row r="10" spans="2:32" ht="23.1" customHeight="1" x14ac:dyDescent="0.25">
      <c r="B10" s="96" t="s">
        <v>37</v>
      </c>
      <c r="C10" s="100">
        <v>4</v>
      </c>
      <c r="D10" s="100">
        <v>4</v>
      </c>
      <c r="E10" s="100">
        <v>0</v>
      </c>
      <c r="F10" s="100">
        <v>5</v>
      </c>
      <c r="G10" s="100">
        <v>0</v>
      </c>
      <c r="H10" s="100">
        <v>0</v>
      </c>
      <c r="I10" s="100">
        <v>1</v>
      </c>
      <c r="J10" s="100">
        <v>1</v>
      </c>
      <c r="K10" s="100">
        <v>0</v>
      </c>
      <c r="L10" s="100">
        <v>0</v>
      </c>
      <c r="M10" s="100">
        <v>35</v>
      </c>
      <c r="N10" s="100">
        <v>0</v>
      </c>
      <c r="O10" s="72">
        <f>C10+D10+E10+F10+G10+H10+I10+J10+K10+L10+N10</f>
        <v>15</v>
      </c>
      <c r="P10" s="72">
        <f>SUM(C10:N10)</f>
        <v>50</v>
      </c>
      <c r="Q10" s="57"/>
      <c r="R10" s="58" t="s">
        <v>6</v>
      </c>
      <c r="S10" s="74">
        <v>41</v>
      </c>
      <c r="T10" s="74">
        <v>15</v>
      </c>
      <c r="U10" s="74">
        <v>6</v>
      </c>
      <c r="V10" s="74">
        <v>18</v>
      </c>
      <c r="W10" s="74">
        <v>1</v>
      </c>
      <c r="X10" s="74">
        <v>0</v>
      </c>
      <c r="Y10" s="74">
        <v>6</v>
      </c>
      <c r="Z10" s="74">
        <v>2</v>
      </c>
      <c r="AA10" s="74">
        <v>0</v>
      </c>
      <c r="AB10" s="74">
        <v>0</v>
      </c>
      <c r="AC10" s="74">
        <v>150</v>
      </c>
      <c r="AD10" s="74">
        <v>0</v>
      </c>
      <c r="AE10" s="82">
        <v>89</v>
      </c>
      <c r="AF10" s="82">
        <v>239</v>
      </c>
    </row>
    <row r="11" spans="2:32" s="6" customFormat="1" ht="23.1" customHeight="1" x14ac:dyDescent="0.25">
      <c r="B11" s="96" t="s">
        <v>38</v>
      </c>
      <c r="C11" s="100">
        <v>9</v>
      </c>
      <c r="D11" s="100">
        <v>3</v>
      </c>
      <c r="E11" s="100">
        <v>0</v>
      </c>
      <c r="F11" s="100">
        <v>6</v>
      </c>
      <c r="G11" s="100">
        <v>1</v>
      </c>
      <c r="H11" s="100">
        <v>0</v>
      </c>
      <c r="I11" s="100">
        <v>1</v>
      </c>
      <c r="J11" s="100">
        <v>0</v>
      </c>
      <c r="K11" s="100">
        <v>0</v>
      </c>
      <c r="L11" s="100">
        <v>0</v>
      </c>
      <c r="M11" s="100">
        <v>46</v>
      </c>
      <c r="N11" s="100">
        <v>0</v>
      </c>
      <c r="O11" s="116">
        <f t="shared" ref="O11:O74" si="0">C11+D11+E11+F11+G11+H11+I11+J11+K11+L11+N11</f>
        <v>20</v>
      </c>
      <c r="P11" s="116">
        <f t="shared" ref="P11:P74" si="1">SUM(C11:N11)</f>
        <v>66</v>
      </c>
      <c r="Q11" s="63"/>
      <c r="R11" s="58" t="s">
        <v>7</v>
      </c>
      <c r="S11" s="74">
        <v>30</v>
      </c>
      <c r="T11" s="74">
        <v>6</v>
      </c>
      <c r="U11" s="74">
        <v>9</v>
      </c>
      <c r="V11" s="74">
        <v>10</v>
      </c>
      <c r="W11" s="74">
        <v>0</v>
      </c>
      <c r="X11" s="74">
        <v>0</v>
      </c>
      <c r="Y11" s="74">
        <v>13</v>
      </c>
      <c r="Z11" s="74">
        <v>0</v>
      </c>
      <c r="AA11" s="74">
        <v>0</v>
      </c>
      <c r="AB11" s="74">
        <v>0</v>
      </c>
      <c r="AC11" s="74">
        <v>157</v>
      </c>
      <c r="AD11" s="74">
        <v>0</v>
      </c>
      <c r="AE11" s="82">
        <v>68</v>
      </c>
      <c r="AF11" s="82">
        <v>239</v>
      </c>
    </row>
    <row r="12" spans="2:32" ht="23.1" customHeight="1" x14ac:dyDescent="0.25">
      <c r="B12" s="96" t="s">
        <v>39</v>
      </c>
      <c r="C12" s="100">
        <v>16</v>
      </c>
      <c r="D12" s="100">
        <v>5</v>
      </c>
      <c r="E12" s="100">
        <v>3</v>
      </c>
      <c r="F12" s="100">
        <v>5</v>
      </c>
      <c r="G12" s="100">
        <v>0</v>
      </c>
      <c r="H12" s="100">
        <v>0</v>
      </c>
      <c r="I12" s="100">
        <v>2</v>
      </c>
      <c r="J12" s="100">
        <v>1</v>
      </c>
      <c r="K12" s="100">
        <v>0</v>
      </c>
      <c r="L12" s="100">
        <v>0</v>
      </c>
      <c r="M12" s="100">
        <v>43</v>
      </c>
      <c r="N12" s="100">
        <v>0</v>
      </c>
      <c r="O12" s="116">
        <f t="shared" si="0"/>
        <v>32</v>
      </c>
      <c r="P12" s="116">
        <f t="shared" si="1"/>
        <v>75</v>
      </c>
      <c r="Q12" s="57"/>
      <c r="R12" s="58" t="s">
        <v>8</v>
      </c>
      <c r="S12" s="74">
        <v>40</v>
      </c>
      <c r="T12" s="74">
        <v>13</v>
      </c>
      <c r="U12" s="74">
        <v>7</v>
      </c>
      <c r="V12" s="74">
        <v>6</v>
      </c>
      <c r="W12" s="74">
        <v>2</v>
      </c>
      <c r="X12" s="74">
        <v>0</v>
      </c>
      <c r="Y12" s="74">
        <v>16</v>
      </c>
      <c r="Z12" s="74">
        <v>1</v>
      </c>
      <c r="AA12" s="74">
        <v>1</v>
      </c>
      <c r="AB12" s="74">
        <v>1</v>
      </c>
      <c r="AC12" s="74">
        <v>138</v>
      </c>
      <c r="AD12" s="74">
        <v>0</v>
      </c>
      <c r="AE12" s="82">
        <v>87</v>
      </c>
      <c r="AF12" s="82">
        <v>225</v>
      </c>
    </row>
    <row r="13" spans="2:32" ht="23.1" customHeight="1" x14ac:dyDescent="0.25">
      <c r="B13" s="96" t="s">
        <v>40</v>
      </c>
      <c r="C13" s="100">
        <v>12</v>
      </c>
      <c r="D13" s="100">
        <v>3</v>
      </c>
      <c r="E13" s="100">
        <v>3</v>
      </c>
      <c r="F13" s="100">
        <v>2</v>
      </c>
      <c r="G13" s="100">
        <v>0</v>
      </c>
      <c r="H13" s="100">
        <v>0</v>
      </c>
      <c r="I13" s="100">
        <v>2</v>
      </c>
      <c r="J13" s="100">
        <v>0</v>
      </c>
      <c r="K13" s="100">
        <v>0</v>
      </c>
      <c r="L13" s="100">
        <v>0</v>
      </c>
      <c r="M13" s="100">
        <v>26</v>
      </c>
      <c r="N13" s="100">
        <v>0</v>
      </c>
      <c r="O13" s="116">
        <f t="shared" si="0"/>
        <v>22</v>
      </c>
      <c r="P13" s="116">
        <f t="shared" si="1"/>
        <v>48</v>
      </c>
      <c r="Q13" s="57"/>
      <c r="R13" s="58" t="s">
        <v>9</v>
      </c>
      <c r="S13" s="74">
        <v>27</v>
      </c>
      <c r="T13" s="74">
        <v>23</v>
      </c>
      <c r="U13" s="74">
        <v>8</v>
      </c>
      <c r="V13" s="74">
        <v>9</v>
      </c>
      <c r="W13" s="74">
        <v>1</v>
      </c>
      <c r="X13" s="74">
        <v>0</v>
      </c>
      <c r="Y13" s="74">
        <v>6</v>
      </c>
      <c r="Z13" s="74">
        <v>3</v>
      </c>
      <c r="AA13" s="74">
        <v>3</v>
      </c>
      <c r="AB13" s="74">
        <v>0</v>
      </c>
      <c r="AC13" s="74">
        <v>141</v>
      </c>
      <c r="AD13" s="74">
        <v>0</v>
      </c>
      <c r="AE13" s="82">
        <v>80</v>
      </c>
      <c r="AF13" s="82">
        <v>225</v>
      </c>
    </row>
    <row r="14" spans="2:32" ht="23.1" customHeight="1" x14ac:dyDescent="0.25">
      <c r="B14" s="96" t="s">
        <v>41</v>
      </c>
      <c r="C14" s="100">
        <v>14</v>
      </c>
      <c r="D14" s="100">
        <v>5</v>
      </c>
      <c r="E14" s="100">
        <v>6</v>
      </c>
      <c r="F14" s="100">
        <v>3</v>
      </c>
      <c r="G14" s="100">
        <v>0</v>
      </c>
      <c r="H14" s="100">
        <v>0</v>
      </c>
      <c r="I14" s="100">
        <v>2</v>
      </c>
      <c r="J14" s="100">
        <v>0</v>
      </c>
      <c r="K14" s="100">
        <v>0</v>
      </c>
      <c r="L14" s="100">
        <v>0</v>
      </c>
      <c r="M14" s="100">
        <v>22</v>
      </c>
      <c r="N14" s="100">
        <v>0</v>
      </c>
      <c r="O14" s="116">
        <f t="shared" si="0"/>
        <v>30</v>
      </c>
      <c r="P14" s="116">
        <f t="shared" si="1"/>
        <v>52</v>
      </c>
      <c r="Q14" s="57"/>
      <c r="R14" s="58" t="s">
        <v>10</v>
      </c>
      <c r="S14" s="74">
        <v>25</v>
      </c>
      <c r="T14" s="74">
        <v>10</v>
      </c>
      <c r="U14" s="74">
        <v>10</v>
      </c>
      <c r="V14" s="74">
        <v>6</v>
      </c>
      <c r="W14" s="74">
        <v>0</v>
      </c>
      <c r="X14" s="74">
        <v>0</v>
      </c>
      <c r="Y14" s="74">
        <v>10</v>
      </c>
      <c r="Z14" s="74">
        <v>1</v>
      </c>
      <c r="AA14" s="74">
        <v>1</v>
      </c>
      <c r="AB14" s="74">
        <v>0</v>
      </c>
      <c r="AC14" s="74">
        <v>122</v>
      </c>
      <c r="AD14" s="74">
        <v>0</v>
      </c>
      <c r="AE14" s="82">
        <v>63</v>
      </c>
      <c r="AF14" s="82">
        <v>221</v>
      </c>
    </row>
    <row r="15" spans="2:32" ht="23.1" customHeight="1" x14ac:dyDescent="0.25">
      <c r="B15" s="96" t="s">
        <v>42</v>
      </c>
      <c r="C15" s="100">
        <v>7</v>
      </c>
      <c r="D15" s="100">
        <v>2</v>
      </c>
      <c r="E15" s="100">
        <v>2</v>
      </c>
      <c r="F15" s="100">
        <v>2</v>
      </c>
      <c r="G15" s="100">
        <v>0</v>
      </c>
      <c r="H15" s="100">
        <v>0</v>
      </c>
      <c r="I15" s="100">
        <v>1</v>
      </c>
      <c r="J15" s="100">
        <v>0</v>
      </c>
      <c r="K15" s="100">
        <v>0</v>
      </c>
      <c r="L15" s="100">
        <v>0</v>
      </c>
      <c r="M15" s="100">
        <v>35</v>
      </c>
      <c r="N15" s="100">
        <v>0</v>
      </c>
      <c r="O15" s="116">
        <f t="shared" si="0"/>
        <v>14</v>
      </c>
      <c r="P15" s="116">
        <f t="shared" si="1"/>
        <v>49</v>
      </c>
      <c r="Q15" s="57"/>
      <c r="R15" s="58" t="s">
        <v>11</v>
      </c>
      <c r="S15" s="74">
        <v>37</v>
      </c>
      <c r="T15" s="74">
        <v>14</v>
      </c>
      <c r="U15" s="74">
        <v>6</v>
      </c>
      <c r="V15" s="74">
        <v>16</v>
      </c>
      <c r="W15" s="74">
        <v>0</v>
      </c>
      <c r="X15" s="74">
        <v>0</v>
      </c>
      <c r="Y15" s="74">
        <v>12</v>
      </c>
      <c r="Z15" s="74">
        <v>2</v>
      </c>
      <c r="AA15" s="74">
        <v>2</v>
      </c>
      <c r="AB15" s="74">
        <v>0</v>
      </c>
      <c r="AC15" s="74">
        <v>133</v>
      </c>
      <c r="AD15" s="74">
        <v>0</v>
      </c>
      <c r="AE15" s="82">
        <v>89</v>
      </c>
      <c r="AF15" s="82">
        <v>185</v>
      </c>
    </row>
    <row r="16" spans="2:32" ht="23.1" customHeight="1" x14ac:dyDescent="0.25">
      <c r="B16" s="96" t="s">
        <v>43</v>
      </c>
      <c r="C16" s="100">
        <v>17</v>
      </c>
      <c r="D16" s="100">
        <v>3</v>
      </c>
      <c r="E16" s="100">
        <v>2</v>
      </c>
      <c r="F16" s="100">
        <v>2</v>
      </c>
      <c r="G16" s="100">
        <v>0</v>
      </c>
      <c r="H16" s="100">
        <v>0</v>
      </c>
      <c r="I16" s="100">
        <v>4</v>
      </c>
      <c r="J16" s="100">
        <v>1</v>
      </c>
      <c r="K16" s="100">
        <v>0</v>
      </c>
      <c r="L16" s="100">
        <v>0</v>
      </c>
      <c r="M16" s="100">
        <v>43</v>
      </c>
      <c r="N16" s="100">
        <v>0</v>
      </c>
      <c r="O16" s="116">
        <f t="shared" si="0"/>
        <v>29</v>
      </c>
      <c r="P16" s="116">
        <f t="shared" si="1"/>
        <v>72</v>
      </c>
      <c r="Q16" s="57"/>
      <c r="R16" s="58" t="s">
        <v>12</v>
      </c>
      <c r="S16" s="74" t="e">
        <v>#REF!</v>
      </c>
      <c r="T16" s="74" t="e">
        <v>#REF!</v>
      </c>
      <c r="U16" s="74" t="e">
        <v>#REF!</v>
      </c>
      <c r="V16" s="74" t="e">
        <v>#REF!</v>
      </c>
      <c r="W16" s="74" t="e">
        <v>#REF!</v>
      </c>
      <c r="X16" s="74" t="e">
        <v>#REF!</v>
      </c>
      <c r="Y16" s="74" t="e">
        <v>#REF!</v>
      </c>
      <c r="Z16" s="74" t="e">
        <v>#REF!</v>
      </c>
      <c r="AA16" s="74" t="e">
        <v>#REF!</v>
      </c>
      <c r="AB16" s="74" t="e">
        <v>#REF!</v>
      </c>
      <c r="AC16" s="74" t="e">
        <v>#REF!</v>
      </c>
      <c r="AD16" s="74">
        <v>0</v>
      </c>
      <c r="AE16" s="82" t="e">
        <v>#REF!</v>
      </c>
      <c r="AF16" s="82">
        <v>222</v>
      </c>
    </row>
    <row r="17" spans="2:32" ht="23.1" customHeight="1" x14ac:dyDescent="0.25">
      <c r="B17" s="96" t="s">
        <v>44</v>
      </c>
      <c r="C17" s="100">
        <v>10</v>
      </c>
      <c r="D17" s="100">
        <v>5</v>
      </c>
      <c r="E17" s="100">
        <v>2</v>
      </c>
      <c r="F17" s="100">
        <v>3</v>
      </c>
      <c r="G17" s="100">
        <v>0</v>
      </c>
      <c r="H17" s="100">
        <v>0</v>
      </c>
      <c r="I17" s="100">
        <v>2</v>
      </c>
      <c r="J17" s="100">
        <v>1</v>
      </c>
      <c r="K17" s="100">
        <v>0</v>
      </c>
      <c r="L17" s="100">
        <v>0</v>
      </c>
      <c r="M17" s="100">
        <v>43</v>
      </c>
      <c r="N17" s="100">
        <v>0</v>
      </c>
      <c r="O17" s="116">
        <f t="shared" si="0"/>
        <v>23</v>
      </c>
      <c r="P17" s="116">
        <f t="shared" si="1"/>
        <v>66</v>
      </c>
      <c r="Q17" s="57"/>
      <c r="R17" s="58" t="s">
        <v>13</v>
      </c>
      <c r="S17" s="74">
        <v>35</v>
      </c>
      <c r="T17" s="74">
        <v>13</v>
      </c>
      <c r="U17" s="74">
        <v>4</v>
      </c>
      <c r="V17" s="74">
        <v>17</v>
      </c>
      <c r="W17" s="74">
        <v>0</v>
      </c>
      <c r="X17" s="74">
        <v>0</v>
      </c>
      <c r="Y17" s="74">
        <v>16</v>
      </c>
      <c r="Z17" s="74">
        <v>1</v>
      </c>
      <c r="AA17" s="74">
        <v>1</v>
      </c>
      <c r="AB17" s="74">
        <v>0</v>
      </c>
      <c r="AC17" s="74">
        <v>123</v>
      </c>
      <c r="AD17" s="74">
        <v>0</v>
      </c>
      <c r="AE17" s="82">
        <v>87</v>
      </c>
      <c r="AF17" s="82">
        <v>210</v>
      </c>
    </row>
    <row r="18" spans="2:32" ht="23.1" customHeight="1" x14ac:dyDescent="0.25">
      <c r="B18" s="96" t="s">
        <v>45</v>
      </c>
      <c r="C18" s="100">
        <v>5</v>
      </c>
      <c r="D18" s="100">
        <v>1</v>
      </c>
      <c r="E18" s="100">
        <v>2</v>
      </c>
      <c r="F18" s="100">
        <v>4</v>
      </c>
      <c r="G18" s="100">
        <v>0</v>
      </c>
      <c r="H18" s="100">
        <v>0</v>
      </c>
      <c r="I18" s="100">
        <v>4</v>
      </c>
      <c r="J18" s="100">
        <v>0</v>
      </c>
      <c r="K18" s="100">
        <v>0</v>
      </c>
      <c r="L18" s="100">
        <v>0</v>
      </c>
      <c r="M18" s="100">
        <v>35</v>
      </c>
      <c r="N18" s="100">
        <v>0</v>
      </c>
      <c r="O18" s="116">
        <f t="shared" si="0"/>
        <v>16</v>
      </c>
      <c r="P18" s="116">
        <f t="shared" si="1"/>
        <v>51</v>
      </c>
      <c r="Q18" s="57"/>
      <c r="R18" s="58" t="s">
        <v>14</v>
      </c>
      <c r="S18" s="74">
        <v>45</v>
      </c>
      <c r="T18" s="74">
        <v>13</v>
      </c>
      <c r="U18" s="74">
        <v>9</v>
      </c>
      <c r="V18" s="74">
        <v>14</v>
      </c>
      <c r="W18" s="74">
        <v>0</v>
      </c>
      <c r="X18" s="74">
        <v>0</v>
      </c>
      <c r="Y18" s="74">
        <v>16</v>
      </c>
      <c r="Z18" s="74">
        <v>0</v>
      </c>
      <c r="AA18" s="74">
        <v>0</v>
      </c>
      <c r="AB18" s="74">
        <v>1</v>
      </c>
      <c r="AC18" s="74">
        <v>127</v>
      </c>
      <c r="AD18" s="74">
        <v>0</v>
      </c>
      <c r="AE18" s="82">
        <v>98</v>
      </c>
      <c r="AF18" s="82">
        <v>225</v>
      </c>
    </row>
    <row r="19" spans="2:32" ht="23.1" customHeight="1" x14ac:dyDescent="0.25">
      <c r="B19" s="96" t="s">
        <v>46</v>
      </c>
      <c r="C19" s="100">
        <v>9</v>
      </c>
      <c r="D19" s="100">
        <v>1</v>
      </c>
      <c r="E19" s="100">
        <v>4</v>
      </c>
      <c r="F19" s="100">
        <v>2</v>
      </c>
      <c r="G19" s="100">
        <v>0</v>
      </c>
      <c r="H19" s="100">
        <v>0</v>
      </c>
      <c r="I19" s="100">
        <v>1</v>
      </c>
      <c r="J19" s="100">
        <v>0</v>
      </c>
      <c r="K19" s="100">
        <v>0</v>
      </c>
      <c r="L19" s="100">
        <v>0</v>
      </c>
      <c r="M19" s="100">
        <v>49</v>
      </c>
      <c r="N19" s="100">
        <v>0</v>
      </c>
      <c r="O19" s="116">
        <f t="shared" si="0"/>
        <v>17</v>
      </c>
      <c r="P19" s="116">
        <f t="shared" si="1"/>
        <v>66</v>
      </c>
      <c r="Q19" s="57"/>
      <c r="R19" s="58" t="s">
        <v>15</v>
      </c>
      <c r="S19" s="74">
        <v>41</v>
      </c>
      <c r="T19" s="74">
        <v>18</v>
      </c>
      <c r="U19" s="74">
        <v>9</v>
      </c>
      <c r="V19" s="74">
        <v>20</v>
      </c>
      <c r="W19" s="74">
        <v>2</v>
      </c>
      <c r="X19" s="74">
        <v>0</v>
      </c>
      <c r="Y19" s="74">
        <v>4</v>
      </c>
      <c r="Z19" s="74">
        <v>2</v>
      </c>
      <c r="AA19" s="74">
        <v>0</v>
      </c>
      <c r="AB19" s="74">
        <v>0</v>
      </c>
      <c r="AC19" s="74">
        <v>139</v>
      </c>
      <c r="AD19" s="74">
        <v>0</v>
      </c>
      <c r="AE19" s="82">
        <v>96</v>
      </c>
      <c r="AF19" s="82">
        <v>235</v>
      </c>
    </row>
    <row r="20" spans="2:32" ht="23.1" customHeight="1" x14ac:dyDescent="0.25">
      <c r="B20" s="96" t="s">
        <v>47</v>
      </c>
      <c r="C20" s="100">
        <v>8</v>
      </c>
      <c r="D20" s="100">
        <v>3</v>
      </c>
      <c r="E20" s="100">
        <v>3</v>
      </c>
      <c r="F20" s="100">
        <v>2</v>
      </c>
      <c r="G20" s="100">
        <v>0</v>
      </c>
      <c r="H20" s="100">
        <v>0</v>
      </c>
      <c r="I20" s="100">
        <v>4</v>
      </c>
      <c r="J20" s="100">
        <v>0</v>
      </c>
      <c r="K20" s="100">
        <v>0</v>
      </c>
      <c r="L20" s="100">
        <v>0</v>
      </c>
      <c r="M20" s="100">
        <v>46</v>
      </c>
      <c r="N20" s="100">
        <v>0</v>
      </c>
      <c r="O20" s="116">
        <f t="shared" si="0"/>
        <v>20</v>
      </c>
      <c r="P20" s="116">
        <f t="shared" si="1"/>
        <v>66</v>
      </c>
      <c r="Q20" s="57"/>
      <c r="R20" s="58" t="s">
        <v>16</v>
      </c>
      <c r="S20" s="74">
        <v>47</v>
      </c>
      <c r="T20" s="74">
        <v>32</v>
      </c>
      <c r="U20" s="74">
        <v>10</v>
      </c>
      <c r="V20" s="74">
        <v>18</v>
      </c>
      <c r="W20" s="74">
        <v>0</v>
      </c>
      <c r="X20" s="74">
        <v>0</v>
      </c>
      <c r="Y20" s="74">
        <v>12</v>
      </c>
      <c r="Z20" s="74">
        <v>1</v>
      </c>
      <c r="AA20" s="74">
        <v>1</v>
      </c>
      <c r="AB20" s="74">
        <v>1</v>
      </c>
      <c r="AC20" s="74">
        <v>175</v>
      </c>
      <c r="AD20" s="74">
        <v>0</v>
      </c>
      <c r="AE20" s="82">
        <v>122</v>
      </c>
      <c r="AF20" s="82">
        <v>297</v>
      </c>
    </row>
    <row r="21" spans="2:32" ht="23.1" customHeight="1" x14ac:dyDescent="0.25">
      <c r="B21" s="96" t="s">
        <v>48</v>
      </c>
      <c r="C21" s="100">
        <v>8</v>
      </c>
      <c r="D21" s="100">
        <v>1</v>
      </c>
      <c r="E21" s="100">
        <v>0</v>
      </c>
      <c r="F21" s="100">
        <v>2</v>
      </c>
      <c r="G21" s="100">
        <v>0</v>
      </c>
      <c r="H21" s="100">
        <v>0</v>
      </c>
      <c r="I21" s="100">
        <v>4</v>
      </c>
      <c r="J21" s="100">
        <v>0</v>
      </c>
      <c r="K21" s="100">
        <v>0</v>
      </c>
      <c r="L21" s="100">
        <v>0</v>
      </c>
      <c r="M21" s="100">
        <v>27</v>
      </c>
      <c r="N21" s="100">
        <v>0</v>
      </c>
      <c r="O21" s="116">
        <f t="shared" si="0"/>
        <v>15</v>
      </c>
      <c r="P21" s="116">
        <f t="shared" si="1"/>
        <v>42</v>
      </c>
      <c r="Q21" s="57"/>
      <c r="R21" s="87" t="s">
        <v>20</v>
      </c>
      <c r="S21" s="85">
        <v>52</v>
      </c>
      <c r="T21" s="74">
        <v>20</v>
      </c>
      <c r="U21" s="74">
        <v>14</v>
      </c>
      <c r="V21" s="74">
        <v>24</v>
      </c>
      <c r="W21" s="74">
        <v>0</v>
      </c>
      <c r="X21" s="74">
        <v>0</v>
      </c>
      <c r="Y21" s="74">
        <v>5</v>
      </c>
      <c r="Z21" s="74">
        <v>1</v>
      </c>
      <c r="AA21" s="74">
        <v>0</v>
      </c>
      <c r="AB21" s="74">
        <v>0</v>
      </c>
      <c r="AC21" s="74">
        <v>172</v>
      </c>
      <c r="AD21" s="74">
        <v>0</v>
      </c>
      <c r="AE21" s="82">
        <v>116</v>
      </c>
      <c r="AF21" s="82">
        <v>288</v>
      </c>
    </row>
    <row r="22" spans="2:32" ht="23.1" customHeight="1" x14ac:dyDescent="0.25">
      <c r="B22" s="96" t="s">
        <v>49</v>
      </c>
      <c r="C22" s="100">
        <v>13</v>
      </c>
      <c r="D22" s="100">
        <v>3</v>
      </c>
      <c r="E22" s="100">
        <v>2</v>
      </c>
      <c r="F22" s="100">
        <v>2</v>
      </c>
      <c r="G22" s="100">
        <v>1</v>
      </c>
      <c r="H22" s="100">
        <v>0</v>
      </c>
      <c r="I22" s="100">
        <v>2</v>
      </c>
      <c r="J22" s="100">
        <v>1</v>
      </c>
      <c r="K22" s="100">
        <v>0</v>
      </c>
      <c r="L22" s="100">
        <v>0</v>
      </c>
      <c r="M22" s="100">
        <v>39</v>
      </c>
      <c r="N22" s="100">
        <v>0</v>
      </c>
      <c r="O22" s="116">
        <f t="shared" si="0"/>
        <v>24</v>
      </c>
      <c r="P22" s="116">
        <f t="shared" si="1"/>
        <v>63</v>
      </c>
      <c r="Q22" s="57"/>
      <c r="R22" s="87" t="s">
        <v>146</v>
      </c>
      <c r="S22" s="85">
        <v>61</v>
      </c>
      <c r="T22" s="85">
        <v>17</v>
      </c>
      <c r="U22" s="85">
        <v>9</v>
      </c>
      <c r="V22" s="85">
        <v>14</v>
      </c>
      <c r="W22" s="85">
        <v>0</v>
      </c>
      <c r="X22" s="85">
        <v>0</v>
      </c>
      <c r="Y22" s="85">
        <v>8</v>
      </c>
      <c r="Z22" s="85">
        <v>1</v>
      </c>
      <c r="AA22" s="85">
        <v>0</v>
      </c>
      <c r="AB22" s="85">
        <v>0</v>
      </c>
      <c r="AC22" s="85">
        <v>221</v>
      </c>
      <c r="AD22" s="85">
        <v>0</v>
      </c>
      <c r="AE22" s="82">
        <v>110</v>
      </c>
      <c r="AF22" s="82">
        <v>331</v>
      </c>
    </row>
    <row r="23" spans="2:32" ht="23.1" customHeight="1" x14ac:dyDescent="0.25">
      <c r="B23" s="96" t="s">
        <v>50</v>
      </c>
      <c r="C23" s="100">
        <v>9</v>
      </c>
      <c r="D23" s="100">
        <v>3</v>
      </c>
      <c r="E23" s="100">
        <v>3</v>
      </c>
      <c r="F23" s="100">
        <v>1</v>
      </c>
      <c r="G23" s="100">
        <v>0</v>
      </c>
      <c r="H23" s="100">
        <v>0</v>
      </c>
      <c r="I23" s="100">
        <v>9</v>
      </c>
      <c r="J23" s="100">
        <v>0</v>
      </c>
      <c r="K23" s="100">
        <v>0</v>
      </c>
      <c r="L23" s="100">
        <v>1</v>
      </c>
      <c r="M23" s="100">
        <v>30</v>
      </c>
      <c r="N23" s="100">
        <v>0</v>
      </c>
      <c r="O23" s="116">
        <f t="shared" si="0"/>
        <v>26</v>
      </c>
      <c r="P23" s="116">
        <f t="shared" si="1"/>
        <v>56</v>
      </c>
      <c r="Q23" s="57"/>
      <c r="R23" s="87" t="s">
        <v>147</v>
      </c>
      <c r="S23" s="85">
        <v>90</v>
      </c>
      <c r="T23" s="85">
        <v>9</v>
      </c>
      <c r="U23" s="85">
        <v>8</v>
      </c>
      <c r="V23" s="85">
        <v>17</v>
      </c>
      <c r="W23" s="85">
        <v>0</v>
      </c>
      <c r="X23" s="85">
        <v>0</v>
      </c>
      <c r="Y23" s="85">
        <v>9</v>
      </c>
      <c r="Z23" s="85">
        <v>1</v>
      </c>
      <c r="AA23" s="85">
        <v>0</v>
      </c>
      <c r="AB23" s="85">
        <v>0</v>
      </c>
      <c r="AC23" s="85">
        <v>204</v>
      </c>
      <c r="AD23" s="85">
        <v>0</v>
      </c>
      <c r="AE23" s="82">
        <v>134</v>
      </c>
      <c r="AF23" s="82">
        <v>338</v>
      </c>
    </row>
    <row r="24" spans="2:32" ht="23.1" customHeight="1" x14ac:dyDescent="0.25">
      <c r="B24" s="96" t="s">
        <v>51</v>
      </c>
      <c r="C24" s="100">
        <v>11</v>
      </c>
      <c r="D24" s="100">
        <v>4</v>
      </c>
      <c r="E24" s="100">
        <v>2</v>
      </c>
      <c r="F24" s="100">
        <v>2</v>
      </c>
      <c r="G24" s="100">
        <v>0</v>
      </c>
      <c r="H24" s="100">
        <v>0</v>
      </c>
      <c r="I24" s="100">
        <v>4</v>
      </c>
      <c r="J24" s="100">
        <v>0</v>
      </c>
      <c r="K24" s="100">
        <v>1</v>
      </c>
      <c r="L24" s="100">
        <v>0</v>
      </c>
      <c r="M24" s="100">
        <v>33</v>
      </c>
      <c r="N24" s="100">
        <v>0</v>
      </c>
      <c r="O24" s="116">
        <f t="shared" si="0"/>
        <v>24</v>
      </c>
      <c r="P24" s="116">
        <f t="shared" si="1"/>
        <v>57</v>
      </c>
      <c r="Q24" s="57"/>
      <c r="R24" s="87" t="s">
        <v>148</v>
      </c>
      <c r="S24" s="85">
        <v>85</v>
      </c>
      <c r="T24" s="85">
        <v>8</v>
      </c>
      <c r="U24" s="85">
        <v>18</v>
      </c>
      <c r="V24" s="85">
        <v>9</v>
      </c>
      <c r="W24" s="85">
        <v>0</v>
      </c>
      <c r="X24" s="85">
        <v>0</v>
      </c>
      <c r="Y24" s="85">
        <v>7</v>
      </c>
      <c r="Z24" s="85">
        <v>0</v>
      </c>
      <c r="AA24" s="85">
        <v>0</v>
      </c>
      <c r="AB24" s="85">
        <v>0</v>
      </c>
      <c r="AC24" s="85">
        <v>187</v>
      </c>
      <c r="AD24" s="85">
        <v>1</v>
      </c>
      <c r="AE24" s="82">
        <v>128</v>
      </c>
      <c r="AF24" s="82">
        <v>315</v>
      </c>
    </row>
    <row r="25" spans="2:32" ht="23.1" customHeight="1" x14ac:dyDescent="0.25">
      <c r="B25" s="96" t="s">
        <v>52</v>
      </c>
      <c r="C25" s="100">
        <v>7</v>
      </c>
      <c r="D25" s="100">
        <v>3</v>
      </c>
      <c r="E25" s="100">
        <v>0</v>
      </c>
      <c r="F25" s="100">
        <v>1</v>
      </c>
      <c r="G25" s="100">
        <v>1</v>
      </c>
      <c r="H25" s="100">
        <v>0</v>
      </c>
      <c r="I25" s="100">
        <v>1</v>
      </c>
      <c r="J25" s="100">
        <v>0</v>
      </c>
      <c r="K25" s="100">
        <v>0</v>
      </c>
      <c r="L25" s="100">
        <v>0</v>
      </c>
      <c r="M25" s="100">
        <v>36</v>
      </c>
      <c r="N25" s="100">
        <v>0</v>
      </c>
      <c r="O25" s="116">
        <f t="shared" si="0"/>
        <v>13</v>
      </c>
      <c r="P25" s="116">
        <f t="shared" si="1"/>
        <v>49</v>
      </c>
      <c r="Q25" s="57"/>
      <c r="R25" s="87" t="s">
        <v>149</v>
      </c>
      <c r="S25" s="85">
        <v>63</v>
      </c>
      <c r="T25" s="85">
        <v>5</v>
      </c>
      <c r="U25" s="85">
        <v>9</v>
      </c>
      <c r="V25" s="85">
        <v>9</v>
      </c>
      <c r="W25" s="85">
        <v>0</v>
      </c>
      <c r="X25" s="85">
        <v>0</v>
      </c>
      <c r="Y25" s="85">
        <v>5</v>
      </c>
      <c r="Z25" s="85">
        <v>1</v>
      </c>
      <c r="AA25" s="85">
        <v>0</v>
      </c>
      <c r="AB25" s="85">
        <v>0</v>
      </c>
      <c r="AC25" s="85">
        <v>150</v>
      </c>
      <c r="AD25" s="85">
        <v>0</v>
      </c>
      <c r="AE25" s="82">
        <v>92</v>
      </c>
      <c r="AF25" s="82">
        <v>242</v>
      </c>
    </row>
    <row r="26" spans="2:32" ht="23.1" customHeight="1" x14ac:dyDescent="0.25">
      <c r="B26" s="96" t="s">
        <v>53</v>
      </c>
      <c r="C26" s="100">
        <v>6</v>
      </c>
      <c r="D26" s="100">
        <v>7</v>
      </c>
      <c r="E26" s="100">
        <v>0</v>
      </c>
      <c r="F26" s="100">
        <v>2</v>
      </c>
      <c r="G26" s="100">
        <v>0</v>
      </c>
      <c r="H26" s="100">
        <v>0</v>
      </c>
      <c r="I26" s="100">
        <v>0</v>
      </c>
      <c r="J26" s="100">
        <v>0</v>
      </c>
      <c r="K26" s="100">
        <v>0</v>
      </c>
      <c r="L26" s="100">
        <v>0</v>
      </c>
      <c r="M26" s="100">
        <v>32</v>
      </c>
      <c r="N26" s="100">
        <v>0</v>
      </c>
      <c r="O26" s="116">
        <f t="shared" si="0"/>
        <v>15</v>
      </c>
      <c r="P26" s="116">
        <f t="shared" si="1"/>
        <v>47</v>
      </c>
      <c r="Q26" s="57"/>
      <c r="R26" s="87" t="s">
        <v>150</v>
      </c>
      <c r="S26" s="85">
        <v>21</v>
      </c>
      <c r="T26" s="85">
        <v>6</v>
      </c>
      <c r="U26" s="85">
        <v>3</v>
      </c>
      <c r="V26" s="85">
        <v>3</v>
      </c>
      <c r="W26" s="85">
        <v>0</v>
      </c>
      <c r="X26" s="85">
        <v>0</v>
      </c>
      <c r="Y26" s="85">
        <v>2</v>
      </c>
      <c r="Z26" s="85">
        <v>1</v>
      </c>
      <c r="AA26" s="85">
        <v>1</v>
      </c>
      <c r="AB26" s="85">
        <v>0</v>
      </c>
      <c r="AC26" s="85">
        <v>78</v>
      </c>
      <c r="AD26" s="85">
        <v>0</v>
      </c>
      <c r="AE26" s="82">
        <v>37</v>
      </c>
      <c r="AF26" s="82">
        <v>115</v>
      </c>
    </row>
    <row r="27" spans="2:32" ht="23.1" customHeight="1" x14ac:dyDescent="0.25">
      <c r="B27" s="96" t="s">
        <v>54</v>
      </c>
      <c r="C27" s="100">
        <v>10</v>
      </c>
      <c r="D27" s="100">
        <v>2</v>
      </c>
      <c r="E27" s="100">
        <v>4</v>
      </c>
      <c r="F27" s="100">
        <v>3</v>
      </c>
      <c r="G27" s="100">
        <v>0</v>
      </c>
      <c r="H27" s="100">
        <v>0</v>
      </c>
      <c r="I27" s="100">
        <v>3</v>
      </c>
      <c r="J27" s="100">
        <v>0</v>
      </c>
      <c r="K27" s="100">
        <v>1</v>
      </c>
      <c r="L27" s="100">
        <v>0</v>
      </c>
      <c r="M27" s="100">
        <v>40</v>
      </c>
      <c r="N27" s="100">
        <v>0</v>
      </c>
      <c r="O27" s="116">
        <f t="shared" si="0"/>
        <v>23</v>
      </c>
      <c r="P27" s="116">
        <f t="shared" si="1"/>
        <v>63</v>
      </c>
      <c r="Q27" s="57"/>
      <c r="R27" s="87" t="s">
        <v>151</v>
      </c>
      <c r="S27" s="85">
        <v>20</v>
      </c>
      <c r="T27" s="85">
        <v>2</v>
      </c>
      <c r="U27" s="85">
        <v>1</v>
      </c>
      <c r="V27" s="85">
        <v>1</v>
      </c>
      <c r="W27" s="85">
        <v>0</v>
      </c>
      <c r="X27" s="85">
        <v>0</v>
      </c>
      <c r="Y27" s="85">
        <v>1</v>
      </c>
      <c r="Z27" s="85">
        <v>1</v>
      </c>
      <c r="AA27" s="85">
        <v>0</v>
      </c>
      <c r="AB27" s="85">
        <v>0</v>
      </c>
      <c r="AC27" s="85">
        <v>48</v>
      </c>
      <c r="AD27" s="85">
        <v>0</v>
      </c>
      <c r="AE27" s="82">
        <v>26</v>
      </c>
      <c r="AF27" s="82">
        <v>74</v>
      </c>
    </row>
    <row r="28" spans="2:32" ht="23.1" customHeight="1" x14ac:dyDescent="0.25">
      <c r="B28" s="96" t="s">
        <v>55</v>
      </c>
      <c r="C28" s="100">
        <v>4</v>
      </c>
      <c r="D28" s="100">
        <v>5</v>
      </c>
      <c r="E28" s="100">
        <v>1</v>
      </c>
      <c r="F28" s="100">
        <v>3</v>
      </c>
      <c r="G28" s="100">
        <v>0</v>
      </c>
      <c r="H28" s="100">
        <v>0</v>
      </c>
      <c r="I28" s="100">
        <v>1</v>
      </c>
      <c r="J28" s="100">
        <v>2</v>
      </c>
      <c r="K28" s="100">
        <v>0</v>
      </c>
      <c r="L28" s="100">
        <v>0</v>
      </c>
      <c r="M28" s="100">
        <v>37</v>
      </c>
      <c r="N28" s="100">
        <v>0</v>
      </c>
      <c r="O28" s="116">
        <f t="shared" si="0"/>
        <v>16</v>
      </c>
      <c r="P28" s="116">
        <f t="shared" si="1"/>
        <v>53</v>
      </c>
      <c r="Q28" s="57"/>
      <c r="R28" s="87" t="s">
        <v>152</v>
      </c>
      <c r="S28" s="85">
        <v>12</v>
      </c>
      <c r="T28" s="85">
        <v>2</v>
      </c>
      <c r="U28" s="85">
        <v>0</v>
      </c>
      <c r="V28" s="85">
        <v>3</v>
      </c>
      <c r="W28" s="85">
        <v>0</v>
      </c>
      <c r="X28" s="85">
        <v>0</v>
      </c>
      <c r="Y28" s="85">
        <v>0</v>
      </c>
      <c r="Z28" s="85">
        <v>2</v>
      </c>
      <c r="AA28" s="85">
        <v>0</v>
      </c>
      <c r="AB28" s="85">
        <v>0</v>
      </c>
      <c r="AC28" s="85">
        <v>42</v>
      </c>
      <c r="AD28" s="85">
        <v>0</v>
      </c>
      <c r="AE28" s="82">
        <v>19</v>
      </c>
      <c r="AF28" s="82">
        <v>61</v>
      </c>
    </row>
    <row r="29" spans="2:32" ht="23.1" customHeight="1" x14ac:dyDescent="0.25">
      <c r="B29" s="96" t="s">
        <v>56</v>
      </c>
      <c r="C29" s="100">
        <v>7</v>
      </c>
      <c r="D29" s="100">
        <v>9</v>
      </c>
      <c r="E29" s="100">
        <v>3</v>
      </c>
      <c r="F29" s="100">
        <v>1</v>
      </c>
      <c r="G29" s="100">
        <v>1</v>
      </c>
      <c r="H29" s="100">
        <v>0</v>
      </c>
      <c r="I29" s="100">
        <v>2</v>
      </c>
      <c r="J29" s="100">
        <v>1</v>
      </c>
      <c r="K29" s="100">
        <v>2</v>
      </c>
      <c r="L29" s="100">
        <v>0</v>
      </c>
      <c r="M29" s="100">
        <v>32</v>
      </c>
      <c r="N29" s="100">
        <v>0</v>
      </c>
      <c r="O29" s="116">
        <f t="shared" si="0"/>
        <v>26</v>
      </c>
      <c r="P29" s="116">
        <f t="shared" si="1"/>
        <v>58</v>
      </c>
      <c r="Q29" s="57"/>
      <c r="R29" s="87" t="s">
        <v>153</v>
      </c>
      <c r="S29" s="85">
        <v>2</v>
      </c>
      <c r="T29" s="85">
        <v>4</v>
      </c>
      <c r="U29" s="85">
        <v>1</v>
      </c>
      <c r="V29" s="85">
        <v>0</v>
      </c>
      <c r="W29" s="85">
        <v>0</v>
      </c>
      <c r="X29" s="85">
        <v>0</v>
      </c>
      <c r="Y29" s="85">
        <v>1</v>
      </c>
      <c r="Z29" s="85">
        <v>0</v>
      </c>
      <c r="AA29" s="85">
        <v>0</v>
      </c>
      <c r="AB29" s="85">
        <v>0</v>
      </c>
      <c r="AC29" s="85">
        <v>14</v>
      </c>
      <c r="AD29" s="85">
        <v>0</v>
      </c>
      <c r="AE29" s="82">
        <v>8</v>
      </c>
      <c r="AF29" s="82">
        <v>22</v>
      </c>
    </row>
    <row r="30" spans="2:32" ht="23.1" customHeight="1" x14ac:dyDescent="0.25">
      <c r="B30" s="96" t="s">
        <v>57</v>
      </c>
      <c r="C30" s="100">
        <v>6</v>
      </c>
      <c r="D30" s="100">
        <v>1</v>
      </c>
      <c r="E30" s="100">
        <v>6</v>
      </c>
      <c r="F30" s="100">
        <v>2</v>
      </c>
      <c r="G30" s="100">
        <v>0</v>
      </c>
      <c r="H30" s="100">
        <v>0</v>
      </c>
      <c r="I30" s="100">
        <v>2</v>
      </c>
      <c r="J30" s="100">
        <v>0</v>
      </c>
      <c r="K30" s="100">
        <v>0</v>
      </c>
      <c r="L30" s="100">
        <v>0</v>
      </c>
      <c r="M30" s="100">
        <v>35</v>
      </c>
      <c r="N30" s="100">
        <v>0</v>
      </c>
      <c r="O30" s="116">
        <f t="shared" si="0"/>
        <v>17</v>
      </c>
      <c r="P30" s="116">
        <f t="shared" si="1"/>
        <v>52</v>
      </c>
      <c r="Q30" s="57"/>
      <c r="R30" s="87" t="s">
        <v>154</v>
      </c>
      <c r="S30" s="85">
        <v>3</v>
      </c>
      <c r="T30" s="85">
        <v>2</v>
      </c>
      <c r="U30" s="85">
        <v>0</v>
      </c>
      <c r="V30" s="85">
        <v>0</v>
      </c>
      <c r="W30" s="85">
        <v>0</v>
      </c>
      <c r="X30" s="85">
        <v>0</v>
      </c>
      <c r="Y30" s="85">
        <v>1</v>
      </c>
      <c r="Z30" s="85">
        <v>0</v>
      </c>
      <c r="AA30" s="85">
        <v>0</v>
      </c>
      <c r="AB30" s="85">
        <v>0</v>
      </c>
      <c r="AC30" s="85">
        <v>8</v>
      </c>
      <c r="AD30" s="85">
        <v>0</v>
      </c>
      <c r="AE30" s="82">
        <v>6</v>
      </c>
      <c r="AF30" s="82">
        <v>14</v>
      </c>
    </row>
    <row r="31" spans="2:32" ht="23.1" customHeight="1" x14ac:dyDescent="0.25">
      <c r="B31" s="97" t="s">
        <v>58</v>
      </c>
      <c r="C31" s="100">
        <v>7</v>
      </c>
      <c r="D31" s="100">
        <v>4</v>
      </c>
      <c r="E31" s="100">
        <v>1</v>
      </c>
      <c r="F31" s="100">
        <v>1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0</v>
      </c>
      <c r="M31" s="100">
        <v>23</v>
      </c>
      <c r="N31" s="100">
        <v>0</v>
      </c>
      <c r="O31" s="116">
        <f t="shared" si="0"/>
        <v>13</v>
      </c>
      <c r="P31" s="116">
        <f t="shared" si="1"/>
        <v>36</v>
      </c>
      <c r="Q31" s="57"/>
      <c r="R31" s="87" t="s">
        <v>155</v>
      </c>
      <c r="S31" s="85">
        <v>3</v>
      </c>
      <c r="T31" s="85">
        <v>0</v>
      </c>
      <c r="U31" s="85">
        <v>0</v>
      </c>
      <c r="V31" s="85">
        <v>2</v>
      </c>
      <c r="W31" s="85">
        <v>0</v>
      </c>
      <c r="X31" s="85">
        <v>0</v>
      </c>
      <c r="Y31" s="85">
        <v>1</v>
      </c>
      <c r="Z31" s="85">
        <v>0</v>
      </c>
      <c r="AA31" s="85">
        <v>1</v>
      </c>
      <c r="AB31" s="85">
        <v>0</v>
      </c>
      <c r="AC31" s="85">
        <v>10</v>
      </c>
      <c r="AD31" s="85">
        <v>0</v>
      </c>
      <c r="AE31" s="82">
        <v>7</v>
      </c>
      <c r="AF31" s="82">
        <v>17</v>
      </c>
    </row>
    <row r="32" spans="2:32" ht="23.1" customHeight="1" x14ac:dyDescent="0.25">
      <c r="B32" s="97" t="s">
        <v>59</v>
      </c>
      <c r="C32" s="100">
        <v>7</v>
      </c>
      <c r="D32" s="100">
        <v>3</v>
      </c>
      <c r="E32" s="100">
        <v>2</v>
      </c>
      <c r="F32" s="100">
        <v>2</v>
      </c>
      <c r="G32" s="100">
        <v>0</v>
      </c>
      <c r="H32" s="100">
        <v>0</v>
      </c>
      <c r="I32" s="100">
        <v>5</v>
      </c>
      <c r="J32" s="100">
        <v>0</v>
      </c>
      <c r="K32" s="100">
        <v>1</v>
      </c>
      <c r="L32" s="100">
        <v>0</v>
      </c>
      <c r="M32" s="100">
        <v>30</v>
      </c>
      <c r="N32" s="100">
        <v>0</v>
      </c>
      <c r="O32" s="116">
        <f t="shared" si="0"/>
        <v>20</v>
      </c>
      <c r="P32" s="116">
        <f t="shared" si="1"/>
        <v>50</v>
      </c>
      <c r="Q32" s="57"/>
      <c r="R32" s="84" t="s">
        <v>156</v>
      </c>
      <c r="S32" s="85">
        <v>12</v>
      </c>
      <c r="T32" s="85">
        <v>1</v>
      </c>
      <c r="U32" s="85">
        <v>2</v>
      </c>
      <c r="V32" s="85">
        <v>9</v>
      </c>
      <c r="W32" s="85">
        <v>1</v>
      </c>
      <c r="X32" s="85">
        <v>0</v>
      </c>
      <c r="Y32" s="85">
        <v>2</v>
      </c>
      <c r="Z32" s="85">
        <v>2</v>
      </c>
      <c r="AA32" s="85">
        <v>0</v>
      </c>
      <c r="AB32" s="85">
        <v>0</v>
      </c>
      <c r="AC32" s="85">
        <v>25</v>
      </c>
      <c r="AD32" s="85">
        <v>0</v>
      </c>
      <c r="AE32" s="82">
        <v>29</v>
      </c>
      <c r="AF32" s="82">
        <v>54</v>
      </c>
    </row>
    <row r="33" spans="2:32" ht="23.1" customHeight="1" x14ac:dyDescent="0.25">
      <c r="B33" s="96" t="s">
        <v>60</v>
      </c>
      <c r="C33" s="100">
        <v>5</v>
      </c>
      <c r="D33" s="100">
        <v>2</v>
      </c>
      <c r="E33" s="100">
        <v>1</v>
      </c>
      <c r="F33" s="100">
        <v>1</v>
      </c>
      <c r="G33" s="100">
        <v>0</v>
      </c>
      <c r="H33" s="100">
        <v>0</v>
      </c>
      <c r="I33" s="100">
        <v>3</v>
      </c>
      <c r="J33" s="100">
        <v>1</v>
      </c>
      <c r="K33" s="100">
        <v>0</v>
      </c>
      <c r="L33" s="100">
        <v>0</v>
      </c>
      <c r="M33" s="100">
        <v>34</v>
      </c>
      <c r="N33" s="100">
        <v>0</v>
      </c>
      <c r="O33" s="116">
        <f t="shared" si="0"/>
        <v>13</v>
      </c>
      <c r="P33" s="116">
        <f t="shared" si="1"/>
        <v>47</v>
      </c>
      <c r="Q33" s="57"/>
      <c r="R33" s="84" t="s">
        <v>157</v>
      </c>
      <c r="S33" s="85">
        <v>22</v>
      </c>
      <c r="T33" s="85">
        <v>1</v>
      </c>
      <c r="U33" s="85">
        <v>1</v>
      </c>
      <c r="V33" s="85">
        <v>12</v>
      </c>
      <c r="W33" s="85">
        <v>1</v>
      </c>
      <c r="X33" s="85">
        <v>0</v>
      </c>
      <c r="Y33" s="85">
        <v>2</v>
      </c>
      <c r="Z33" s="85">
        <v>1</v>
      </c>
      <c r="AA33" s="85">
        <v>0</v>
      </c>
      <c r="AB33" s="85">
        <v>1</v>
      </c>
      <c r="AC33" s="85">
        <v>82</v>
      </c>
      <c r="AD33" s="85">
        <v>0</v>
      </c>
      <c r="AE33" s="82">
        <v>41</v>
      </c>
      <c r="AF33" s="82">
        <v>123</v>
      </c>
    </row>
    <row r="34" spans="2:32" ht="23.1" customHeight="1" x14ac:dyDescent="0.25">
      <c r="B34" s="97" t="s">
        <v>61</v>
      </c>
      <c r="C34" s="100">
        <v>8</v>
      </c>
      <c r="D34" s="100">
        <v>2</v>
      </c>
      <c r="E34" s="100">
        <v>2</v>
      </c>
      <c r="F34" s="100">
        <v>3</v>
      </c>
      <c r="G34" s="100">
        <v>0</v>
      </c>
      <c r="H34" s="100">
        <v>0</v>
      </c>
      <c r="I34" s="100">
        <v>2</v>
      </c>
      <c r="J34" s="100">
        <v>1</v>
      </c>
      <c r="K34" s="100">
        <v>1</v>
      </c>
      <c r="L34" s="100">
        <v>0</v>
      </c>
      <c r="M34" s="100">
        <v>33</v>
      </c>
      <c r="N34" s="100">
        <v>0</v>
      </c>
      <c r="O34" s="116">
        <f t="shared" si="0"/>
        <v>19</v>
      </c>
      <c r="P34" s="116">
        <f t="shared" si="1"/>
        <v>52</v>
      </c>
      <c r="Q34" s="57"/>
      <c r="R34" s="89" t="s">
        <v>90</v>
      </c>
      <c r="S34" s="90">
        <v>41</v>
      </c>
      <c r="T34" s="90">
        <v>15</v>
      </c>
      <c r="U34" s="90">
        <v>9</v>
      </c>
      <c r="V34" s="90">
        <v>18</v>
      </c>
      <c r="W34" s="90">
        <v>2</v>
      </c>
      <c r="X34" s="90">
        <v>0</v>
      </c>
      <c r="Y34" s="90">
        <v>16</v>
      </c>
      <c r="Z34" s="90">
        <v>2</v>
      </c>
      <c r="AA34" s="90">
        <v>1</v>
      </c>
      <c r="AB34" s="90">
        <v>1</v>
      </c>
      <c r="AC34" s="90">
        <v>157</v>
      </c>
      <c r="AD34" s="90">
        <v>0</v>
      </c>
      <c r="AE34" s="91">
        <v>89</v>
      </c>
      <c r="AF34" s="91">
        <v>239</v>
      </c>
    </row>
    <row r="35" spans="2:32" ht="23.1" customHeight="1" x14ac:dyDescent="0.25">
      <c r="B35" s="97" t="s">
        <v>62</v>
      </c>
      <c r="C35" s="100">
        <v>5</v>
      </c>
      <c r="D35" s="100">
        <v>3</v>
      </c>
      <c r="E35" s="100">
        <v>2</v>
      </c>
      <c r="F35" s="100">
        <v>4</v>
      </c>
      <c r="G35" s="100">
        <v>0</v>
      </c>
      <c r="H35" s="100">
        <v>0</v>
      </c>
      <c r="I35" s="100">
        <v>2</v>
      </c>
      <c r="J35" s="100">
        <v>1</v>
      </c>
      <c r="K35" s="100">
        <v>0</v>
      </c>
      <c r="L35" s="100">
        <v>0</v>
      </c>
      <c r="M35" s="100">
        <v>33</v>
      </c>
      <c r="N35" s="100">
        <v>0</v>
      </c>
      <c r="O35" s="116">
        <f t="shared" si="0"/>
        <v>17</v>
      </c>
      <c r="P35" s="116">
        <f t="shared" si="1"/>
        <v>50</v>
      </c>
      <c r="Q35" s="57"/>
      <c r="R35" s="89" t="s">
        <v>91</v>
      </c>
      <c r="S35" s="90" t="e">
        <v>#REF!</v>
      </c>
      <c r="T35" s="90" t="e">
        <v>#REF!</v>
      </c>
      <c r="U35" s="90" t="e">
        <v>#REF!</v>
      </c>
      <c r="V35" s="90" t="e">
        <v>#REF!</v>
      </c>
      <c r="W35" s="90" t="e">
        <v>#REF!</v>
      </c>
      <c r="X35" s="90" t="e">
        <v>#REF!</v>
      </c>
      <c r="Y35" s="90" t="e">
        <v>#REF!</v>
      </c>
      <c r="Z35" s="90" t="e">
        <v>#REF!</v>
      </c>
      <c r="AA35" s="90" t="e">
        <v>#REF!</v>
      </c>
      <c r="AB35" s="90" t="e">
        <v>#REF!</v>
      </c>
      <c r="AC35" s="90" t="e">
        <v>#REF!</v>
      </c>
      <c r="AD35" s="90">
        <v>0</v>
      </c>
      <c r="AE35" s="91" t="e">
        <v>#REF!</v>
      </c>
      <c r="AF35" s="91">
        <v>225</v>
      </c>
    </row>
    <row r="36" spans="2:32" ht="23.1" customHeight="1" x14ac:dyDescent="0.25">
      <c r="B36" s="97" t="s">
        <v>63</v>
      </c>
      <c r="C36" s="100">
        <v>8</v>
      </c>
      <c r="D36" s="100">
        <v>1</v>
      </c>
      <c r="E36" s="100">
        <v>1</v>
      </c>
      <c r="F36" s="100">
        <v>3</v>
      </c>
      <c r="G36" s="100">
        <v>0</v>
      </c>
      <c r="H36" s="100">
        <v>0</v>
      </c>
      <c r="I36" s="100">
        <v>3</v>
      </c>
      <c r="J36" s="100">
        <v>0</v>
      </c>
      <c r="K36" s="100">
        <v>0</v>
      </c>
      <c r="L36" s="100">
        <v>0</v>
      </c>
      <c r="M36" s="100">
        <v>31</v>
      </c>
      <c r="N36" s="100">
        <v>0</v>
      </c>
      <c r="O36" s="116">
        <f t="shared" si="0"/>
        <v>16</v>
      </c>
      <c r="P36" s="116">
        <f t="shared" si="1"/>
        <v>47</v>
      </c>
      <c r="Q36" s="57"/>
      <c r="R36" s="89" t="s">
        <v>92</v>
      </c>
      <c r="S36" s="90">
        <v>52</v>
      </c>
      <c r="T36" s="90">
        <v>32</v>
      </c>
      <c r="U36" s="90">
        <v>14</v>
      </c>
      <c r="V36" s="90">
        <v>24</v>
      </c>
      <c r="W36" s="90">
        <v>2</v>
      </c>
      <c r="X36" s="90">
        <v>0</v>
      </c>
      <c r="Y36" s="90">
        <v>12</v>
      </c>
      <c r="Z36" s="90">
        <v>2</v>
      </c>
      <c r="AA36" s="90">
        <v>1</v>
      </c>
      <c r="AB36" s="90">
        <v>1</v>
      </c>
      <c r="AC36" s="90">
        <v>175</v>
      </c>
      <c r="AD36" s="90">
        <v>0</v>
      </c>
      <c r="AE36" s="91">
        <v>122</v>
      </c>
      <c r="AF36" s="91">
        <v>297</v>
      </c>
    </row>
    <row r="37" spans="2:32" ht="23.1" customHeight="1" x14ac:dyDescent="0.25">
      <c r="B37" s="96" t="s">
        <v>64</v>
      </c>
      <c r="C37" s="100">
        <v>16</v>
      </c>
      <c r="D37" s="100">
        <v>8</v>
      </c>
      <c r="E37" s="100">
        <v>1</v>
      </c>
      <c r="F37" s="100">
        <v>6</v>
      </c>
      <c r="G37" s="100">
        <v>0</v>
      </c>
      <c r="H37" s="100">
        <v>0</v>
      </c>
      <c r="I37" s="100">
        <v>5</v>
      </c>
      <c r="J37" s="100">
        <v>0</v>
      </c>
      <c r="K37" s="100">
        <v>1</v>
      </c>
      <c r="L37" s="100">
        <v>0</v>
      </c>
      <c r="M37" s="100">
        <v>36</v>
      </c>
      <c r="N37" s="100">
        <v>0</v>
      </c>
      <c r="O37" s="116">
        <f t="shared" si="0"/>
        <v>37</v>
      </c>
      <c r="P37" s="116">
        <f t="shared" si="1"/>
        <v>73</v>
      </c>
      <c r="Q37" s="57"/>
      <c r="R37" s="88" t="s">
        <v>85</v>
      </c>
      <c r="S37" s="86">
        <v>111</v>
      </c>
      <c r="T37" s="73">
        <v>34</v>
      </c>
      <c r="U37" s="73">
        <v>22</v>
      </c>
      <c r="V37" s="73">
        <v>34</v>
      </c>
      <c r="W37" s="73">
        <v>3</v>
      </c>
      <c r="X37" s="73">
        <v>0</v>
      </c>
      <c r="Y37" s="73">
        <v>35</v>
      </c>
      <c r="Z37" s="73">
        <v>3</v>
      </c>
      <c r="AA37" s="73">
        <v>1</v>
      </c>
      <c r="AB37" s="73">
        <v>1</v>
      </c>
      <c r="AC37" s="73">
        <v>445</v>
      </c>
      <c r="AD37" s="73">
        <v>0</v>
      </c>
      <c r="AE37" s="83">
        <v>244</v>
      </c>
      <c r="AF37" s="83">
        <v>703</v>
      </c>
    </row>
    <row r="38" spans="2:32" ht="23.1" customHeight="1" x14ac:dyDescent="0.25">
      <c r="B38" s="97" t="s">
        <v>65</v>
      </c>
      <c r="C38" s="100">
        <v>12</v>
      </c>
      <c r="D38" s="100">
        <v>5</v>
      </c>
      <c r="E38" s="100">
        <v>2</v>
      </c>
      <c r="F38" s="100">
        <v>6</v>
      </c>
      <c r="G38" s="100">
        <v>0</v>
      </c>
      <c r="H38" s="100">
        <v>0</v>
      </c>
      <c r="I38" s="100">
        <v>5</v>
      </c>
      <c r="J38" s="100">
        <v>1</v>
      </c>
      <c r="K38" s="100">
        <v>1</v>
      </c>
      <c r="L38" s="100">
        <v>0</v>
      </c>
      <c r="M38" s="100">
        <v>41</v>
      </c>
      <c r="N38" s="100">
        <v>0</v>
      </c>
      <c r="O38" s="116">
        <f t="shared" si="0"/>
        <v>32</v>
      </c>
      <c r="P38" s="116">
        <f t="shared" si="1"/>
        <v>73</v>
      </c>
      <c r="Q38" s="57"/>
      <c r="R38" s="79" t="s">
        <v>86</v>
      </c>
      <c r="S38" s="73" t="e">
        <v>#REF!</v>
      </c>
      <c r="T38" s="73" t="e">
        <v>#REF!</v>
      </c>
      <c r="U38" s="73" t="e">
        <v>#REF!</v>
      </c>
      <c r="V38" s="73" t="e">
        <v>#REF!</v>
      </c>
      <c r="W38" s="73" t="e">
        <v>#REF!</v>
      </c>
      <c r="X38" s="73" t="e">
        <v>#REF!</v>
      </c>
      <c r="Y38" s="73" t="e">
        <v>#REF!</v>
      </c>
      <c r="Z38" s="73" t="e">
        <v>#REF!</v>
      </c>
      <c r="AA38" s="73" t="e">
        <v>#REF!</v>
      </c>
      <c r="AB38" s="73" t="e">
        <v>#REF!</v>
      </c>
      <c r="AC38" s="73" t="e">
        <v>#REF!</v>
      </c>
      <c r="AD38" s="73">
        <v>0</v>
      </c>
      <c r="AE38" s="83" t="e">
        <v>#REF!</v>
      </c>
      <c r="AF38" s="83">
        <v>1288</v>
      </c>
    </row>
    <row r="39" spans="2:32" ht="23.1" customHeight="1" x14ac:dyDescent="0.25">
      <c r="B39" s="97" t="s">
        <v>66</v>
      </c>
      <c r="C39" s="100">
        <v>5</v>
      </c>
      <c r="D39" s="100">
        <v>4</v>
      </c>
      <c r="E39" s="100">
        <v>1</v>
      </c>
      <c r="F39" s="100">
        <v>4</v>
      </c>
      <c r="G39" s="100">
        <v>0</v>
      </c>
      <c r="H39" s="100">
        <v>0</v>
      </c>
      <c r="I39" s="100">
        <v>4</v>
      </c>
      <c r="J39" s="100">
        <v>0</v>
      </c>
      <c r="K39" s="100">
        <v>0</v>
      </c>
      <c r="L39" s="100">
        <v>0</v>
      </c>
      <c r="M39" s="100">
        <v>20</v>
      </c>
      <c r="N39" s="100">
        <v>0</v>
      </c>
      <c r="O39" s="116">
        <f t="shared" si="0"/>
        <v>18</v>
      </c>
      <c r="P39" s="116">
        <f t="shared" si="1"/>
        <v>38</v>
      </c>
      <c r="Q39" s="57"/>
      <c r="R39" s="80" t="s">
        <v>87</v>
      </c>
      <c r="S39" s="73">
        <v>140</v>
      </c>
      <c r="T39" s="73">
        <v>70</v>
      </c>
      <c r="U39" s="73">
        <v>33</v>
      </c>
      <c r="V39" s="73">
        <v>62</v>
      </c>
      <c r="W39" s="73">
        <v>2</v>
      </c>
      <c r="X39" s="73">
        <v>0</v>
      </c>
      <c r="Y39" s="73">
        <v>21</v>
      </c>
      <c r="Z39" s="73">
        <v>4</v>
      </c>
      <c r="AA39" s="73">
        <v>1</v>
      </c>
      <c r="AB39" s="73">
        <v>1</v>
      </c>
      <c r="AC39" s="73">
        <v>486</v>
      </c>
      <c r="AD39" s="73">
        <v>0</v>
      </c>
      <c r="AE39" s="83">
        <v>334</v>
      </c>
      <c r="AF39" s="83">
        <v>820</v>
      </c>
    </row>
    <row r="40" spans="2:32" ht="23.1" customHeight="1" x14ac:dyDescent="0.25">
      <c r="B40" s="97" t="s">
        <v>67</v>
      </c>
      <c r="C40" s="100">
        <v>11</v>
      </c>
      <c r="D40" s="100">
        <v>1</v>
      </c>
      <c r="E40" s="100">
        <v>0</v>
      </c>
      <c r="F40" s="100">
        <v>3</v>
      </c>
      <c r="G40" s="100">
        <v>0</v>
      </c>
      <c r="H40" s="100">
        <v>0</v>
      </c>
      <c r="I40" s="100">
        <v>2</v>
      </c>
      <c r="J40" s="100">
        <v>0</v>
      </c>
      <c r="K40" s="100">
        <v>0</v>
      </c>
      <c r="L40" s="100">
        <v>0</v>
      </c>
      <c r="M40" s="100">
        <v>24</v>
      </c>
      <c r="N40" s="100">
        <v>0</v>
      </c>
      <c r="O40" s="116">
        <f t="shared" si="0"/>
        <v>17</v>
      </c>
      <c r="P40" s="116">
        <f t="shared" si="1"/>
        <v>41</v>
      </c>
      <c r="Q40" s="57"/>
      <c r="R40" s="62" t="s">
        <v>17</v>
      </c>
      <c r="S40" s="73" t="e">
        <v>#REF!</v>
      </c>
      <c r="T40" s="73" t="e">
        <v>#REF!</v>
      </c>
      <c r="U40" s="73" t="e">
        <v>#REF!</v>
      </c>
      <c r="V40" s="73" t="e">
        <v>#REF!</v>
      </c>
      <c r="W40" s="73" t="e">
        <v>#REF!</v>
      </c>
      <c r="X40" s="73" t="e">
        <v>#REF!</v>
      </c>
      <c r="Y40" s="73" t="e">
        <v>#REF!</v>
      </c>
      <c r="Z40" s="73" t="e">
        <v>#REF!</v>
      </c>
      <c r="AA40" s="73" t="e">
        <v>#REF!</v>
      </c>
      <c r="AB40" s="73" t="e">
        <v>#REF!</v>
      </c>
      <c r="AC40" s="73" t="e">
        <v>#REF!</v>
      </c>
      <c r="AD40" s="73">
        <v>0</v>
      </c>
      <c r="AE40" s="83" t="e">
        <v>#REF!</v>
      </c>
      <c r="AF40" s="83">
        <v>2811</v>
      </c>
    </row>
    <row r="41" spans="2:32" ht="23.1" customHeight="1" x14ac:dyDescent="0.25">
      <c r="B41" s="96" t="s">
        <v>68</v>
      </c>
      <c r="C41" s="100">
        <v>7</v>
      </c>
      <c r="D41" s="100">
        <v>3</v>
      </c>
      <c r="E41" s="100">
        <v>1</v>
      </c>
      <c r="F41" s="100">
        <v>4</v>
      </c>
      <c r="G41" s="100">
        <v>0</v>
      </c>
      <c r="H41" s="100">
        <v>0</v>
      </c>
      <c r="I41" s="100">
        <v>5</v>
      </c>
      <c r="J41" s="100">
        <v>0</v>
      </c>
      <c r="K41" s="100">
        <v>0</v>
      </c>
      <c r="L41" s="100">
        <v>0</v>
      </c>
      <c r="M41" s="100">
        <v>38</v>
      </c>
      <c r="N41" s="100">
        <v>0</v>
      </c>
      <c r="O41" s="116">
        <f t="shared" si="0"/>
        <v>20</v>
      </c>
      <c r="P41" s="116">
        <f t="shared" si="1"/>
        <v>58</v>
      </c>
      <c r="Q41" s="57"/>
      <c r="R41" s="62" t="s">
        <v>159</v>
      </c>
      <c r="S41" s="73" t="e">
        <v>#REF!</v>
      </c>
      <c r="T41" s="73" t="e">
        <v>#REF!</v>
      </c>
      <c r="U41" s="73" t="e">
        <v>#REF!</v>
      </c>
      <c r="V41" s="73" t="e">
        <v>#REF!</v>
      </c>
      <c r="W41" s="73" t="e">
        <v>#REF!</v>
      </c>
      <c r="X41" s="73" t="e">
        <v>#REF!</v>
      </c>
      <c r="Y41" s="73" t="e">
        <v>#REF!</v>
      </c>
      <c r="Z41" s="73" t="e">
        <v>#REF!</v>
      </c>
      <c r="AA41" s="73" t="e">
        <v>#REF!</v>
      </c>
      <c r="AB41" s="73" t="e">
        <v>#REF!</v>
      </c>
      <c r="AC41" s="73" t="e">
        <v>#REF!</v>
      </c>
      <c r="AD41" s="73">
        <v>1</v>
      </c>
      <c r="AE41" s="83" t="e">
        <v>#REF!</v>
      </c>
      <c r="AF41" s="83">
        <v>4517</v>
      </c>
    </row>
    <row r="42" spans="2:32" ht="23.1" customHeight="1" x14ac:dyDescent="0.25">
      <c r="B42" s="97" t="s">
        <v>69</v>
      </c>
      <c r="C42" s="100">
        <v>14</v>
      </c>
      <c r="D42" s="100">
        <v>0</v>
      </c>
      <c r="E42" s="100">
        <v>3</v>
      </c>
      <c r="F42" s="100">
        <v>5</v>
      </c>
      <c r="G42" s="100">
        <v>0</v>
      </c>
      <c r="H42" s="100">
        <v>0</v>
      </c>
      <c r="I42" s="100">
        <v>4</v>
      </c>
      <c r="J42" s="100">
        <v>0</v>
      </c>
      <c r="K42" s="100">
        <v>0</v>
      </c>
      <c r="L42" s="100">
        <v>0</v>
      </c>
      <c r="M42" s="100">
        <v>25</v>
      </c>
      <c r="N42" s="100">
        <v>0</v>
      </c>
      <c r="O42" s="116">
        <f t="shared" si="0"/>
        <v>26</v>
      </c>
      <c r="P42" s="116">
        <f t="shared" si="1"/>
        <v>51</v>
      </c>
      <c r="Q42" s="57"/>
      <c r="R42" s="62" t="s">
        <v>160</v>
      </c>
      <c r="S42" s="99" t="e">
        <v>#REF!</v>
      </c>
      <c r="T42" s="99" t="e">
        <v>#REF!</v>
      </c>
      <c r="U42" s="99" t="e">
        <v>#REF!</v>
      </c>
      <c r="V42" s="99" t="e">
        <v>#REF!</v>
      </c>
      <c r="W42" s="99" t="e">
        <v>#REF!</v>
      </c>
      <c r="X42" s="99" t="e">
        <v>#REF!</v>
      </c>
      <c r="Y42" s="99" t="e">
        <v>#REF!</v>
      </c>
      <c r="Z42" s="99" t="e">
        <v>#REF!</v>
      </c>
      <c r="AA42" s="99" t="e">
        <v>#REF!</v>
      </c>
      <c r="AB42" s="99" t="e">
        <v>#REF!</v>
      </c>
      <c r="AC42" s="99" t="e">
        <v>#REF!</v>
      </c>
      <c r="AD42" s="99" t="e">
        <v>#DIV/0!</v>
      </c>
      <c r="AE42" s="99" t="e">
        <v>#REF!</v>
      </c>
      <c r="AF42" s="99">
        <v>1.6069014585556742</v>
      </c>
    </row>
    <row r="43" spans="2:32" ht="23.1" customHeight="1" x14ac:dyDescent="0.25">
      <c r="B43" s="96" t="s">
        <v>70</v>
      </c>
      <c r="C43" s="100">
        <v>6</v>
      </c>
      <c r="D43" s="100">
        <v>5</v>
      </c>
      <c r="E43" s="100">
        <v>2</v>
      </c>
      <c r="F43" s="100">
        <v>2</v>
      </c>
      <c r="G43" s="100">
        <v>0</v>
      </c>
      <c r="H43" s="100">
        <v>0</v>
      </c>
      <c r="I43" s="100">
        <v>1</v>
      </c>
      <c r="J43" s="100">
        <v>0</v>
      </c>
      <c r="K43" s="100">
        <v>0</v>
      </c>
      <c r="L43" s="100">
        <v>0</v>
      </c>
      <c r="M43" s="100">
        <v>25</v>
      </c>
      <c r="N43" s="100">
        <v>0</v>
      </c>
      <c r="O43" s="116">
        <f t="shared" si="0"/>
        <v>16</v>
      </c>
      <c r="P43" s="116">
        <f t="shared" si="1"/>
        <v>41</v>
      </c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</row>
    <row r="44" spans="2:32" ht="23.1" customHeight="1" x14ac:dyDescent="0.25">
      <c r="B44" s="98" t="s">
        <v>71</v>
      </c>
      <c r="C44" s="100">
        <v>14</v>
      </c>
      <c r="D44" s="100">
        <v>1</v>
      </c>
      <c r="E44" s="100">
        <v>2</v>
      </c>
      <c r="F44" s="100">
        <v>4</v>
      </c>
      <c r="G44" s="100">
        <v>0</v>
      </c>
      <c r="H44" s="100">
        <v>0</v>
      </c>
      <c r="I44" s="100">
        <v>6</v>
      </c>
      <c r="J44" s="100">
        <v>0</v>
      </c>
      <c r="K44" s="100">
        <v>0</v>
      </c>
      <c r="L44" s="100">
        <v>0</v>
      </c>
      <c r="M44" s="100">
        <v>42</v>
      </c>
      <c r="N44" s="100">
        <v>0</v>
      </c>
      <c r="O44" s="116">
        <f t="shared" si="0"/>
        <v>27</v>
      </c>
      <c r="P44" s="116">
        <f t="shared" si="1"/>
        <v>69</v>
      </c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</row>
    <row r="45" spans="2:32" ht="23.1" customHeight="1" x14ac:dyDescent="0.25">
      <c r="B45" s="96" t="s">
        <v>72</v>
      </c>
      <c r="C45" s="100">
        <v>11</v>
      </c>
      <c r="D45" s="100">
        <v>7</v>
      </c>
      <c r="E45" s="100">
        <v>2</v>
      </c>
      <c r="F45" s="100">
        <v>3</v>
      </c>
      <c r="G45" s="100">
        <v>0</v>
      </c>
      <c r="H45" s="100">
        <v>0</v>
      </c>
      <c r="I45" s="100">
        <v>5</v>
      </c>
      <c r="J45" s="100">
        <v>0</v>
      </c>
      <c r="K45" s="100">
        <v>0</v>
      </c>
      <c r="L45" s="100">
        <v>1</v>
      </c>
      <c r="M45" s="100">
        <v>35</v>
      </c>
      <c r="N45" s="100">
        <v>0</v>
      </c>
      <c r="O45" s="116">
        <f t="shared" si="0"/>
        <v>29</v>
      </c>
      <c r="P45" s="116">
        <f t="shared" si="1"/>
        <v>64</v>
      </c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</row>
    <row r="46" spans="2:32" ht="23.1" customHeight="1" x14ac:dyDescent="0.25">
      <c r="B46" s="97" t="s">
        <v>73</v>
      </c>
      <c r="C46" s="100">
        <v>8</v>
      </c>
      <c r="D46" s="100">
        <v>5</v>
      </c>
      <c r="E46" s="100">
        <v>1</v>
      </c>
      <c r="F46" s="100">
        <v>4</v>
      </c>
      <c r="G46" s="100">
        <v>0</v>
      </c>
      <c r="H46" s="100">
        <v>0</v>
      </c>
      <c r="I46" s="100">
        <v>2</v>
      </c>
      <c r="J46" s="100">
        <v>0</v>
      </c>
      <c r="K46" s="100">
        <v>0</v>
      </c>
      <c r="L46" s="100">
        <v>0</v>
      </c>
      <c r="M46" s="100">
        <v>39</v>
      </c>
      <c r="N46" s="100">
        <v>0</v>
      </c>
      <c r="O46" s="116">
        <f t="shared" si="0"/>
        <v>20</v>
      </c>
      <c r="P46" s="116">
        <f t="shared" si="1"/>
        <v>59</v>
      </c>
      <c r="Q46" s="57"/>
      <c r="R46" s="65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</row>
    <row r="47" spans="2:32" ht="23.1" customHeight="1" x14ac:dyDescent="0.25">
      <c r="B47" s="97" t="s">
        <v>74</v>
      </c>
      <c r="C47" s="100">
        <v>15</v>
      </c>
      <c r="D47" s="100">
        <v>2</v>
      </c>
      <c r="E47" s="100">
        <v>5</v>
      </c>
      <c r="F47" s="100">
        <v>6</v>
      </c>
      <c r="G47" s="100">
        <v>1</v>
      </c>
      <c r="H47" s="100">
        <v>0</v>
      </c>
      <c r="I47" s="100">
        <v>2</v>
      </c>
      <c r="J47" s="100">
        <v>1</v>
      </c>
      <c r="K47" s="100">
        <v>0</v>
      </c>
      <c r="L47" s="100">
        <v>0</v>
      </c>
      <c r="M47" s="100">
        <v>30</v>
      </c>
      <c r="N47" s="100">
        <v>0</v>
      </c>
      <c r="O47" s="116">
        <f t="shared" si="0"/>
        <v>32</v>
      </c>
      <c r="P47" s="116">
        <f t="shared" si="1"/>
        <v>62</v>
      </c>
      <c r="Q47" s="57"/>
      <c r="R47" s="65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</row>
    <row r="48" spans="2:32" ht="23.1" customHeight="1" x14ac:dyDescent="0.25">
      <c r="B48" s="97" t="s">
        <v>75</v>
      </c>
      <c r="C48" s="100">
        <v>9</v>
      </c>
      <c r="D48" s="100">
        <v>6</v>
      </c>
      <c r="E48" s="100">
        <v>2</v>
      </c>
      <c r="F48" s="100">
        <v>4</v>
      </c>
      <c r="G48" s="100">
        <v>0</v>
      </c>
      <c r="H48" s="100">
        <v>0</v>
      </c>
      <c r="I48" s="100">
        <v>0</v>
      </c>
      <c r="J48" s="100">
        <v>0</v>
      </c>
      <c r="K48" s="100">
        <v>0</v>
      </c>
      <c r="L48" s="100">
        <v>0</v>
      </c>
      <c r="M48" s="100">
        <v>18</v>
      </c>
      <c r="N48" s="100">
        <v>0</v>
      </c>
      <c r="O48" s="116">
        <f t="shared" si="0"/>
        <v>21</v>
      </c>
      <c r="P48" s="116">
        <f t="shared" si="1"/>
        <v>39</v>
      </c>
      <c r="Q48" s="57"/>
      <c r="R48" s="65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</row>
    <row r="49" spans="2:20" ht="23.1" customHeight="1" x14ac:dyDescent="0.25">
      <c r="B49" s="96" t="s">
        <v>76</v>
      </c>
      <c r="C49" s="100">
        <v>9</v>
      </c>
      <c r="D49" s="100">
        <v>5</v>
      </c>
      <c r="E49" s="100">
        <v>1</v>
      </c>
      <c r="F49" s="100">
        <v>6</v>
      </c>
      <c r="G49" s="100">
        <v>1</v>
      </c>
      <c r="H49" s="100">
        <v>0</v>
      </c>
      <c r="I49" s="100">
        <v>0</v>
      </c>
      <c r="J49" s="100">
        <v>1</v>
      </c>
      <c r="K49" s="100">
        <v>0</v>
      </c>
      <c r="L49" s="100">
        <v>0</v>
      </c>
      <c r="M49" s="100">
        <v>52</v>
      </c>
      <c r="N49" s="100">
        <v>0</v>
      </c>
      <c r="O49" s="116">
        <f t="shared" si="0"/>
        <v>23</v>
      </c>
      <c r="P49" s="116">
        <f t="shared" si="1"/>
        <v>75</v>
      </c>
      <c r="Q49" s="57"/>
      <c r="R49" s="65"/>
      <c r="S49" s="57"/>
      <c r="T49" s="57"/>
    </row>
    <row r="50" spans="2:20" ht="23.1" customHeight="1" x14ac:dyDescent="0.25">
      <c r="B50" s="97" t="s">
        <v>77</v>
      </c>
      <c r="C50" s="100">
        <v>8</v>
      </c>
      <c r="D50" s="100">
        <v>10</v>
      </c>
      <c r="E50" s="100">
        <v>6</v>
      </c>
      <c r="F50" s="100">
        <v>3</v>
      </c>
      <c r="G50" s="100">
        <v>0</v>
      </c>
      <c r="H50" s="100">
        <v>0</v>
      </c>
      <c r="I50" s="100">
        <v>6</v>
      </c>
      <c r="J50" s="100">
        <v>0</v>
      </c>
      <c r="K50" s="100">
        <v>1</v>
      </c>
      <c r="L50" s="100">
        <v>0</v>
      </c>
      <c r="M50" s="100">
        <v>46</v>
      </c>
      <c r="N50" s="100">
        <v>0</v>
      </c>
      <c r="O50" s="116">
        <f t="shared" si="0"/>
        <v>34</v>
      </c>
      <c r="P50" s="116">
        <f t="shared" si="1"/>
        <v>80</v>
      </c>
      <c r="Q50" s="57"/>
      <c r="R50" s="65"/>
      <c r="S50" s="57"/>
      <c r="T50" s="57"/>
    </row>
    <row r="51" spans="2:20" ht="23.1" customHeight="1" x14ac:dyDescent="0.25">
      <c r="B51" s="97" t="s">
        <v>78</v>
      </c>
      <c r="C51" s="100">
        <v>10</v>
      </c>
      <c r="D51" s="100">
        <v>7</v>
      </c>
      <c r="E51" s="100">
        <v>0</v>
      </c>
      <c r="F51" s="100">
        <v>7</v>
      </c>
      <c r="G51" s="100">
        <v>0</v>
      </c>
      <c r="H51" s="100">
        <v>0</v>
      </c>
      <c r="I51" s="100">
        <v>1</v>
      </c>
      <c r="J51" s="100">
        <v>1</v>
      </c>
      <c r="K51" s="100">
        <v>0</v>
      </c>
      <c r="L51" s="100">
        <v>0</v>
      </c>
      <c r="M51" s="100">
        <v>48</v>
      </c>
      <c r="N51" s="100">
        <v>0</v>
      </c>
      <c r="O51" s="116">
        <f t="shared" si="0"/>
        <v>26</v>
      </c>
      <c r="P51" s="116">
        <f t="shared" si="1"/>
        <v>74</v>
      </c>
      <c r="Q51" s="57"/>
      <c r="R51" s="65"/>
      <c r="S51" s="57"/>
      <c r="T51" s="57"/>
    </row>
    <row r="52" spans="2:20" ht="23.1" customHeight="1" x14ac:dyDescent="0.25">
      <c r="B52" s="97" t="s">
        <v>79</v>
      </c>
      <c r="C52" s="100">
        <v>12</v>
      </c>
      <c r="D52" s="100">
        <v>7</v>
      </c>
      <c r="E52" s="100">
        <v>1</v>
      </c>
      <c r="F52" s="100">
        <v>3</v>
      </c>
      <c r="G52" s="100">
        <v>0</v>
      </c>
      <c r="H52" s="100">
        <v>0</v>
      </c>
      <c r="I52" s="100">
        <v>0</v>
      </c>
      <c r="J52" s="100">
        <v>0</v>
      </c>
      <c r="K52" s="100">
        <v>0</v>
      </c>
      <c r="L52" s="100">
        <v>1</v>
      </c>
      <c r="M52" s="100">
        <v>47</v>
      </c>
      <c r="N52" s="100">
        <v>0</v>
      </c>
      <c r="O52" s="116">
        <f t="shared" si="0"/>
        <v>24</v>
      </c>
      <c r="P52" s="116">
        <f t="shared" si="1"/>
        <v>71</v>
      </c>
      <c r="Q52" s="57"/>
      <c r="R52" s="65"/>
      <c r="S52" s="57"/>
      <c r="T52" s="57"/>
    </row>
    <row r="53" spans="2:20" ht="23.1" customHeight="1" x14ac:dyDescent="0.25">
      <c r="B53" s="96" t="s">
        <v>80</v>
      </c>
      <c r="C53" s="100">
        <v>17</v>
      </c>
      <c r="D53" s="100">
        <v>8</v>
      </c>
      <c r="E53" s="100">
        <v>3</v>
      </c>
      <c r="F53" s="100">
        <v>5</v>
      </c>
      <c r="G53" s="100">
        <v>0</v>
      </c>
      <c r="H53" s="100">
        <v>0</v>
      </c>
      <c r="I53" s="100">
        <v>5</v>
      </c>
      <c r="J53" s="100">
        <v>0</v>
      </c>
      <c r="K53" s="100">
        <v>0</v>
      </c>
      <c r="L53" s="100">
        <v>0</v>
      </c>
      <c r="M53" s="100">
        <v>34</v>
      </c>
      <c r="N53" s="100">
        <v>0</v>
      </c>
      <c r="O53" s="116">
        <f t="shared" si="0"/>
        <v>38</v>
      </c>
      <c r="P53" s="116">
        <f t="shared" si="1"/>
        <v>72</v>
      </c>
      <c r="Q53" s="57"/>
      <c r="R53" s="65"/>
      <c r="S53" s="57"/>
      <c r="T53" s="57"/>
    </row>
    <row r="54" spans="2:20" ht="23.1" customHeight="1" x14ac:dyDescent="0.25">
      <c r="B54" s="96" t="s">
        <v>81</v>
      </c>
      <c r="C54" s="100">
        <v>5</v>
      </c>
      <c r="D54" s="100">
        <v>3</v>
      </c>
      <c r="E54" s="100">
        <v>3</v>
      </c>
      <c r="F54" s="100">
        <v>9</v>
      </c>
      <c r="G54" s="100">
        <v>0</v>
      </c>
      <c r="H54" s="100">
        <v>0</v>
      </c>
      <c r="I54" s="100">
        <v>2</v>
      </c>
      <c r="J54" s="100">
        <v>0</v>
      </c>
      <c r="K54" s="100">
        <v>0</v>
      </c>
      <c r="L54" s="100">
        <v>0</v>
      </c>
      <c r="M54" s="100">
        <v>49</v>
      </c>
      <c r="N54" s="100">
        <v>0</v>
      </c>
      <c r="O54" s="116">
        <f t="shared" si="0"/>
        <v>22</v>
      </c>
      <c r="P54" s="116">
        <f t="shared" si="1"/>
        <v>71</v>
      </c>
      <c r="Q54" s="57"/>
      <c r="R54" s="65"/>
      <c r="S54" s="57"/>
      <c r="T54" s="57"/>
    </row>
    <row r="55" spans="2:20" ht="23.1" customHeight="1" x14ac:dyDescent="0.25">
      <c r="B55" s="96" t="s">
        <v>82</v>
      </c>
      <c r="C55" s="100">
        <v>18</v>
      </c>
      <c r="D55" s="100">
        <v>6</v>
      </c>
      <c r="E55" s="100">
        <v>3</v>
      </c>
      <c r="F55" s="100">
        <v>6</v>
      </c>
      <c r="G55" s="100">
        <v>0</v>
      </c>
      <c r="H55" s="100">
        <v>0</v>
      </c>
      <c r="I55" s="100">
        <v>2</v>
      </c>
      <c r="J55" s="100">
        <v>0</v>
      </c>
      <c r="K55" s="100">
        <v>0</v>
      </c>
      <c r="L55" s="100">
        <v>0</v>
      </c>
      <c r="M55" s="100">
        <v>40</v>
      </c>
      <c r="N55" s="100">
        <v>0</v>
      </c>
      <c r="O55" s="116">
        <f t="shared" si="0"/>
        <v>35</v>
      </c>
      <c r="P55" s="116">
        <f t="shared" si="1"/>
        <v>75</v>
      </c>
      <c r="Q55" s="57"/>
      <c r="R55" s="65"/>
      <c r="S55" s="57"/>
      <c r="T55" s="57"/>
    </row>
    <row r="56" spans="2:20" ht="23.1" customHeight="1" x14ac:dyDescent="0.25">
      <c r="B56" s="96" t="s">
        <v>83</v>
      </c>
      <c r="C56" s="100">
        <v>11</v>
      </c>
      <c r="D56" s="100">
        <v>8</v>
      </c>
      <c r="E56" s="100">
        <v>5</v>
      </c>
      <c r="F56" s="100">
        <v>8</v>
      </c>
      <c r="G56" s="100">
        <v>0</v>
      </c>
      <c r="H56" s="100">
        <v>0</v>
      </c>
      <c r="I56" s="100">
        <v>0</v>
      </c>
      <c r="J56" s="100">
        <v>0</v>
      </c>
      <c r="K56" s="100">
        <v>0</v>
      </c>
      <c r="L56" s="100">
        <v>0</v>
      </c>
      <c r="M56" s="100">
        <v>38</v>
      </c>
      <c r="N56" s="100">
        <v>0</v>
      </c>
      <c r="O56" s="116">
        <f t="shared" si="0"/>
        <v>32</v>
      </c>
      <c r="P56" s="116">
        <f t="shared" si="1"/>
        <v>70</v>
      </c>
      <c r="Q56" s="57"/>
      <c r="R56" s="65"/>
      <c r="S56" s="57"/>
      <c r="T56" s="57"/>
    </row>
    <row r="57" spans="2:20" ht="23.1" customHeight="1" x14ac:dyDescent="0.25">
      <c r="B57" s="96" t="s">
        <v>84</v>
      </c>
      <c r="C57" s="100">
        <v>18</v>
      </c>
      <c r="D57" s="100">
        <v>3</v>
      </c>
      <c r="E57" s="100">
        <v>3</v>
      </c>
      <c r="F57" s="100">
        <v>1</v>
      </c>
      <c r="G57" s="100">
        <v>0</v>
      </c>
      <c r="H57" s="100">
        <v>0</v>
      </c>
      <c r="I57" s="100">
        <v>1</v>
      </c>
      <c r="J57" s="100">
        <v>1</v>
      </c>
      <c r="K57" s="100">
        <v>0</v>
      </c>
      <c r="L57" s="100">
        <v>0</v>
      </c>
      <c r="M57" s="100">
        <v>45</v>
      </c>
      <c r="N57" s="100">
        <v>0</v>
      </c>
      <c r="O57" s="116">
        <f t="shared" si="0"/>
        <v>27</v>
      </c>
      <c r="P57" s="116">
        <f t="shared" si="1"/>
        <v>72</v>
      </c>
      <c r="Q57" s="57"/>
      <c r="R57" s="65"/>
      <c r="S57" s="57"/>
      <c r="T57" s="57"/>
    </row>
    <row r="58" spans="2:20" ht="23.1" customHeight="1" x14ac:dyDescent="0.25">
      <c r="B58" s="96" t="s">
        <v>99</v>
      </c>
      <c r="C58" s="100">
        <v>10</v>
      </c>
      <c r="D58" s="100">
        <v>7</v>
      </c>
      <c r="E58" s="100">
        <v>3</v>
      </c>
      <c r="F58" s="100">
        <v>4</v>
      </c>
      <c r="G58" s="100">
        <v>0</v>
      </c>
      <c r="H58" s="100">
        <v>0</v>
      </c>
      <c r="I58" s="100">
        <v>1</v>
      </c>
      <c r="J58" s="100">
        <v>1</v>
      </c>
      <c r="K58" s="100">
        <v>0</v>
      </c>
      <c r="L58" s="100">
        <v>0</v>
      </c>
      <c r="M58" s="100">
        <v>46</v>
      </c>
      <c r="N58" s="100">
        <v>0</v>
      </c>
      <c r="O58" s="116">
        <f t="shared" si="0"/>
        <v>26</v>
      </c>
      <c r="P58" s="116">
        <f t="shared" si="1"/>
        <v>72</v>
      </c>
      <c r="Q58" s="57"/>
      <c r="R58" s="65"/>
      <c r="S58" s="57"/>
      <c r="T58" s="57"/>
    </row>
    <row r="59" spans="2:20" ht="23.1" customHeight="1" x14ac:dyDescent="0.25">
      <c r="B59" s="96" t="s">
        <v>100</v>
      </c>
      <c r="C59" s="100">
        <v>7</v>
      </c>
      <c r="D59" s="100">
        <v>4</v>
      </c>
      <c r="E59" s="100">
        <v>0</v>
      </c>
      <c r="F59" s="100">
        <v>5</v>
      </c>
      <c r="G59" s="100">
        <v>0</v>
      </c>
      <c r="H59" s="100">
        <v>0</v>
      </c>
      <c r="I59" s="100">
        <v>1</v>
      </c>
      <c r="J59" s="100">
        <v>0</v>
      </c>
      <c r="K59" s="100">
        <v>0</v>
      </c>
      <c r="L59" s="100">
        <v>0</v>
      </c>
      <c r="M59" s="100">
        <v>57</v>
      </c>
      <c r="N59" s="100">
        <v>0</v>
      </c>
      <c r="O59" s="116">
        <f t="shared" si="0"/>
        <v>17</v>
      </c>
      <c r="P59" s="116">
        <f t="shared" si="1"/>
        <v>74</v>
      </c>
      <c r="Q59" s="57"/>
      <c r="R59" s="65"/>
      <c r="S59" s="57"/>
      <c r="T59" s="57"/>
    </row>
    <row r="60" spans="2:20" ht="23.1" customHeight="1" x14ac:dyDescent="0.25">
      <c r="B60" s="96" t="s">
        <v>101</v>
      </c>
      <c r="C60" s="100">
        <v>21</v>
      </c>
      <c r="D60" s="100">
        <v>4</v>
      </c>
      <c r="E60" s="100">
        <v>3</v>
      </c>
      <c r="F60" s="100">
        <v>3</v>
      </c>
      <c r="G60" s="100">
        <v>0</v>
      </c>
      <c r="H60" s="100">
        <v>0</v>
      </c>
      <c r="I60" s="100">
        <v>1</v>
      </c>
      <c r="J60" s="100">
        <v>0</v>
      </c>
      <c r="K60" s="100">
        <v>0</v>
      </c>
      <c r="L60" s="100">
        <v>0</v>
      </c>
      <c r="M60" s="100">
        <v>66</v>
      </c>
      <c r="N60" s="100">
        <v>0</v>
      </c>
      <c r="O60" s="116">
        <f t="shared" si="0"/>
        <v>32</v>
      </c>
      <c r="P60" s="116">
        <f t="shared" si="1"/>
        <v>98</v>
      </c>
      <c r="Q60" s="57"/>
      <c r="R60" s="65"/>
      <c r="S60" s="57"/>
      <c r="T60" s="57"/>
    </row>
    <row r="61" spans="2:20" ht="23.1" customHeight="1" x14ac:dyDescent="0.25">
      <c r="B61" s="96" t="s">
        <v>102</v>
      </c>
      <c r="C61" s="100">
        <v>23</v>
      </c>
      <c r="D61" s="100">
        <v>2</v>
      </c>
      <c r="E61" s="100">
        <v>3</v>
      </c>
      <c r="F61" s="100">
        <v>2</v>
      </c>
      <c r="G61" s="100">
        <v>0</v>
      </c>
      <c r="H61" s="100">
        <v>0</v>
      </c>
      <c r="I61" s="100">
        <v>5</v>
      </c>
      <c r="J61" s="100">
        <v>0</v>
      </c>
      <c r="K61" s="100">
        <v>0</v>
      </c>
      <c r="L61" s="100">
        <v>0</v>
      </c>
      <c r="M61" s="100">
        <v>52</v>
      </c>
      <c r="N61" s="100">
        <v>0</v>
      </c>
      <c r="O61" s="116">
        <f t="shared" si="0"/>
        <v>35</v>
      </c>
      <c r="P61" s="116">
        <f t="shared" si="1"/>
        <v>87</v>
      </c>
      <c r="Q61" s="57"/>
      <c r="R61" s="65"/>
      <c r="S61" s="57"/>
      <c r="T61" s="57"/>
    </row>
    <row r="62" spans="2:20" ht="23.1" customHeight="1" x14ac:dyDescent="0.25">
      <c r="B62" s="96" t="s">
        <v>107</v>
      </c>
      <c r="C62" s="100">
        <v>20</v>
      </c>
      <c r="D62" s="100">
        <v>3</v>
      </c>
      <c r="E62" s="100">
        <v>2</v>
      </c>
      <c r="F62" s="100">
        <v>5</v>
      </c>
      <c r="G62" s="100">
        <v>0</v>
      </c>
      <c r="H62" s="100">
        <v>0</v>
      </c>
      <c r="I62" s="100">
        <v>2</v>
      </c>
      <c r="J62" s="100">
        <v>0</v>
      </c>
      <c r="K62" s="100">
        <v>0</v>
      </c>
      <c r="L62" s="100">
        <v>0</v>
      </c>
      <c r="M62" s="100">
        <v>58</v>
      </c>
      <c r="N62" s="100">
        <v>0</v>
      </c>
      <c r="O62" s="116">
        <f t="shared" si="0"/>
        <v>32</v>
      </c>
      <c r="P62" s="116">
        <f t="shared" si="1"/>
        <v>90</v>
      </c>
      <c r="Q62" s="57"/>
      <c r="R62" s="65"/>
      <c r="S62" s="57"/>
      <c r="T62" s="57"/>
    </row>
    <row r="63" spans="2:20" ht="23.1" customHeight="1" x14ac:dyDescent="0.25">
      <c r="B63" s="96" t="s">
        <v>108</v>
      </c>
      <c r="C63" s="100">
        <v>26</v>
      </c>
      <c r="D63" s="100">
        <v>2</v>
      </c>
      <c r="E63" s="100">
        <v>0</v>
      </c>
      <c r="F63" s="100">
        <v>6</v>
      </c>
      <c r="G63" s="100">
        <v>0</v>
      </c>
      <c r="H63" s="100">
        <v>0</v>
      </c>
      <c r="I63" s="100">
        <v>2</v>
      </c>
      <c r="J63" s="100">
        <v>0</v>
      </c>
      <c r="K63" s="100">
        <v>0</v>
      </c>
      <c r="L63" s="100">
        <v>0</v>
      </c>
      <c r="M63" s="100">
        <v>47</v>
      </c>
      <c r="N63" s="100">
        <v>0</v>
      </c>
      <c r="O63" s="116">
        <f t="shared" si="0"/>
        <v>36</v>
      </c>
      <c r="P63" s="116">
        <f t="shared" si="1"/>
        <v>83</v>
      </c>
      <c r="Q63" s="57"/>
      <c r="R63" s="65"/>
      <c r="S63" s="57"/>
      <c r="T63" s="57"/>
    </row>
    <row r="64" spans="2:20" ht="23.1" customHeight="1" x14ac:dyDescent="0.25">
      <c r="B64" s="96" t="s">
        <v>109</v>
      </c>
      <c r="C64" s="100">
        <v>23</v>
      </c>
      <c r="D64" s="100">
        <v>3</v>
      </c>
      <c r="E64" s="100">
        <v>2</v>
      </c>
      <c r="F64" s="100">
        <v>4</v>
      </c>
      <c r="G64" s="100">
        <v>0</v>
      </c>
      <c r="H64" s="100">
        <v>0</v>
      </c>
      <c r="I64" s="100">
        <v>4</v>
      </c>
      <c r="J64" s="100">
        <v>0</v>
      </c>
      <c r="K64" s="100">
        <v>0</v>
      </c>
      <c r="L64" s="100">
        <v>0</v>
      </c>
      <c r="M64" s="100">
        <v>51</v>
      </c>
      <c r="N64" s="100">
        <v>0</v>
      </c>
      <c r="O64" s="116">
        <f t="shared" si="0"/>
        <v>36</v>
      </c>
      <c r="P64" s="116">
        <f t="shared" si="1"/>
        <v>87</v>
      </c>
      <c r="Q64" s="57"/>
      <c r="R64" s="65"/>
      <c r="S64" s="57"/>
      <c r="T64" s="57"/>
    </row>
    <row r="65" spans="2:20" ht="23.1" customHeight="1" x14ac:dyDescent="0.25">
      <c r="B65" s="96" t="s">
        <v>158</v>
      </c>
      <c r="C65" s="100">
        <v>21</v>
      </c>
      <c r="D65" s="100">
        <v>1</v>
      </c>
      <c r="E65" s="100">
        <v>4</v>
      </c>
      <c r="F65" s="100">
        <v>2</v>
      </c>
      <c r="G65" s="100">
        <v>0</v>
      </c>
      <c r="H65" s="100">
        <v>0</v>
      </c>
      <c r="I65" s="100">
        <v>1</v>
      </c>
      <c r="J65" s="100">
        <v>1</v>
      </c>
      <c r="K65" s="100">
        <v>0</v>
      </c>
      <c r="L65" s="100">
        <v>0</v>
      </c>
      <c r="M65" s="100">
        <v>48</v>
      </c>
      <c r="N65" s="100">
        <v>0</v>
      </c>
      <c r="O65" s="116">
        <f t="shared" si="0"/>
        <v>30</v>
      </c>
      <c r="P65" s="116">
        <f t="shared" si="1"/>
        <v>78</v>
      </c>
      <c r="Q65" s="57"/>
      <c r="R65" s="65"/>
      <c r="S65" s="57"/>
      <c r="T65" s="57"/>
    </row>
    <row r="66" spans="2:20" ht="23.1" customHeight="1" x14ac:dyDescent="0.25">
      <c r="B66" s="96" t="s">
        <v>103</v>
      </c>
      <c r="C66" s="100">
        <v>30</v>
      </c>
      <c r="D66" s="100">
        <v>4</v>
      </c>
      <c r="E66" s="100">
        <v>4</v>
      </c>
      <c r="F66" s="100">
        <v>4</v>
      </c>
      <c r="G66" s="100">
        <v>0</v>
      </c>
      <c r="H66" s="100">
        <v>0</v>
      </c>
      <c r="I66" s="100">
        <v>2</v>
      </c>
      <c r="J66" s="100">
        <v>0</v>
      </c>
      <c r="K66" s="100">
        <v>0</v>
      </c>
      <c r="L66" s="100">
        <v>0</v>
      </c>
      <c r="M66" s="100">
        <v>60</v>
      </c>
      <c r="N66" s="100">
        <v>0</v>
      </c>
      <c r="O66" s="116">
        <f t="shared" si="0"/>
        <v>44</v>
      </c>
      <c r="P66" s="116">
        <f t="shared" si="1"/>
        <v>104</v>
      </c>
      <c r="Q66" s="57"/>
      <c r="R66" s="65"/>
      <c r="S66" s="57"/>
      <c r="T66" s="57"/>
    </row>
    <row r="67" spans="2:20" ht="23.1" customHeight="1" x14ac:dyDescent="0.25">
      <c r="B67" s="96" t="s">
        <v>104</v>
      </c>
      <c r="C67" s="100">
        <v>16</v>
      </c>
      <c r="D67" s="100">
        <v>3</v>
      </c>
      <c r="E67" s="100">
        <v>3</v>
      </c>
      <c r="F67" s="100">
        <v>2</v>
      </c>
      <c r="G67" s="100">
        <v>0</v>
      </c>
      <c r="H67" s="100">
        <v>0</v>
      </c>
      <c r="I67" s="100">
        <v>1</v>
      </c>
      <c r="J67" s="100">
        <v>0</v>
      </c>
      <c r="K67" s="100">
        <v>0</v>
      </c>
      <c r="L67" s="100">
        <v>0</v>
      </c>
      <c r="M67" s="100">
        <v>46</v>
      </c>
      <c r="N67" s="100">
        <v>0</v>
      </c>
      <c r="O67" s="116">
        <f t="shared" si="0"/>
        <v>25</v>
      </c>
      <c r="P67" s="116">
        <f t="shared" si="1"/>
        <v>71</v>
      </c>
      <c r="Q67" s="57"/>
      <c r="R67" s="65"/>
      <c r="S67" s="57"/>
      <c r="T67" s="57"/>
    </row>
    <row r="68" spans="2:20" ht="23.1" customHeight="1" x14ac:dyDescent="0.25">
      <c r="B68" s="96" t="s">
        <v>105</v>
      </c>
      <c r="C68" s="100">
        <v>17</v>
      </c>
      <c r="D68" s="100">
        <v>0</v>
      </c>
      <c r="E68" s="100">
        <v>10</v>
      </c>
      <c r="F68" s="100">
        <v>1</v>
      </c>
      <c r="G68" s="100">
        <v>0</v>
      </c>
      <c r="H68" s="100">
        <v>0</v>
      </c>
      <c r="I68" s="100">
        <v>3</v>
      </c>
      <c r="J68" s="100">
        <v>0</v>
      </c>
      <c r="K68" s="100">
        <v>0</v>
      </c>
      <c r="L68" s="100">
        <v>0</v>
      </c>
      <c r="M68" s="100">
        <v>45</v>
      </c>
      <c r="N68" s="100">
        <v>0</v>
      </c>
      <c r="O68" s="116">
        <f t="shared" si="0"/>
        <v>31</v>
      </c>
      <c r="P68" s="116">
        <f t="shared" si="1"/>
        <v>76</v>
      </c>
      <c r="Q68" s="57"/>
      <c r="R68" s="65"/>
      <c r="S68" s="57"/>
      <c r="T68" s="57"/>
    </row>
    <row r="69" spans="2:20" ht="23.1" customHeight="1" x14ac:dyDescent="0.25">
      <c r="B69" s="96" t="s">
        <v>106</v>
      </c>
      <c r="C69" s="100">
        <v>22</v>
      </c>
      <c r="D69" s="100">
        <v>1</v>
      </c>
      <c r="E69" s="100">
        <v>1</v>
      </c>
      <c r="F69" s="100">
        <v>2</v>
      </c>
      <c r="G69" s="100">
        <v>0</v>
      </c>
      <c r="H69" s="100">
        <v>0</v>
      </c>
      <c r="I69" s="100">
        <v>1</v>
      </c>
      <c r="J69" s="100">
        <v>0</v>
      </c>
      <c r="K69" s="100">
        <v>0</v>
      </c>
      <c r="L69" s="100">
        <v>0</v>
      </c>
      <c r="M69" s="100">
        <v>36</v>
      </c>
      <c r="N69" s="100">
        <v>1</v>
      </c>
      <c r="O69" s="116">
        <f t="shared" si="0"/>
        <v>28</v>
      </c>
      <c r="P69" s="116">
        <f t="shared" si="1"/>
        <v>64</v>
      </c>
      <c r="Q69" s="57"/>
      <c r="R69" s="65"/>
      <c r="S69" s="57"/>
      <c r="T69" s="57"/>
    </row>
    <row r="70" spans="2:20" ht="23.1" customHeight="1" x14ac:dyDescent="0.25">
      <c r="B70" s="96" t="s">
        <v>110</v>
      </c>
      <c r="C70" s="100">
        <v>23</v>
      </c>
      <c r="D70" s="100">
        <v>2</v>
      </c>
      <c r="E70" s="100">
        <v>2</v>
      </c>
      <c r="F70" s="100">
        <v>4</v>
      </c>
      <c r="G70" s="100">
        <v>0</v>
      </c>
      <c r="H70" s="100">
        <v>0</v>
      </c>
      <c r="I70" s="100">
        <v>2</v>
      </c>
      <c r="J70" s="100">
        <v>0</v>
      </c>
      <c r="K70" s="100">
        <v>0</v>
      </c>
      <c r="L70" s="100">
        <v>0</v>
      </c>
      <c r="M70" s="100">
        <v>38</v>
      </c>
      <c r="N70" s="100">
        <v>0</v>
      </c>
      <c r="O70" s="116">
        <f t="shared" si="0"/>
        <v>33</v>
      </c>
      <c r="P70" s="116">
        <f t="shared" si="1"/>
        <v>71</v>
      </c>
      <c r="Q70" s="57"/>
      <c r="R70" s="65"/>
      <c r="S70" s="57"/>
      <c r="T70" s="57"/>
    </row>
    <row r="71" spans="2:20" ht="23.1" customHeight="1" x14ac:dyDescent="0.25">
      <c r="B71" s="96" t="s">
        <v>111</v>
      </c>
      <c r="C71" s="100">
        <v>14</v>
      </c>
      <c r="D71" s="100">
        <v>1</v>
      </c>
      <c r="E71" s="100">
        <v>2</v>
      </c>
      <c r="F71" s="100">
        <v>1</v>
      </c>
      <c r="G71" s="100">
        <v>0</v>
      </c>
      <c r="H71" s="100">
        <v>0</v>
      </c>
      <c r="I71" s="100">
        <v>2</v>
      </c>
      <c r="J71" s="100">
        <v>0</v>
      </c>
      <c r="K71" s="100">
        <v>0</v>
      </c>
      <c r="L71" s="100">
        <v>0</v>
      </c>
      <c r="M71" s="100">
        <v>36</v>
      </c>
      <c r="N71" s="100">
        <v>0</v>
      </c>
      <c r="O71" s="116">
        <f t="shared" si="0"/>
        <v>20</v>
      </c>
      <c r="P71" s="116">
        <f t="shared" si="1"/>
        <v>56</v>
      </c>
      <c r="Q71" s="57"/>
      <c r="R71" s="65"/>
      <c r="S71" s="57"/>
      <c r="T71" s="57"/>
    </row>
    <row r="72" spans="2:20" ht="23.1" customHeight="1" x14ac:dyDescent="0.25">
      <c r="B72" s="96" t="s">
        <v>112</v>
      </c>
      <c r="C72" s="100">
        <v>17</v>
      </c>
      <c r="D72" s="100">
        <v>1</v>
      </c>
      <c r="E72" s="100">
        <v>2</v>
      </c>
      <c r="F72" s="100">
        <v>2</v>
      </c>
      <c r="G72" s="100">
        <v>0</v>
      </c>
      <c r="H72" s="100">
        <v>0</v>
      </c>
      <c r="I72" s="100">
        <v>0</v>
      </c>
      <c r="J72" s="100">
        <v>1</v>
      </c>
      <c r="K72" s="100">
        <v>0</v>
      </c>
      <c r="L72" s="100">
        <v>0</v>
      </c>
      <c r="M72" s="100">
        <v>43</v>
      </c>
      <c r="N72" s="100">
        <v>0</v>
      </c>
      <c r="O72" s="116">
        <f t="shared" si="0"/>
        <v>23</v>
      </c>
      <c r="P72" s="116">
        <f t="shared" si="1"/>
        <v>66</v>
      </c>
      <c r="Q72" s="57"/>
      <c r="R72" s="65"/>
      <c r="S72" s="57"/>
      <c r="T72" s="57"/>
    </row>
    <row r="73" spans="2:20" ht="23.1" customHeight="1" x14ac:dyDescent="0.25">
      <c r="B73" s="96" t="s">
        <v>113</v>
      </c>
      <c r="C73" s="100">
        <v>9</v>
      </c>
      <c r="D73" s="100">
        <v>1</v>
      </c>
      <c r="E73" s="100">
        <v>3</v>
      </c>
      <c r="F73" s="100">
        <v>2</v>
      </c>
      <c r="G73" s="100">
        <v>0</v>
      </c>
      <c r="H73" s="100">
        <v>0</v>
      </c>
      <c r="I73" s="100">
        <v>1</v>
      </c>
      <c r="J73" s="100">
        <v>0</v>
      </c>
      <c r="K73" s="100">
        <v>0</v>
      </c>
      <c r="L73" s="100">
        <v>0</v>
      </c>
      <c r="M73" s="100">
        <v>33</v>
      </c>
      <c r="N73" s="100">
        <v>0</v>
      </c>
      <c r="O73" s="116">
        <f t="shared" si="0"/>
        <v>16</v>
      </c>
      <c r="P73" s="116">
        <f t="shared" si="1"/>
        <v>49</v>
      </c>
      <c r="Q73" s="57"/>
      <c r="R73" s="65"/>
      <c r="S73" s="57"/>
      <c r="T73" s="57"/>
    </row>
    <row r="74" spans="2:20" ht="23.1" customHeight="1" x14ac:dyDescent="0.25">
      <c r="B74" s="96" t="s">
        <v>114</v>
      </c>
      <c r="C74" s="100">
        <v>8</v>
      </c>
      <c r="D74" s="100">
        <v>3</v>
      </c>
      <c r="E74" s="100">
        <v>2</v>
      </c>
      <c r="F74" s="100">
        <v>1</v>
      </c>
      <c r="G74" s="100">
        <v>0</v>
      </c>
      <c r="H74" s="100">
        <v>0</v>
      </c>
      <c r="I74" s="100">
        <v>0</v>
      </c>
      <c r="J74" s="100">
        <v>0</v>
      </c>
      <c r="K74" s="100">
        <v>1</v>
      </c>
      <c r="L74" s="100">
        <v>0</v>
      </c>
      <c r="M74" s="100">
        <v>24</v>
      </c>
      <c r="N74" s="100">
        <v>0</v>
      </c>
      <c r="O74" s="116">
        <f t="shared" si="0"/>
        <v>15</v>
      </c>
      <c r="P74" s="116">
        <f t="shared" si="1"/>
        <v>39</v>
      </c>
      <c r="Q74" s="57"/>
      <c r="R74" s="65"/>
      <c r="S74" s="57"/>
      <c r="T74" s="57"/>
    </row>
    <row r="75" spans="2:20" ht="23.1" customHeight="1" x14ac:dyDescent="0.25">
      <c r="B75" s="96" t="s">
        <v>115</v>
      </c>
      <c r="C75" s="100">
        <v>6</v>
      </c>
      <c r="D75" s="100">
        <v>1</v>
      </c>
      <c r="E75" s="100">
        <v>0</v>
      </c>
      <c r="F75" s="100">
        <v>0</v>
      </c>
      <c r="G75" s="100">
        <v>0</v>
      </c>
      <c r="H75" s="100">
        <v>0</v>
      </c>
      <c r="I75" s="100">
        <v>1</v>
      </c>
      <c r="J75" s="100">
        <v>1</v>
      </c>
      <c r="K75" s="100">
        <v>0</v>
      </c>
      <c r="L75" s="100">
        <v>0</v>
      </c>
      <c r="M75" s="100">
        <v>18</v>
      </c>
      <c r="N75" s="100">
        <v>0</v>
      </c>
      <c r="O75" s="116">
        <f t="shared" ref="O75:O105" si="2">C75+D75+E75+F75+G75+H75+I75+J75+K75+L75+N75</f>
        <v>9</v>
      </c>
      <c r="P75" s="116">
        <f t="shared" ref="P75:P105" si="3">SUM(C75:N75)</f>
        <v>27</v>
      </c>
      <c r="Q75" s="57"/>
      <c r="R75" s="65"/>
      <c r="S75" s="57"/>
      <c r="T75" s="57"/>
    </row>
    <row r="76" spans="2:20" ht="23.1" customHeight="1" x14ac:dyDescent="0.25">
      <c r="B76" s="96" t="s">
        <v>116</v>
      </c>
      <c r="C76" s="100">
        <v>2</v>
      </c>
      <c r="D76" s="100">
        <v>0</v>
      </c>
      <c r="E76" s="100">
        <v>1</v>
      </c>
      <c r="F76" s="100">
        <v>1</v>
      </c>
      <c r="G76" s="100">
        <v>0</v>
      </c>
      <c r="H76" s="100">
        <v>0</v>
      </c>
      <c r="I76" s="100">
        <v>0</v>
      </c>
      <c r="J76" s="100">
        <v>0</v>
      </c>
      <c r="K76" s="100">
        <v>0</v>
      </c>
      <c r="L76" s="100">
        <v>0</v>
      </c>
      <c r="M76" s="100">
        <v>14</v>
      </c>
      <c r="N76" s="100">
        <v>0</v>
      </c>
      <c r="O76" s="116">
        <f t="shared" si="2"/>
        <v>4</v>
      </c>
      <c r="P76" s="116">
        <f t="shared" si="3"/>
        <v>18</v>
      </c>
      <c r="Q76" s="57"/>
      <c r="R76" s="65"/>
      <c r="S76" s="57"/>
      <c r="T76" s="57"/>
    </row>
    <row r="77" spans="2:20" ht="23.1" customHeight="1" x14ac:dyDescent="0.25">
      <c r="B77" s="96" t="s">
        <v>117</v>
      </c>
      <c r="C77" s="100">
        <v>5</v>
      </c>
      <c r="D77" s="100">
        <v>2</v>
      </c>
      <c r="E77" s="100">
        <v>0</v>
      </c>
      <c r="F77" s="100">
        <v>1</v>
      </c>
      <c r="G77" s="100">
        <v>0</v>
      </c>
      <c r="H77" s="100">
        <v>0</v>
      </c>
      <c r="I77" s="100">
        <v>1</v>
      </c>
      <c r="J77" s="100">
        <v>0</v>
      </c>
      <c r="K77" s="100">
        <v>0</v>
      </c>
      <c r="L77" s="100">
        <v>0</v>
      </c>
      <c r="M77" s="100">
        <v>22</v>
      </c>
      <c r="N77" s="100">
        <v>0</v>
      </c>
      <c r="O77" s="116">
        <f t="shared" si="2"/>
        <v>9</v>
      </c>
      <c r="P77" s="116">
        <f t="shared" si="3"/>
        <v>31</v>
      </c>
      <c r="Q77" s="57"/>
      <c r="R77" s="65"/>
      <c r="S77" s="57"/>
      <c r="T77" s="57"/>
    </row>
    <row r="78" spans="2:20" ht="23.1" customHeight="1" x14ac:dyDescent="0.25">
      <c r="B78" s="97" t="s">
        <v>118</v>
      </c>
      <c r="C78" s="100">
        <v>5</v>
      </c>
      <c r="D78" s="100">
        <v>0</v>
      </c>
      <c r="E78" s="100">
        <v>0</v>
      </c>
      <c r="F78" s="100">
        <v>1</v>
      </c>
      <c r="G78" s="100">
        <v>0</v>
      </c>
      <c r="H78" s="100">
        <v>0</v>
      </c>
      <c r="I78" s="100">
        <v>1</v>
      </c>
      <c r="J78" s="100">
        <v>0</v>
      </c>
      <c r="K78" s="100">
        <v>0</v>
      </c>
      <c r="L78" s="100">
        <v>0</v>
      </c>
      <c r="M78" s="100">
        <v>16</v>
      </c>
      <c r="N78" s="100">
        <v>0</v>
      </c>
      <c r="O78" s="116">
        <f t="shared" si="2"/>
        <v>7</v>
      </c>
      <c r="P78" s="116">
        <f t="shared" si="3"/>
        <v>23</v>
      </c>
      <c r="Q78" s="57"/>
      <c r="R78" s="65"/>
      <c r="S78" s="57"/>
      <c r="T78" s="57"/>
    </row>
    <row r="79" spans="2:20" ht="23.1" customHeight="1" x14ac:dyDescent="0.25">
      <c r="B79" s="96" t="s">
        <v>119</v>
      </c>
      <c r="C79" s="100">
        <v>6</v>
      </c>
      <c r="D79" s="100">
        <v>0</v>
      </c>
      <c r="E79" s="100">
        <v>0</v>
      </c>
      <c r="F79" s="100">
        <v>0</v>
      </c>
      <c r="G79" s="100">
        <v>0</v>
      </c>
      <c r="H79" s="100">
        <v>0</v>
      </c>
      <c r="I79" s="100">
        <v>0</v>
      </c>
      <c r="J79" s="100">
        <v>1</v>
      </c>
      <c r="K79" s="100">
        <v>0</v>
      </c>
      <c r="L79" s="100">
        <v>0</v>
      </c>
      <c r="M79" s="100">
        <v>13</v>
      </c>
      <c r="N79" s="100">
        <v>0</v>
      </c>
      <c r="O79" s="116">
        <f t="shared" si="2"/>
        <v>7</v>
      </c>
      <c r="P79" s="116">
        <f t="shared" si="3"/>
        <v>20</v>
      </c>
      <c r="Q79" s="57"/>
      <c r="R79" s="65"/>
      <c r="S79" s="57"/>
      <c r="T79" s="57"/>
    </row>
    <row r="80" spans="2:20" ht="23.1" customHeight="1" x14ac:dyDescent="0.25">
      <c r="B80" s="98" t="s">
        <v>120</v>
      </c>
      <c r="C80" s="100">
        <v>6</v>
      </c>
      <c r="D80" s="100">
        <v>1</v>
      </c>
      <c r="E80" s="100">
        <v>0</v>
      </c>
      <c r="F80" s="100">
        <v>0</v>
      </c>
      <c r="G80" s="100">
        <v>0</v>
      </c>
      <c r="H80" s="100">
        <v>0</v>
      </c>
      <c r="I80" s="100">
        <v>0</v>
      </c>
      <c r="J80" s="100">
        <v>0</v>
      </c>
      <c r="K80" s="100">
        <v>0</v>
      </c>
      <c r="L80" s="100">
        <v>0</v>
      </c>
      <c r="M80" s="100">
        <v>7</v>
      </c>
      <c r="N80" s="100">
        <v>0</v>
      </c>
      <c r="O80" s="116">
        <f t="shared" si="2"/>
        <v>7</v>
      </c>
      <c r="P80" s="116">
        <f t="shared" si="3"/>
        <v>14</v>
      </c>
      <c r="Q80" s="57"/>
      <c r="R80" s="65"/>
      <c r="S80" s="57"/>
      <c r="T80" s="57"/>
    </row>
    <row r="81" spans="2:20" ht="23.1" customHeight="1" x14ac:dyDescent="0.25">
      <c r="B81" s="96" t="s">
        <v>121</v>
      </c>
      <c r="C81" s="100">
        <v>3</v>
      </c>
      <c r="D81" s="100">
        <v>1</v>
      </c>
      <c r="E81" s="100">
        <v>1</v>
      </c>
      <c r="F81" s="100">
        <v>0</v>
      </c>
      <c r="G81" s="100">
        <v>0</v>
      </c>
      <c r="H81" s="100">
        <v>0</v>
      </c>
      <c r="I81" s="100">
        <v>0</v>
      </c>
      <c r="J81" s="100">
        <v>0</v>
      </c>
      <c r="K81" s="100">
        <v>0</v>
      </c>
      <c r="L81" s="100">
        <v>0</v>
      </c>
      <c r="M81" s="100">
        <v>12</v>
      </c>
      <c r="N81" s="100">
        <v>0</v>
      </c>
      <c r="O81" s="116">
        <f t="shared" si="2"/>
        <v>5</v>
      </c>
      <c r="P81" s="116">
        <f t="shared" si="3"/>
        <v>17</v>
      </c>
      <c r="Q81" s="57"/>
      <c r="R81" s="65"/>
      <c r="S81" s="57"/>
      <c r="T81" s="57"/>
    </row>
    <row r="82" spans="2:20" ht="23.1" customHeight="1" x14ac:dyDescent="0.25">
      <c r="B82" s="97" t="s">
        <v>122</v>
      </c>
      <c r="C82" s="100">
        <v>2</v>
      </c>
      <c r="D82" s="100">
        <v>0</v>
      </c>
      <c r="E82" s="100">
        <v>0</v>
      </c>
      <c r="F82" s="100">
        <v>2</v>
      </c>
      <c r="G82" s="100">
        <v>0</v>
      </c>
      <c r="H82" s="100">
        <v>0</v>
      </c>
      <c r="I82" s="100">
        <v>0</v>
      </c>
      <c r="J82" s="100">
        <v>0</v>
      </c>
      <c r="K82" s="100">
        <v>0</v>
      </c>
      <c r="L82" s="100">
        <v>0</v>
      </c>
      <c r="M82" s="100">
        <v>16</v>
      </c>
      <c r="N82" s="100">
        <v>0</v>
      </c>
      <c r="O82" s="116">
        <f t="shared" si="2"/>
        <v>4</v>
      </c>
      <c r="P82" s="116">
        <f t="shared" si="3"/>
        <v>20</v>
      </c>
      <c r="Q82" s="57"/>
      <c r="R82" s="65"/>
      <c r="S82" s="57"/>
      <c r="T82" s="57"/>
    </row>
    <row r="83" spans="2:20" ht="23.1" customHeight="1" x14ac:dyDescent="0.25">
      <c r="B83" s="96" t="s">
        <v>123</v>
      </c>
      <c r="C83" s="100">
        <v>4</v>
      </c>
      <c r="D83" s="100">
        <v>0</v>
      </c>
      <c r="E83" s="100">
        <v>0</v>
      </c>
      <c r="F83" s="100">
        <v>1</v>
      </c>
      <c r="G83" s="100">
        <v>0</v>
      </c>
      <c r="H83" s="100">
        <v>0</v>
      </c>
      <c r="I83" s="100">
        <v>0</v>
      </c>
      <c r="J83" s="100">
        <v>0</v>
      </c>
      <c r="K83" s="100">
        <v>0</v>
      </c>
      <c r="L83" s="100">
        <v>0</v>
      </c>
      <c r="M83" s="100">
        <v>10</v>
      </c>
      <c r="N83" s="100">
        <v>0</v>
      </c>
      <c r="O83" s="116">
        <f t="shared" si="2"/>
        <v>5</v>
      </c>
      <c r="P83" s="116">
        <f t="shared" si="3"/>
        <v>15</v>
      </c>
      <c r="Q83" s="57"/>
      <c r="R83" s="65"/>
      <c r="S83" s="57"/>
      <c r="T83" s="57"/>
    </row>
    <row r="84" spans="2:20" ht="23.1" customHeight="1" x14ac:dyDescent="0.25">
      <c r="B84" s="98" t="s">
        <v>124</v>
      </c>
      <c r="C84" s="100">
        <v>5</v>
      </c>
      <c r="D84" s="100">
        <v>1</v>
      </c>
      <c r="E84" s="100">
        <v>0</v>
      </c>
      <c r="F84" s="100">
        <v>0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0">
        <v>8</v>
      </c>
      <c r="N84" s="100">
        <v>0</v>
      </c>
      <c r="O84" s="116">
        <f t="shared" si="2"/>
        <v>6</v>
      </c>
      <c r="P84" s="116">
        <f t="shared" si="3"/>
        <v>14</v>
      </c>
      <c r="Q84" s="57"/>
      <c r="R84" s="65"/>
      <c r="S84" s="57"/>
      <c r="T84" s="57"/>
    </row>
    <row r="85" spans="2:20" ht="23.1" customHeight="1" x14ac:dyDescent="0.25">
      <c r="B85" s="96" t="s">
        <v>125</v>
      </c>
      <c r="C85" s="100">
        <v>1</v>
      </c>
      <c r="D85" s="100">
        <v>1</v>
      </c>
      <c r="E85" s="100">
        <v>0</v>
      </c>
      <c r="F85" s="100">
        <v>0</v>
      </c>
      <c r="G85" s="100">
        <v>0</v>
      </c>
      <c r="H85" s="100">
        <v>0</v>
      </c>
      <c r="I85" s="100">
        <v>0</v>
      </c>
      <c r="J85" s="100">
        <v>2</v>
      </c>
      <c r="K85" s="100">
        <v>0</v>
      </c>
      <c r="L85" s="100">
        <v>0</v>
      </c>
      <c r="M85" s="100">
        <v>8</v>
      </c>
      <c r="N85" s="100">
        <v>0</v>
      </c>
      <c r="O85" s="116">
        <f t="shared" si="2"/>
        <v>4</v>
      </c>
      <c r="P85" s="116">
        <f t="shared" si="3"/>
        <v>12</v>
      </c>
      <c r="Q85" s="57"/>
      <c r="R85" s="65"/>
      <c r="S85" s="57"/>
      <c r="T85" s="57"/>
    </row>
    <row r="86" spans="2:20" ht="23.1" customHeight="1" x14ac:dyDescent="0.25">
      <c r="B86" s="97" t="s">
        <v>126</v>
      </c>
      <c r="C86" s="100">
        <v>0</v>
      </c>
      <c r="D86" s="100">
        <v>1</v>
      </c>
      <c r="E86" s="100">
        <v>0</v>
      </c>
      <c r="F86" s="100">
        <v>0</v>
      </c>
      <c r="G86" s="100">
        <v>0</v>
      </c>
      <c r="H86" s="100">
        <v>0</v>
      </c>
      <c r="I86" s="100">
        <v>0</v>
      </c>
      <c r="J86" s="100">
        <v>0</v>
      </c>
      <c r="K86" s="100">
        <v>0</v>
      </c>
      <c r="L86" s="100">
        <v>0</v>
      </c>
      <c r="M86" s="100">
        <v>5</v>
      </c>
      <c r="N86" s="100">
        <v>0</v>
      </c>
      <c r="O86" s="116">
        <f t="shared" si="2"/>
        <v>1</v>
      </c>
      <c r="P86" s="116">
        <f t="shared" si="3"/>
        <v>6</v>
      </c>
      <c r="Q86" s="57"/>
      <c r="R86" s="65"/>
      <c r="S86" s="57"/>
      <c r="T86" s="57"/>
    </row>
    <row r="87" spans="2:20" ht="23.1" customHeight="1" x14ac:dyDescent="0.25">
      <c r="B87" s="96" t="s">
        <v>127</v>
      </c>
      <c r="C87" s="100">
        <v>0</v>
      </c>
      <c r="D87" s="100">
        <v>0</v>
      </c>
      <c r="E87" s="100">
        <v>0</v>
      </c>
      <c r="F87" s="100">
        <v>0</v>
      </c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>
        <v>0</v>
      </c>
      <c r="M87" s="100">
        <v>3</v>
      </c>
      <c r="N87" s="100">
        <v>0</v>
      </c>
      <c r="O87" s="116">
        <f t="shared" si="2"/>
        <v>0</v>
      </c>
      <c r="P87" s="116">
        <f t="shared" si="3"/>
        <v>3</v>
      </c>
      <c r="Q87" s="57"/>
      <c r="R87" s="65"/>
      <c r="S87" s="57"/>
      <c r="T87" s="57"/>
    </row>
    <row r="88" spans="2:20" ht="23.1" customHeight="1" x14ac:dyDescent="0.25">
      <c r="B88" s="98" t="s">
        <v>128</v>
      </c>
      <c r="C88" s="100">
        <v>0</v>
      </c>
      <c r="D88" s="100">
        <v>1</v>
      </c>
      <c r="E88" s="100">
        <v>0</v>
      </c>
      <c r="F88" s="100">
        <v>0</v>
      </c>
      <c r="G88" s="100">
        <v>0</v>
      </c>
      <c r="H88" s="100">
        <v>0</v>
      </c>
      <c r="I88" s="100">
        <v>1</v>
      </c>
      <c r="J88" s="100">
        <v>0</v>
      </c>
      <c r="K88" s="100">
        <v>0</v>
      </c>
      <c r="L88" s="100">
        <v>0</v>
      </c>
      <c r="M88" s="100">
        <v>3</v>
      </c>
      <c r="N88" s="100">
        <v>0</v>
      </c>
      <c r="O88" s="116">
        <f t="shared" si="2"/>
        <v>2</v>
      </c>
      <c r="P88" s="116">
        <f t="shared" si="3"/>
        <v>5</v>
      </c>
      <c r="Q88" s="57"/>
      <c r="R88" s="65"/>
      <c r="S88" s="57"/>
      <c r="T88" s="57"/>
    </row>
    <row r="89" spans="2:20" ht="23.1" customHeight="1" x14ac:dyDescent="0.25">
      <c r="B89" s="96" t="s">
        <v>129</v>
      </c>
      <c r="C89" s="100">
        <v>2</v>
      </c>
      <c r="D89" s="100">
        <v>2</v>
      </c>
      <c r="E89" s="100">
        <v>1</v>
      </c>
      <c r="F89" s="100">
        <v>0</v>
      </c>
      <c r="G89" s="100">
        <v>0</v>
      </c>
      <c r="H89" s="100">
        <v>0</v>
      </c>
      <c r="I89" s="100">
        <v>0</v>
      </c>
      <c r="J89" s="100">
        <v>0</v>
      </c>
      <c r="K89" s="100">
        <v>0</v>
      </c>
      <c r="L89" s="100">
        <v>0</v>
      </c>
      <c r="M89" s="100">
        <v>3</v>
      </c>
      <c r="N89" s="100">
        <v>0</v>
      </c>
      <c r="O89" s="116">
        <f t="shared" si="2"/>
        <v>5</v>
      </c>
      <c r="P89" s="116">
        <f t="shared" si="3"/>
        <v>8</v>
      </c>
      <c r="Q89" s="57"/>
      <c r="R89" s="65"/>
      <c r="S89" s="57"/>
      <c r="T89" s="57"/>
    </row>
    <row r="90" spans="2:20" ht="23.1" customHeight="1" x14ac:dyDescent="0.25">
      <c r="B90" s="97" t="s">
        <v>130</v>
      </c>
      <c r="C90" s="100">
        <v>0</v>
      </c>
      <c r="D90" s="100">
        <v>2</v>
      </c>
      <c r="E90" s="100">
        <v>0</v>
      </c>
      <c r="F90" s="100">
        <v>0</v>
      </c>
      <c r="G90" s="100">
        <v>0</v>
      </c>
      <c r="H90" s="100">
        <v>0</v>
      </c>
      <c r="I90" s="100">
        <v>0</v>
      </c>
      <c r="J90" s="100">
        <v>0</v>
      </c>
      <c r="K90" s="100">
        <v>0</v>
      </c>
      <c r="L90" s="100">
        <v>0</v>
      </c>
      <c r="M90" s="100">
        <v>3</v>
      </c>
      <c r="N90" s="100">
        <v>0</v>
      </c>
      <c r="O90" s="116">
        <f t="shared" si="2"/>
        <v>2</v>
      </c>
      <c r="P90" s="116">
        <f t="shared" si="3"/>
        <v>5</v>
      </c>
      <c r="Q90" s="57"/>
      <c r="R90" s="65"/>
      <c r="S90" s="57"/>
      <c r="T90" s="57"/>
    </row>
    <row r="91" spans="2:20" ht="23.1" customHeight="1" x14ac:dyDescent="0.25">
      <c r="B91" s="96" t="s">
        <v>131</v>
      </c>
      <c r="C91" s="100">
        <v>0</v>
      </c>
      <c r="D91" s="100">
        <v>0</v>
      </c>
      <c r="E91" s="100">
        <v>0</v>
      </c>
      <c r="F91" s="100">
        <v>0</v>
      </c>
      <c r="G91" s="100">
        <v>0</v>
      </c>
      <c r="H91" s="100">
        <v>0</v>
      </c>
      <c r="I91" s="100">
        <v>0</v>
      </c>
      <c r="J91" s="100">
        <v>0</v>
      </c>
      <c r="K91" s="100">
        <v>0</v>
      </c>
      <c r="L91" s="100">
        <v>0</v>
      </c>
      <c r="M91" s="100">
        <v>2</v>
      </c>
      <c r="N91" s="100">
        <v>0</v>
      </c>
      <c r="O91" s="116">
        <f t="shared" si="2"/>
        <v>0</v>
      </c>
      <c r="P91" s="116">
        <f t="shared" si="3"/>
        <v>2</v>
      </c>
      <c r="Q91" s="57"/>
      <c r="R91" s="65"/>
      <c r="S91" s="57"/>
      <c r="T91" s="57"/>
    </row>
    <row r="92" spans="2:20" ht="23.1" customHeight="1" x14ac:dyDescent="0.25">
      <c r="B92" s="98" t="s">
        <v>132</v>
      </c>
      <c r="C92" s="100">
        <v>2</v>
      </c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0">
        <v>1</v>
      </c>
      <c r="J92" s="100">
        <v>0</v>
      </c>
      <c r="K92" s="100">
        <v>0</v>
      </c>
      <c r="L92" s="100">
        <v>0</v>
      </c>
      <c r="M92" s="100">
        <v>1</v>
      </c>
      <c r="N92" s="100">
        <v>0</v>
      </c>
      <c r="O92" s="116">
        <f t="shared" si="2"/>
        <v>3</v>
      </c>
      <c r="P92" s="116">
        <f t="shared" si="3"/>
        <v>4</v>
      </c>
      <c r="Q92" s="57"/>
      <c r="R92" s="65"/>
      <c r="S92" s="57"/>
      <c r="T92" s="57"/>
    </row>
    <row r="93" spans="2:20" ht="23.1" customHeight="1" x14ac:dyDescent="0.25">
      <c r="B93" s="96" t="s">
        <v>133</v>
      </c>
      <c r="C93" s="100">
        <v>1</v>
      </c>
      <c r="D93" s="100">
        <v>0</v>
      </c>
      <c r="E93" s="100">
        <v>0</v>
      </c>
      <c r="F93" s="100">
        <v>0</v>
      </c>
      <c r="G93" s="100">
        <v>0</v>
      </c>
      <c r="H93" s="100">
        <v>0</v>
      </c>
      <c r="I93" s="100">
        <v>0</v>
      </c>
      <c r="J93" s="100">
        <v>0</v>
      </c>
      <c r="K93" s="100">
        <v>0</v>
      </c>
      <c r="L93" s="100">
        <v>0</v>
      </c>
      <c r="M93" s="100">
        <v>2</v>
      </c>
      <c r="N93" s="100">
        <v>0</v>
      </c>
      <c r="O93" s="116">
        <f t="shared" si="2"/>
        <v>1</v>
      </c>
      <c r="P93" s="116">
        <f t="shared" si="3"/>
        <v>3</v>
      </c>
      <c r="Q93" s="57"/>
      <c r="R93" s="65"/>
      <c r="S93" s="57"/>
      <c r="T93" s="57"/>
    </row>
    <row r="94" spans="2:20" ht="23.1" customHeight="1" x14ac:dyDescent="0.25">
      <c r="B94" s="97" t="s">
        <v>134</v>
      </c>
      <c r="C94" s="100">
        <v>0</v>
      </c>
      <c r="D94" s="100">
        <v>0</v>
      </c>
      <c r="E94" s="100">
        <v>0</v>
      </c>
      <c r="F94" s="100">
        <v>1</v>
      </c>
      <c r="G94" s="100">
        <v>0</v>
      </c>
      <c r="H94" s="100">
        <v>0</v>
      </c>
      <c r="I94" s="100">
        <v>0</v>
      </c>
      <c r="J94" s="100">
        <v>0</v>
      </c>
      <c r="K94" s="100">
        <v>1</v>
      </c>
      <c r="L94" s="100">
        <v>0</v>
      </c>
      <c r="M94" s="100">
        <v>2</v>
      </c>
      <c r="N94" s="100">
        <v>0</v>
      </c>
      <c r="O94" s="116">
        <f t="shared" si="2"/>
        <v>2</v>
      </c>
      <c r="P94" s="116">
        <f t="shared" si="3"/>
        <v>4</v>
      </c>
      <c r="Q94" s="57"/>
      <c r="R94" s="65"/>
      <c r="S94" s="57"/>
      <c r="T94" s="57"/>
    </row>
    <row r="95" spans="2:20" ht="23.1" customHeight="1" x14ac:dyDescent="0.25">
      <c r="B95" s="96" t="s">
        <v>135</v>
      </c>
      <c r="C95" s="100">
        <v>2</v>
      </c>
      <c r="D95" s="100">
        <v>0</v>
      </c>
      <c r="E95" s="100">
        <v>0</v>
      </c>
      <c r="F95" s="100">
        <v>0</v>
      </c>
      <c r="G95" s="100">
        <v>0</v>
      </c>
      <c r="H95" s="100">
        <v>0</v>
      </c>
      <c r="I95" s="100">
        <v>0</v>
      </c>
      <c r="J95" s="100">
        <v>0</v>
      </c>
      <c r="K95" s="100">
        <v>0</v>
      </c>
      <c r="L95" s="100">
        <v>0</v>
      </c>
      <c r="M95" s="100">
        <v>4</v>
      </c>
      <c r="N95" s="100">
        <v>0</v>
      </c>
      <c r="O95" s="116">
        <f t="shared" si="2"/>
        <v>2</v>
      </c>
      <c r="P95" s="116">
        <f t="shared" si="3"/>
        <v>6</v>
      </c>
      <c r="Q95" s="57"/>
      <c r="R95" s="65"/>
      <c r="S95" s="57"/>
      <c r="T95" s="57"/>
    </row>
    <row r="96" spans="2:20" ht="23.1" customHeight="1" x14ac:dyDescent="0.25">
      <c r="B96" s="98" t="s">
        <v>136</v>
      </c>
      <c r="C96" s="100">
        <v>0</v>
      </c>
      <c r="D96" s="100">
        <v>0</v>
      </c>
      <c r="E96" s="100">
        <v>0</v>
      </c>
      <c r="F96" s="100">
        <v>1</v>
      </c>
      <c r="G96" s="100">
        <v>0</v>
      </c>
      <c r="H96" s="100">
        <v>0</v>
      </c>
      <c r="I96" s="100">
        <v>0</v>
      </c>
      <c r="J96" s="100">
        <v>0</v>
      </c>
      <c r="K96" s="100">
        <v>0</v>
      </c>
      <c r="L96" s="100">
        <v>0</v>
      </c>
      <c r="M96" s="100">
        <v>1</v>
      </c>
      <c r="N96" s="100">
        <v>0</v>
      </c>
      <c r="O96" s="116">
        <f t="shared" si="2"/>
        <v>1</v>
      </c>
      <c r="P96" s="116">
        <f t="shared" si="3"/>
        <v>2</v>
      </c>
      <c r="Q96" s="57"/>
      <c r="R96" s="65"/>
      <c r="S96" s="57"/>
      <c r="T96" s="57"/>
    </row>
    <row r="97" spans="2:20" ht="23.1" customHeight="1" x14ac:dyDescent="0.25">
      <c r="B97" s="96" t="s">
        <v>137</v>
      </c>
      <c r="C97" s="100">
        <v>1</v>
      </c>
      <c r="D97" s="100">
        <v>0</v>
      </c>
      <c r="E97" s="100">
        <v>0</v>
      </c>
      <c r="F97" s="100">
        <v>0</v>
      </c>
      <c r="G97" s="100">
        <v>0</v>
      </c>
      <c r="H97" s="100">
        <v>0</v>
      </c>
      <c r="I97" s="100">
        <v>1</v>
      </c>
      <c r="J97" s="100">
        <v>0</v>
      </c>
      <c r="K97" s="100">
        <v>0</v>
      </c>
      <c r="L97" s="100">
        <v>0</v>
      </c>
      <c r="M97" s="100">
        <v>3</v>
      </c>
      <c r="N97" s="100">
        <v>0</v>
      </c>
      <c r="O97" s="116">
        <f t="shared" si="2"/>
        <v>2</v>
      </c>
      <c r="P97" s="116">
        <f t="shared" si="3"/>
        <v>5</v>
      </c>
      <c r="Q97" s="57"/>
      <c r="R97" s="65"/>
      <c r="S97" s="57"/>
      <c r="T97" s="57"/>
    </row>
    <row r="98" spans="2:20" ht="23.1" customHeight="1" x14ac:dyDescent="0.25">
      <c r="B98" s="97" t="s">
        <v>138</v>
      </c>
      <c r="C98" s="100">
        <v>0</v>
      </c>
      <c r="D98" s="100">
        <v>0</v>
      </c>
      <c r="E98" s="100">
        <v>1</v>
      </c>
      <c r="F98" s="100">
        <v>0</v>
      </c>
      <c r="G98" s="100">
        <v>0</v>
      </c>
      <c r="H98" s="100">
        <v>0</v>
      </c>
      <c r="I98" s="100">
        <v>0</v>
      </c>
      <c r="J98" s="100">
        <v>0</v>
      </c>
      <c r="K98" s="100">
        <v>0</v>
      </c>
      <c r="L98" s="100">
        <v>0</v>
      </c>
      <c r="M98" s="100">
        <v>6</v>
      </c>
      <c r="N98" s="100">
        <v>0</v>
      </c>
      <c r="O98" s="116">
        <f t="shared" si="2"/>
        <v>1</v>
      </c>
      <c r="P98" s="116">
        <f t="shared" si="3"/>
        <v>7</v>
      </c>
      <c r="Q98" s="57"/>
      <c r="R98" s="65"/>
      <c r="S98" s="57"/>
      <c r="T98" s="57"/>
    </row>
    <row r="99" spans="2:20" ht="23.1" customHeight="1" x14ac:dyDescent="0.25">
      <c r="B99" s="96" t="s">
        <v>139</v>
      </c>
      <c r="C99" s="100">
        <v>3</v>
      </c>
      <c r="D99" s="100">
        <v>0</v>
      </c>
      <c r="E99" s="100">
        <v>1</v>
      </c>
      <c r="F99" s="100">
        <v>2</v>
      </c>
      <c r="G99" s="100">
        <v>0</v>
      </c>
      <c r="H99" s="100">
        <v>0</v>
      </c>
      <c r="I99" s="100">
        <v>0</v>
      </c>
      <c r="J99" s="100">
        <v>1</v>
      </c>
      <c r="K99" s="100">
        <v>0</v>
      </c>
      <c r="L99" s="100">
        <v>0</v>
      </c>
      <c r="M99" s="100">
        <v>2</v>
      </c>
      <c r="N99" s="100">
        <v>0</v>
      </c>
      <c r="O99" s="116">
        <f t="shared" si="2"/>
        <v>7</v>
      </c>
      <c r="P99" s="116">
        <f t="shared" si="3"/>
        <v>9</v>
      </c>
      <c r="Q99" s="57"/>
      <c r="R99" s="65"/>
      <c r="S99" s="57"/>
      <c r="T99" s="57"/>
    </row>
    <row r="100" spans="2:20" ht="23.1" customHeight="1" x14ac:dyDescent="0.25">
      <c r="B100" s="98" t="s">
        <v>140</v>
      </c>
      <c r="C100" s="100">
        <v>4</v>
      </c>
      <c r="D100" s="100">
        <v>1</v>
      </c>
      <c r="E100" s="100">
        <v>0</v>
      </c>
      <c r="F100" s="100">
        <v>2</v>
      </c>
      <c r="G100" s="100">
        <v>0</v>
      </c>
      <c r="H100" s="100">
        <v>0</v>
      </c>
      <c r="I100" s="100">
        <v>2</v>
      </c>
      <c r="J100" s="100">
        <v>1</v>
      </c>
      <c r="K100" s="100">
        <v>0</v>
      </c>
      <c r="L100" s="100">
        <v>0</v>
      </c>
      <c r="M100" s="100">
        <v>6</v>
      </c>
      <c r="N100" s="100">
        <v>0</v>
      </c>
      <c r="O100" s="116">
        <f t="shared" si="2"/>
        <v>10</v>
      </c>
      <c r="P100" s="116">
        <f t="shared" si="3"/>
        <v>16</v>
      </c>
      <c r="Q100" s="57"/>
      <c r="R100" s="65"/>
      <c r="S100" s="57"/>
      <c r="T100" s="57"/>
    </row>
    <row r="101" spans="2:20" ht="23.1" customHeight="1" x14ac:dyDescent="0.25">
      <c r="B101" s="96" t="s">
        <v>141</v>
      </c>
      <c r="C101" s="100">
        <v>5</v>
      </c>
      <c r="D101" s="100">
        <v>0</v>
      </c>
      <c r="E101" s="100">
        <v>0</v>
      </c>
      <c r="F101" s="100">
        <v>5</v>
      </c>
      <c r="G101" s="100">
        <v>1</v>
      </c>
      <c r="H101" s="100">
        <v>0</v>
      </c>
      <c r="I101" s="100">
        <v>0</v>
      </c>
      <c r="J101" s="100">
        <v>0</v>
      </c>
      <c r="K101" s="100">
        <v>0</v>
      </c>
      <c r="L101" s="100">
        <v>0</v>
      </c>
      <c r="M101" s="100">
        <v>11</v>
      </c>
      <c r="N101" s="100">
        <v>0</v>
      </c>
      <c r="O101" s="116">
        <f t="shared" si="2"/>
        <v>11</v>
      </c>
      <c r="P101" s="116">
        <f t="shared" si="3"/>
        <v>22</v>
      </c>
      <c r="Q101" s="57"/>
      <c r="R101" s="65"/>
      <c r="S101" s="57"/>
      <c r="T101" s="57"/>
    </row>
    <row r="102" spans="2:20" ht="23.1" customHeight="1" x14ac:dyDescent="0.25">
      <c r="B102" s="97" t="s">
        <v>142</v>
      </c>
      <c r="C102" s="100">
        <v>4</v>
      </c>
      <c r="D102" s="100">
        <v>0</v>
      </c>
      <c r="E102" s="100">
        <v>1</v>
      </c>
      <c r="F102" s="100">
        <v>4</v>
      </c>
      <c r="G102" s="100">
        <v>1</v>
      </c>
      <c r="H102" s="100">
        <v>0</v>
      </c>
      <c r="I102" s="100">
        <v>0</v>
      </c>
      <c r="J102" s="100">
        <v>0</v>
      </c>
      <c r="K102" s="100">
        <v>0</v>
      </c>
      <c r="L102" s="100">
        <v>0</v>
      </c>
      <c r="M102" s="100">
        <v>15</v>
      </c>
      <c r="N102" s="100">
        <v>0</v>
      </c>
      <c r="O102" s="116">
        <f t="shared" si="2"/>
        <v>10</v>
      </c>
      <c r="P102" s="116">
        <f t="shared" si="3"/>
        <v>25</v>
      </c>
      <c r="Q102" s="57"/>
      <c r="R102" s="65"/>
      <c r="S102" s="57"/>
      <c r="T102" s="57"/>
    </row>
    <row r="103" spans="2:20" ht="23.1" customHeight="1" x14ac:dyDescent="0.25">
      <c r="B103" s="96" t="s">
        <v>143</v>
      </c>
      <c r="C103" s="100">
        <v>5</v>
      </c>
      <c r="D103" s="100">
        <v>0</v>
      </c>
      <c r="E103" s="100">
        <v>0</v>
      </c>
      <c r="F103" s="100">
        <v>2</v>
      </c>
      <c r="G103" s="100">
        <v>0</v>
      </c>
      <c r="H103" s="100">
        <v>0</v>
      </c>
      <c r="I103" s="100">
        <v>0</v>
      </c>
      <c r="J103" s="100">
        <v>1</v>
      </c>
      <c r="K103" s="100">
        <v>0</v>
      </c>
      <c r="L103" s="100">
        <v>0</v>
      </c>
      <c r="M103" s="100">
        <v>12</v>
      </c>
      <c r="N103" s="100">
        <v>0</v>
      </c>
      <c r="O103" s="116">
        <f t="shared" si="2"/>
        <v>8</v>
      </c>
      <c r="P103" s="116">
        <f t="shared" si="3"/>
        <v>20</v>
      </c>
      <c r="Q103" s="57"/>
      <c r="R103" s="65"/>
      <c r="S103" s="57"/>
      <c r="T103" s="57"/>
    </row>
    <row r="104" spans="2:20" ht="23.1" customHeight="1" x14ac:dyDescent="0.25">
      <c r="B104" s="98" t="s">
        <v>144</v>
      </c>
      <c r="C104" s="100">
        <v>2</v>
      </c>
      <c r="D104" s="100">
        <v>0</v>
      </c>
      <c r="E104" s="100">
        <v>0</v>
      </c>
      <c r="F104" s="100">
        <v>3</v>
      </c>
      <c r="G104" s="100">
        <v>0</v>
      </c>
      <c r="H104" s="100">
        <v>0</v>
      </c>
      <c r="I104" s="100">
        <v>1</v>
      </c>
      <c r="J104" s="100">
        <v>0</v>
      </c>
      <c r="K104" s="100">
        <v>0</v>
      </c>
      <c r="L104" s="100">
        <v>1</v>
      </c>
      <c r="M104" s="100">
        <v>25</v>
      </c>
      <c r="N104" s="100">
        <v>0</v>
      </c>
      <c r="O104" s="116">
        <f t="shared" si="2"/>
        <v>7</v>
      </c>
      <c r="P104" s="116">
        <f t="shared" si="3"/>
        <v>32</v>
      </c>
      <c r="Q104" s="57"/>
      <c r="R104" s="65"/>
      <c r="S104" s="57"/>
      <c r="T104" s="57"/>
    </row>
    <row r="105" spans="2:20" ht="23.1" customHeight="1" x14ac:dyDescent="0.25">
      <c r="B105" s="96" t="s">
        <v>145</v>
      </c>
      <c r="C105" s="100">
        <v>11</v>
      </c>
      <c r="D105" s="100">
        <v>1</v>
      </c>
      <c r="E105" s="100">
        <v>0</v>
      </c>
      <c r="F105" s="100">
        <v>3</v>
      </c>
      <c r="G105" s="100">
        <v>0</v>
      </c>
      <c r="H105" s="100">
        <v>0</v>
      </c>
      <c r="I105" s="100">
        <v>1</v>
      </c>
      <c r="J105" s="100">
        <v>0</v>
      </c>
      <c r="K105" s="100">
        <v>0</v>
      </c>
      <c r="L105" s="100">
        <v>0</v>
      </c>
      <c r="M105" s="100">
        <v>30</v>
      </c>
      <c r="N105" s="100">
        <v>0</v>
      </c>
      <c r="O105" s="116">
        <f t="shared" si="2"/>
        <v>16</v>
      </c>
      <c r="P105" s="116">
        <f t="shared" si="3"/>
        <v>46</v>
      </c>
      <c r="Q105" s="57"/>
      <c r="R105" s="65"/>
      <c r="S105" s="57"/>
      <c r="T105" s="57"/>
    </row>
    <row r="106" spans="2:20" ht="23.1" customHeight="1" x14ac:dyDescent="0.25">
      <c r="B106" s="77" t="s">
        <v>18</v>
      </c>
      <c r="C106" s="73">
        <v>862</v>
      </c>
      <c r="D106" s="73">
        <v>249</v>
      </c>
      <c r="E106" s="73">
        <v>156</v>
      </c>
      <c r="F106" s="73">
        <v>247</v>
      </c>
      <c r="G106" s="73">
        <v>8</v>
      </c>
      <c r="H106" s="73">
        <v>0</v>
      </c>
      <c r="I106" s="73">
        <v>164</v>
      </c>
      <c r="J106" s="73">
        <v>26</v>
      </c>
      <c r="K106" s="73">
        <v>11</v>
      </c>
      <c r="L106" s="73">
        <v>4</v>
      </c>
      <c r="M106" s="73">
        <v>2789</v>
      </c>
      <c r="N106" s="73">
        <v>1</v>
      </c>
      <c r="O106" s="73">
        <f>SUM(O10:O105)</f>
        <v>1728</v>
      </c>
      <c r="P106" s="73">
        <f>SUM(P10:P105)</f>
        <v>4517</v>
      </c>
      <c r="Q106" s="57"/>
      <c r="R106" s="65"/>
      <c r="S106" s="57"/>
      <c r="T106" s="57"/>
    </row>
    <row r="107" spans="2:20" ht="23.1" customHeight="1" x14ac:dyDescent="0.25">
      <c r="B107" s="77" t="s">
        <v>93</v>
      </c>
      <c r="C107" s="94">
        <v>0.1908346247509409</v>
      </c>
      <c r="D107" s="94">
        <v>5.5125083019703341E-2</v>
      </c>
      <c r="E107" s="94">
        <v>3.4536196590657514E-2</v>
      </c>
      <c r="F107" s="94">
        <v>5.4682311268541069E-2</v>
      </c>
      <c r="G107" s="94">
        <v>1.7710870046491033E-3</v>
      </c>
      <c r="H107" s="94">
        <v>0</v>
      </c>
      <c r="I107" s="94">
        <v>3.6307283595306619E-2</v>
      </c>
      <c r="J107" s="94">
        <v>5.7560327651095863E-3</v>
      </c>
      <c r="K107" s="94">
        <v>2.4352446313925173E-3</v>
      </c>
      <c r="L107" s="94">
        <v>8.8554350232455167E-4</v>
      </c>
      <c r="M107" s="94">
        <v>0.61744520699579364</v>
      </c>
      <c r="N107" s="94">
        <v>2.2138587558113792E-4</v>
      </c>
      <c r="O107" s="57"/>
      <c r="P107" s="57"/>
      <c r="Q107" s="57"/>
      <c r="R107" s="65"/>
      <c r="S107" s="57"/>
      <c r="T107" s="57"/>
    </row>
    <row r="108" spans="2:20" ht="23.1" customHeight="1" x14ac:dyDescent="0.25">
      <c r="B108" s="93" t="s">
        <v>94</v>
      </c>
      <c r="C108" s="95" t="e">
        <v>#REF!</v>
      </c>
      <c r="D108" s="95" t="e">
        <v>#REF!</v>
      </c>
      <c r="E108" s="95" t="e">
        <v>#REF!</v>
      </c>
      <c r="F108" s="95" t="e">
        <v>#REF!</v>
      </c>
      <c r="G108" s="95" t="e">
        <v>#REF!</v>
      </c>
      <c r="H108" s="95" t="e">
        <v>#REF!</v>
      </c>
      <c r="I108" s="95" t="e">
        <v>#REF!</v>
      </c>
      <c r="J108" s="95" t="e">
        <v>#REF!</v>
      </c>
      <c r="K108" s="95" t="e">
        <v>#REF!</v>
      </c>
      <c r="L108" s="95" t="e">
        <v>#REF!</v>
      </c>
      <c r="M108" s="95"/>
      <c r="N108" s="95" t="e">
        <v>#REF!</v>
      </c>
      <c r="O108" s="57"/>
      <c r="P108" s="57"/>
      <c r="Q108" s="64"/>
      <c r="R108" s="65"/>
      <c r="S108" s="57"/>
      <c r="T108" s="57"/>
    </row>
    <row r="109" spans="2:20" ht="23.1" customHeight="1" x14ac:dyDescent="0.25">
      <c r="B109" s="60"/>
      <c r="C109" s="75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57"/>
      <c r="P109" s="57"/>
      <c r="Q109" s="64"/>
      <c r="R109" s="65"/>
      <c r="S109" s="57"/>
      <c r="T109" s="57"/>
    </row>
    <row r="110" spans="2:20" ht="23.1" customHeight="1" x14ac:dyDescent="0.25">
      <c r="B110" s="60"/>
      <c r="C110" s="75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57"/>
      <c r="P110" s="57"/>
      <c r="Q110" s="64"/>
      <c r="R110" s="65"/>
      <c r="S110" s="57"/>
      <c r="T110" s="57"/>
    </row>
    <row r="111" spans="2:20" ht="23.1" customHeight="1" x14ac:dyDescent="0.25">
      <c r="B111" s="60"/>
      <c r="C111" s="75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57"/>
      <c r="P111" s="57"/>
      <c r="Q111" s="64"/>
      <c r="R111" s="57"/>
      <c r="S111" s="57"/>
      <c r="T111" s="57"/>
    </row>
    <row r="112" spans="2:20" ht="23.1" customHeight="1" x14ac:dyDescent="0.25">
      <c r="B112" s="60"/>
      <c r="C112" s="75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57"/>
      <c r="P112" s="57"/>
      <c r="Q112" s="64"/>
      <c r="R112" s="57"/>
      <c r="S112" s="57"/>
      <c r="T112" s="57"/>
    </row>
    <row r="113" spans="2:20" s="7" customFormat="1" ht="23.1" customHeight="1" x14ac:dyDescent="0.25"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57"/>
      <c r="P113" s="57"/>
      <c r="Q113" s="64"/>
      <c r="R113" s="64"/>
      <c r="S113" s="65"/>
      <c r="T113" s="65"/>
    </row>
    <row r="114" spans="2:20" s="7" customFormat="1" ht="23.1" customHeight="1" x14ac:dyDescent="0.25"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57"/>
      <c r="P114" s="57"/>
      <c r="Q114" s="64"/>
      <c r="R114" s="64"/>
      <c r="S114" s="65"/>
      <c r="T114" s="65"/>
    </row>
    <row r="115" spans="2:20" s="7" customFormat="1" ht="23.1" customHeight="1" x14ac:dyDescent="0.25"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57"/>
      <c r="P115" s="57"/>
      <c r="Q115" s="64"/>
      <c r="R115" s="64"/>
      <c r="S115" s="65"/>
      <c r="T115" s="65"/>
    </row>
    <row r="116" spans="2:20" s="7" customFormat="1" ht="23.1" customHeight="1" x14ac:dyDescent="0.25"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57"/>
      <c r="P116" s="57"/>
      <c r="Q116" s="64"/>
      <c r="R116" s="64"/>
      <c r="S116" s="65"/>
      <c r="T116" s="65"/>
    </row>
    <row r="117" spans="2:20" s="7" customFormat="1" ht="23.1" customHeight="1" x14ac:dyDescent="0.25"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57"/>
      <c r="P117" s="57"/>
      <c r="Q117" s="64"/>
      <c r="R117" s="64"/>
      <c r="S117" s="65"/>
      <c r="T117" s="65"/>
    </row>
    <row r="118" spans="2:20" s="7" customFormat="1" ht="23.1" customHeight="1" x14ac:dyDescent="0.25"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57"/>
      <c r="P118" s="57"/>
      <c r="Q118" s="64"/>
      <c r="R118" s="64"/>
      <c r="S118" s="65"/>
      <c r="T118" s="65"/>
    </row>
    <row r="119" spans="2:20" s="7" customFormat="1" ht="23.1" customHeight="1" x14ac:dyDescent="0.25"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57"/>
      <c r="P119" s="57"/>
      <c r="Q119" s="64"/>
      <c r="R119" s="64"/>
      <c r="S119" s="65"/>
      <c r="T119" s="65"/>
    </row>
    <row r="120" spans="2:20" s="7" customFormat="1" ht="23.1" customHeight="1" x14ac:dyDescent="0.25"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57"/>
      <c r="P120" s="57"/>
      <c r="Q120" s="64"/>
      <c r="R120" s="64"/>
      <c r="S120" s="65"/>
      <c r="T120" s="65"/>
    </row>
    <row r="121" spans="2:20" s="7" customFormat="1" ht="23.1" customHeight="1" x14ac:dyDescent="0.25"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57"/>
      <c r="P121" s="57"/>
      <c r="Q121" s="64"/>
      <c r="R121" s="64"/>
      <c r="S121" s="65"/>
      <c r="T121" s="65"/>
    </row>
    <row r="122" spans="2:20" s="7" customFormat="1" ht="23.1" customHeight="1" x14ac:dyDescent="0.25"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57"/>
      <c r="P122" s="57"/>
      <c r="Q122" s="64"/>
      <c r="R122" s="64"/>
      <c r="S122" s="65"/>
      <c r="T122" s="65"/>
    </row>
    <row r="123" spans="2:20" s="7" customFormat="1" ht="23.1" customHeight="1" x14ac:dyDescent="0.25"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57"/>
      <c r="P123" s="57"/>
      <c r="Q123" s="64"/>
      <c r="R123" s="64"/>
      <c r="S123" s="65"/>
      <c r="T123" s="65"/>
    </row>
    <row r="124" spans="2:20" s="7" customFormat="1" ht="23.1" customHeight="1" x14ac:dyDescent="0.25"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57"/>
      <c r="P124" s="57"/>
      <c r="Q124" s="64"/>
      <c r="R124" s="64"/>
      <c r="S124" s="65"/>
      <c r="T124" s="65"/>
    </row>
    <row r="125" spans="2:20" s="7" customFormat="1" ht="23.1" customHeight="1" x14ac:dyDescent="0.25"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57"/>
      <c r="P125" s="57"/>
      <c r="Q125" s="57"/>
      <c r="R125" s="64"/>
      <c r="S125" s="65"/>
      <c r="T125" s="65"/>
    </row>
    <row r="126" spans="2:20" s="7" customFormat="1" ht="23.1" customHeight="1" x14ac:dyDescent="0.25"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57"/>
      <c r="P126" s="57"/>
      <c r="Q126" s="57"/>
      <c r="R126" s="64"/>
      <c r="S126" s="65"/>
      <c r="T126" s="65"/>
    </row>
    <row r="127" spans="2:20" s="7" customFormat="1" ht="23.1" customHeight="1" x14ac:dyDescent="0.25"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57"/>
      <c r="P127" s="57"/>
      <c r="Q127" s="57"/>
      <c r="R127" s="64"/>
      <c r="S127" s="65"/>
      <c r="T127" s="65"/>
    </row>
    <row r="128" spans="2:20" s="7" customFormat="1" ht="23.1" customHeight="1" x14ac:dyDescent="0.25"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57"/>
      <c r="P128" s="57"/>
      <c r="Q128" s="57"/>
      <c r="R128" s="64"/>
      <c r="S128" s="65"/>
      <c r="T128" s="65"/>
    </row>
    <row r="129" spans="2:14" ht="23.1" customHeight="1" x14ac:dyDescent="0.25"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</row>
    <row r="130" spans="2:14" ht="23.1" customHeight="1" x14ac:dyDescent="0.25"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</row>
    <row r="131" spans="2:14" ht="23.1" customHeight="1" x14ac:dyDescent="0.25"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</row>
    <row r="132" spans="2:14" ht="23.1" customHeight="1" x14ac:dyDescent="0.25"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</row>
    <row r="133" spans="2:14" ht="23.1" customHeight="1" x14ac:dyDescent="0.25"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</row>
    <row r="134" spans="2:14" ht="23.1" customHeight="1" x14ac:dyDescent="0.25"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</row>
    <row r="135" spans="2:14" ht="23.1" customHeight="1" x14ac:dyDescent="0.25"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</row>
    <row r="136" spans="2:14" ht="23.1" customHeight="1" x14ac:dyDescent="0.25"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</row>
    <row r="137" spans="2:14" ht="23.1" customHeight="1" x14ac:dyDescent="0.25"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</row>
    <row r="138" spans="2:14" ht="23.1" customHeight="1" x14ac:dyDescent="0.25"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</row>
    <row r="139" spans="2:14" ht="23.1" customHeight="1" x14ac:dyDescent="0.25"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</row>
    <row r="140" spans="2:14" ht="23.1" customHeight="1" x14ac:dyDescent="0.25"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</row>
    <row r="141" spans="2:14" ht="23.1" customHeight="1" x14ac:dyDescent="0.25"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</row>
    <row r="142" spans="2:14" ht="23.1" customHeight="1" x14ac:dyDescent="0.25"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</row>
    <row r="143" spans="2:14" ht="23.1" customHeight="1" x14ac:dyDescent="0.25"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</row>
    <row r="144" spans="2:14" ht="23.1" customHeight="1" x14ac:dyDescent="0.25"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</row>
    <row r="145" spans="2:14" ht="23.1" customHeight="1" x14ac:dyDescent="0.25"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</row>
    <row r="146" spans="2:14" ht="23.1" customHeight="1" x14ac:dyDescent="0.25"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</row>
    <row r="147" spans="2:14" ht="23.1" customHeight="1" x14ac:dyDescent="0.25"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</row>
    <row r="148" spans="2:14" ht="23.1" customHeight="1" x14ac:dyDescent="0.25"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</row>
    <row r="149" spans="2:14" ht="23.1" customHeight="1" x14ac:dyDescent="0.25"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</row>
    <row r="150" spans="2:14" ht="23.1" customHeight="1" x14ac:dyDescent="0.25"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25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'23.09- Kasangati-Matuga'!C3:G3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145" t="str">
        <f>'26.09 Kasangati-Matugga-24h'!D5</f>
        <v>26.09.19</v>
      </c>
      <c r="E5" s="3"/>
      <c r="F5" s="41" t="s">
        <v>1</v>
      </c>
      <c r="G5" s="150" t="str">
        <f>'26.09 Kasangati-Matugga-24h'!G5:H5</f>
        <v>Kiiza-besigye road</v>
      </c>
      <c r="H5" s="151"/>
      <c r="I5" s="14"/>
      <c r="J5" s="2" t="s">
        <v>5</v>
      </c>
      <c r="K5" s="150" t="str">
        <f>'26.09 Kasangati-Matugga-24h'!K5:L5</f>
        <v>Nakiwugwe. Allen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tr">
        <f>'23.09- Matuga -Kasangati'!D6:E6</f>
        <v>Matuga</v>
      </c>
      <c r="E6" s="151"/>
      <c r="F6" s="2" t="s">
        <v>2</v>
      </c>
      <c r="G6" s="150" t="str">
        <f>'24.09 Matugga-Kasangati'!G6:H6</f>
        <v>Kasangati</v>
      </c>
      <c r="H6" s="151"/>
      <c r="J6" s="2" t="s">
        <v>21</v>
      </c>
      <c r="K6" s="150" t="str">
        <f>'26.09 Kasangati-Matugga-24h'!K6:L6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20</v>
      </c>
      <c r="D10" s="50">
        <v>3</v>
      </c>
      <c r="E10" s="50">
        <v>2</v>
      </c>
      <c r="F10" s="50">
        <v>6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35</v>
      </c>
      <c r="N10" s="50">
        <v>0</v>
      </c>
      <c r="O10" s="15">
        <f t="shared" ref="O10:O73" si="0">SUM(C10:L10,N10)</f>
        <v>32</v>
      </c>
      <c r="P10" s="15">
        <f t="shared" ref="P10:P73" si="1">SUM(C10:N10)</f>
        <v>67</v>
      </c>
      <c r="R10" s="1" t="s">
        <v>6</v>
      </c>
      <c r="S10" s="17">
        <f t="shared" ref="S10:AF10" si="2">SUM(C10:C13)</f>
        <v>78</v>
      </c>
      <c r="T10" s="17">
        <f t="shared" si="2"/>
        <v>3</v>
      </c>
      <c r="U10" s="17">
        <f t="shared" si="2"/>
        <v>7</v>
      </c>
      <c r="V10" s="17">
        <f t="shared" si="2"/>
        <v>21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175</v>
      </c>
      <c r="AD10" s="17">
        <f t="shared" si="2"/>
        <v>0</v>
      </c>
      <c r="AE10" s="31">
        <f t="shared" si="2"/>
        <v>113</v>
      </c>
      <c r="AF10" s="31">
        <f t="shared" si="2"/>
        <v>288</v>
      </c>
    </row>
    <row r="11" spans="2:32" s="6" customFormat="1" ht="23.1" customHeight="1" x14ac:dyDescent="0.25">
      <c r="B11" s="45" t="s">
        <v>38</v>
      </c>
      <c r="C11" s="50">
        <v>26</v>
      </c>
      <c r="D11" s="50">
        <v>0</v>
      </c>
      <c r="E11" s="50">
        <v>2</v>
      </c>
      <c r="F11" s="50">
        <v>2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45</v>
      </c>
      <c r="N11" s="50">
        <v>0</v>
      </c>
      <c r="O11" s="15">
        <f t="shared" si="0"/>
        <v>32</v>
      </c>
      <c r="P11" s="15">
        <f t="shared" si="1"/>
        <v>77</v>
      </c>
      <c r="R11" s="1" t="s">
        <v>7</v>
      </c>
      <c r="S11" s="17">
        <f t="shared" ref="S11:AF11" si="3">SUM(C14:C17)</f>
        <v>41</v>
      </c>
      <c r="T11" s="17">
        <f t="shared" si="3"/>
        <v>11</v>
      </c>
      <c r="U11" s="17">
        <f t="shared" si="3"/>
        <v>7</v>
      </c>
      <c r="V11" s="17">
        <f t="shared" si="3"/>
        <v>8</v>
      </c>
      <c r="W11" s="17">
        <f t="shared" si="3"/>
        <v>1</v>
      </c>
      <c r="X11" s="17">
        <f t="shared" si="3"/>
        <v>0</v>
      </c>
      <c r="Y11" s="17">
        <f t="shared" si="3"/>
        <v>10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190</v>
      </c>
      <c r="AD11" s="17">
        <f t="shared" si="3"/>
        <v>0</v>
      </c>
      <c r="AE11" s="31">
        <f t="shared" si="3"/>
        <v>79</v>
      </c>
      <c r="AF11" s="31">
        <f t="shared" si="3"/>
        <v>269</v>
      </c>
    </row>
    <row r="12" spans="2:32" ht="23.1" customHeight="1" x14ac:dyDescent="0.25">
      <c r="B12" s="45" t="s">
        <v>39</v>
      </c>
      <c r="C12" s="50">
        <v>20</v>
      </c>
      <c r="D12" s="50">
        <v>0</v>
      </c>
      <c r="E12" s="50">
        <v>1</v>
      </c>
      <c r="F12" s="50">
        <v>8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48</v>
      </c>
      <c r="N12" s="50">
        <v>0</v>
      </c>
      <c r="O12" s="15">
        <f t="shared" si="0"/>
        <v>30</v>
      </c>
      <c r="P12" s="15">
        <f t="shared" si="1"/>
        <v>78</v>
      </c>
      <c r="R12" s="1" t="s">
        <v>8</v>
      </c>
      <c r="S12" s="17">
        <f t="shared" ref="S12:AF12" si="4">SUM(C18:C21)</f>
        <v>39</v>
      </c>
      <c r="T12" s="17">
        <f t="shared" si="4"/>
        <v>7</v>
      </c>
      <c r="U12" s="17">
        <f t="shared" si="4"/>
        <v>7</v>
      </c>
      <c r="V12" s="17">
        <f t="shared" si="4"/>
        <v>11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170</v>
      </c>
      <c r="AD12" s="17">
        <f t="shared" si="4"/>
        <v>0</v>
      </c>
      <c r="AE12" s="31">
        <f t="shared" si="4"/>
        <v>74</v>
      </c>
      <c r="AF12" s="31">
        <f t="shared" si="4"/>
        <v>244</v>
      </c>
    </row>
    <row r="13" spans="2:32" ht="23.1" customHeight="1" x14ac:dyDescent="0.25">
      <c r="B13" s="45" t="s">
        <v>40</v>
      </c>
      <c r="C13" s="50">
        <v>12</v>
      </c>
      <c r="D13" s="50">
        <v>0</v>
      </c>
      <c r="E13" s="50">
        <v>2</v>
      </c>
      <c r="F13" s="50">
        <v>5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47</v>
      </c>
      <c r="N13" s="50">
        <v>0</v>
      </c>
      <c r="O13" s="15">
        <f t="shared" si="0"/>
        <v>19</v>
      </c>
      <c r="P13" s="15">
        <f t="shared" si="1"/>
        <v>66</v>
      </c>
      <c r="R13" s="1" t="s">
        <v>9</v>
      </c>
      <c r="S13" s="17">
        <f t="shared" ref="S13:AF13" si="5">SUM(C22:C25)</f>
        <v>37</v>
      </c>
      <c r="T13" s="17">
        <f t="shared" si="5"/>
        <v>11</v>
      </c>
      <c r="U13" s="17">
        <f t="shared" si="5"/>
        <v>7</v>
      </c>
      <c r="V13" s="17">
        <f t="shared" si="5"/>
        <v>6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1</v>
      </c>
      <c r="AA13" s="17">
        <f t="shared" si="5"/>
        <v>0</v>
      </c>
      <c r="AB13" s="17">
        <f t="shared" si="5"/>
        <v>1</v>
      </c>
      <c r="AC13" s="17">
        <f t="shared" si="5"/>
        <v>177</v>
      </c>
      <c r="AD13" s="17">
        <f t="shared" si="5"/>
        <v>0</v>
      </c>
      <c r="AE13" s="31">
        <f t="shared" si="5"/>
        <v>78</v>
      </c>
      <c r="AF13" s="31">
        <f t="shared" si="5"/>
        <v>255</v>
      </c>
    </row>
    <row r="14" spans="2:32" ht="23.1" customHeight="1" x14ac:dyDescent="0.25">
      <c r="B14" s="45" t="s">
        <v>41</v>
      </c>
      <c r="C14" s="50">
        <v>16</v>
      </c>
      <c r="D14" s="50">
        <v>3</v>
      </c>
      <c r="E14" s="50">
        <v>0</v>
      </c>
      <c r="F14" s="50">
        <v>1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40</v>
      </c>
      <c r="N14" s="50">
        <v>0</v>
      </c>
      <c r="O14" s="15">
        <f t="shared" si="0"/>
        <v>23</v>
      </c>
      <c r="P14" s="15">
        <f t="shared" si="1"/>
        <v>63</v>
      </c>
      <c r="R14" s="1" t="s">
        <v>10</v>
      </c>
      <c r="S14" s="17">
        <f t="shared" ref="S14:AF14" si="6">SUM(C26:C29)</f>
        <v>37</v>
      </c>
      <c r="T14" s="17">
        <f t="shared" si="6"/>
        <v>8</v>
      </c>
      <c r="U14" s="17">
        <f t="shared" si="6"/>
        <v>7</v>
      </c>
      <c r="V14" s="17">
        <f t="shared" si="6"/>
        <v>10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2</v>
      </c>
      <c r="AA14" s="17">
        <f t="shared" si="6"/>
        <v>4</v>
      </c>
      <c r="AB14" s="17">
        <f t="shared" si="6"/>
        <v>0</v>
      </c>
      <c r="AC14" s="17">
        <f t="shared" si="6"/>
        <v>129</v>
      </c>
      <c r="AD14" s="17">
        <f t="shared" si="6"/>
        <v>0</v>
      </c>
      <c r="AE14" s="31">
        <f t="shared" si="6"/>
        <v>75</v>
      </c>
      <c r="AF14" s="31">
        <f t="shared" si="6"/>
        <v>204</v>
      </c>
    </row>
    <row r="15" spans="2:32" ht="23.1" customHeight="1" x14ac:dyDescent="0.25">
      <c r="B15" s="45" t="s">
        <v>42</v>
      </c>
      <c r="C15" s="50">
        <v>8</v>
      </c>
      <c r="D15" s="50">
        <v>3</v>
      </c>
      <c r="E15" s="50">
        <v>1</v>
      </c>
      <c r="F15" s="50">
        <v>1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58</v>
      </c>
      <c r="N15" s="50">
        <v>0</v>
      </c>
      <c r="O15" s="15">
        <f t="shared" si="0"/>
        <v>15</v>
      </c>
      <c r="P15" s="15">
        <f t="shared" si="1"/>
        <v>73</v>
      </c>
      <c r="R15" s="1" t="s">
        <v>11</v>
      </c>
      <c r="S15" s="17">
        <f t="shared" ref="S15:AF15" si="7">SUM(C30:C33)</f>
        <v>29</v>
      </c>
      <c r="T15" s="17">
        <f t="shared" si="7"/>
        <v>3</v>
      </c>
      <c r="U15" s="17">
        <f t="shared" si="7"/>
        <v>4</v>
      </c>
      <c r="V15" s="17">
        <f t="shared" si="7"/>
        <v>10</v>
      </c>
      <c r="W15" s="17">
        <f t="shared" si="7"/>
        <v>0</v>
      </c>
      <c r="X15" s="17">
        <f t="shared" si="7"/>
        <v>0</v>
      </c>
      <c r="Y15" s="17">
        <f t="shared" si="7"/>
        <v>14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126</v>
      </c>
      <c r="AD15" s="17">
        <f t="shared" si="7"/>
        <v>0</v>
      </c>
      <c r="AE15" s="31">
        <f t="shared" si="7"/>
        <v>63</v>
      </c>
      <c r="AF15" s="31">
        <f t="shared" si="7"/>
        <v>189</v>
      </c>
    </row>
    <row r="16" spans="2:32" ht="23.1" customHeight="1" x14ac:dyDescent="0.25">
      <c r="B16" s="45" t="s">
        <v>43</v>
      </c>
      <c r="C16" s="50">
        <v>11</v>
      </c>
      <c r="D16" s="50">
        <v>3</v>
      </c>
      <c r="E16" s="50">
        <v>2</v>
      </c>
      <c r="F16" s="50">
        <v>5</v>
      </c>
      <c r="G16" s="50">
        <v>1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49</v>
      </c>
      <c r="N16" s="50">
        <v>0</v>
      </c>
      <c r="O16" s="15">
        <f t="shared" si="0"/>
        <v>24</v>
      </c>
      <c r="P16" s="15">
        <f t="shared" si="1"/>
        <v>73</v>
      </c>
      <c r="R16" s="1" t="s">
        <v>12</v>
      </c>
      <c r="S16" s="17">
        <f t="shared" ref="S16:AF16" si="8">SUM(C34:C37)</f>
        <v>35</v>
      </c>
      <c r="T16" s="17">
        <f t="shared" si="8"/>
        <v>3</v>
      </c>
      <c r="U16" s="17">
        <f t="shared" si="8"/>
        <v>7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142</v>
      </c>
      <c r="AD16" s="17">
        <f t="shared" si="8"/>
        <v>0</v>
      </c>
      <c r="AE16" s="31">
        <f t="shared" si="8"/>
        <v>71</v>
      </c>
      <c r="AF16" s="31">
        <f t="shared" si="8"/>
        <v>213</v>
      </c>
    </row>
    <row r="17" spans="2:32" ht="23.1" customHeight="1" x14ac:dyDescent="0.25">
      <c r="B17" s="45" t="s">
        <v>44</v>
      </c>
      <c r="C17" s="50">
        <v>6</v>
      </c>
      <c r="D17" s="50">
        <v>2</v>
      </c>
      <c r="E17" s="50">
        <v>4</v>
      </c>
      <c r="F17" s="50">
        <v>1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43</v>
      </c>
      <c r="N17" s="50">
        <v>0</v>
      </c>
      <c r="O17" s="15">
        <f t="shared" si="0"/>
        <v>17</v>
      </c>
      <c r="P17" s="15">
        <f t="shared" si="1"/>
        <v>60</v>
      </c>
      <c r="R17" s="1" t="s">
        <v>13</v>
      </c>
      <c r="S17" s="17">
        <f t="shared" ref="S17:AF17" si="9">SUM(C38:C41)</f>
        <v>27</v>
      </c>
      <c r="T17" s="17">
        <f t="shared" si="9"/>
        <v>1</v>
      </c>
      <c r="U17" s="17">
        <f t="shared" si="9"/>
        <v>11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1</v>
      </c>
      <c r="AA17" s="17">
        <f t="shared" si="9"/>
        <v>2</v>
      </c>
      <c r="AB17" s="17">
        <f t="shared" si="9"/>
        <v>0</v>
      </c>
      <c r="AC17" s="17">
        <f t="shared" si="9"/>
        <v>119</v>
      </c>
      <c r="AD17" s="17">
        <f t="shared" si="9"/>
        <v>0</v>
      </c>
      <c r="AE17" s="31">
        <f t="shared" si="9"/>
        <v>63</v>
      </c>
      <c r="AF17" s="31">
        <f t="shared" si="9"/>
        <v>182</v>
      </c>
    </row>
    <row r="18" spans="2:32" ht="23.1" customHeight="1" x14ac:dyDescent="0.25">
      <c r="B18" s="45" t="s">
        <v>45</v>
      </c>
      <c r="C18" s="50">
        <v>10</v>
      </c>
      <c r="D18" s="50">
        <v>1</v>
      </c>
      <c r="E18" s="50">
        <v>2</v>
      </c>
      <c r="F18" s="50">
        <v>6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0</v>
      </c>
      <c r="M18" s="50">
        <v>39</v>
      </c>
      <c r="N18" s="50">
        <v>0</v>
      </c>
      <c r="O18" s="15">
        <f t="shared" si="0"/>
        <v>22</v>
      </c>
      <c r="P18" s="15">
        <f t="shared" si="1"/>
        <v>61</v>
      </c>
      <c r="R18" s="1" t="s">
        <v>14</v>
      </c>
      <c r="S18" s="17">
        <f t="shared" ref="S18:AF18" si="10">SUM(C42:C45)</f>
        <v>51</v>
      </c>
      <c r="T18" s="17">
        <f t="shared" si="10"/>
        <v>6</v>
      </c>
      <c r="U18" s="17">
        <f t="shared" si="10"/>
        <v>2</v>
      </c>
      <c r="V18" s="17">
        <f t="shared" si="10"/>
        <v>10</v>
      </c>
      <c r="W18" s="17">
        <f t="shared" si="10"/>
        <v>0</v>
      </c>
      <c r="X18" s="17">
        <f t="shared" si="10"/>
        <v>1</v>
      </c>
      <c r="Y18" s="17">
        <f t="shared" si="10"/>
        <v>13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144</v>
      </c>
      <c r="AD18" s="17">
        <f t="shared" si="10"/>
        <v>0</v>
      </c>
      <c r="AE18" s="31">
        <f t="shared" si="10"/>
        <v>88</v>
      </c>
      <c r="AF18" s="31">
        <f t="shared" si="10"/>
        <v>232</v>
      </c>
    </row>
    <row r="19" spans="2:32" ht="23.1" customHeight="1" x14ac:dyDescent="0.25">
      <c r="B19" s="45" t="s">
        <v>46</v>
      </c>
      <c r="C19" s="50">
        <v>11</v>
      </c>
      <c r="D19" s="50">
        <v>1</v>
      </c>
      <c r="E19" s="50">
        <v>2</v>
      </c>
      <c r="F19" s="50">
        <v>2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54</v>
      </c>
      <c r="N19" s="50">
        <v>0</v>
      </c>
      <c r="O19" s="15">
        <f t="shared" si="0"/>
        <v>19</v>
      </c>
      <c r="P19" s="15">
        <f t="shared" si="1"/>
        <v>73</v>
      </c>
      <c r="R19" s="1" t="s">
        <v>15</v>
      </c>
      <c r="S19" s="17">
        <f t="shared" ref="S19:AF19" si="11">SUM(C46:C49)</f>
        <v>51</v>
      </c>
      <c r="T19" s="17">
        <f t="shared" si="11"/>
        <v>7</v>
      </c>
      <c r="U19" s="17">
        <f t="shared" si="11"/>
        <v>7</v>
      </c>
      <c r="V19" s="17">
        <f t="shared" si="11"/>
        <v>12</v>
      </c>
      <c r="W19" s="17">
        <f t="shared" si="11"/>
        <v>1</v>
      </c>
      <c r="X19" s="17">
        <f t="shared" si="11"/>
        <v>0</v>
      </c>
      <c r="Y19" s="17">
        <f t="shared" si="11"/>
        <v>10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145</v>
      </c>
      <c r="AD19" s="17">
        <f t="shared" si="11"/>
        <v>0</v>
      </c>
      <c r="AE19" s="31">
        <f t="shared" si="11"/>
        <v>93</v>
      </c>
      <c r="AF19" s="31">
        <f t="shared" si="11"/>
        <v>238</v>
      </c>
    </row>
    <row r="20" spans="2:32" ht="23.1" customHeight="1" x14ac:dyDescent="0.25">
      <c r="B20" s="45" t="s">
        <v>47</v>
      </c>
      <c r="C20" s="50">
        <v>5</v>
      </c>
      <c r="D20" s="50">
        <v>4</v>
      </c>
      <c r="E20" s="50">
        <v>3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41</v>
      </c>
      <c r="N20" s="50">
        <v>0</v>
      </c>
      <c r="O20" s="15">
        <f t="shared" si="0"/>
        <v>14</v>
      </c>
      <c r="P20" s="15">
        <f t="shared" si="1"/>
        <v>55</v>
      </c>
      <c r="R20" s="1" t="s">
        <v>16</v>
      </c>
      <c r="S20" s="17">
        <f t="shared" ref="S20:AF20" si="12">SUM(C50:C53)</f>
        <v>67</v>
      </c>
      <c r="T20" s="17">
        <f t="shared" si="12"/>
        <v>14</v>
      </c>
      <c r="U20" s="17">
        <f t="shared" si="12"/>
        <v>12</v>
      </c>
      <c r="V20" s="17">
        <f t="shared" si="12"/>
        <v>28</v>
      </c>
      <c r="W20" s="17">
        <f t="shared" si="12"/>
        <v>0</v>
      </c>
      <c r="X20" s="17">
        <f t="shared" si="12"/>
        <v>0</v>
      </c>
      <c r="Y20" s="17">
        <f t="shared" si="12"/>
        <v>15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191</v>
      </c>
      <c r="AD20" s="17">
        <f t="shared" si="12"/>
        <v>0</v>
      </c>
      <c r="AE20" s="31">
        <f t="shared" si="12"/>
        <v>141</v>
      </c>
      <c r="AF20" s="31">
        <f t="shared" si="12"/>
        <v>332</v>
      </c>
    </row>
    <row r="21" spans="2:32" ht="23.1" customHeight="1" x14ac:dyDescent="0.25">
      <c r="B21" s="45" t="s">
        <v>48</v>
      </c>
      <c r="C21" s="50">
        <v>13</v>
      </c>
      <c r="D21" s="50">
        <v>1</v>
      </c>
      <c r="E21" s="50">
        <v>0</v>
      </c>
      <c r="F21" s="50">
        <v>2</v>
      </c>
      <c r="G21" s="50">
        <v>0</v>
      </c>
      <c r="H21" s="50">
        <v>0</v>
      </c>
      <c r="I21" s="50">
        <v>1</v>
      </c>
      <c r="J21" s="50">
        <v>2</v>
      </c>
      <c r="K21" s="50">
        <v>0</v>
      </c>
      <c r="L21" s="50">
        <v>0</v>
      </c>
      <c r="M21" s="50">
        <v>36</v>
      </c>
      <c r="N21" s="50">
        <v>0</v>
      </c>
      <c r="O21" s="15">
        <f t="shared" si="0"/>
        <v>19</v>
      </c>
      <c r="P21" s="15">
        <f t="shared" si="1"/>
        <v>55</v>
      </c>
      <c r="R21" s="36" t="s">
        <v>20</v>
      </c>
      <c r="S21" s="34">
        <f t="shared" ref="S21:AF21" si="13">SUM(C54:C57)</f>
        <v>71</v>
      </c>
      <c r="T21" s="17">
        <f t="shared" si="13"/>
        <v>13</v>
      </c>
      <c r="U21" s="17">
        <f t="shared" si="13"/>
        <v>16</v>
      </c>
      <c r="V21" s="17">
        <f t="shared" si="13"/>
        <v>18</v>
      </c>
      <c r="W21" s="17">
        <f t="shared" si="13"/>
        <v>3</v>
      </c>
      <c r="X21" s="17">
        <f t="shared" si="13"/>
        <v>0</v>
      </c>
      <c r="Y21" s="17">
        <f t="shared" si="13"/>
        <v>9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159</v>
      </c>
      <c r="AD21" s="17">
        <f t="shared" si="13"/>
        <v>1</v>
      </c>
      <c r="AE21" s="31">
        <f t="shared" si="13"/>
        <v>131</v>
      </c>
      <c r="AF21" s="31">
        <f t="shared" si="13"/>
        <v>290</v>
      </c>
    </row>
    <row r="22" spans="2:32" ht="23.1" customHeight="1" x14ac:dyDescent="0.25">
      <c r="B22" s="45" t="s">
        <v>49</v>
      </c>
      <c r="C22" s="50">
        <v>8</v>
      </c>
      <c r="D22" s="50">
        <v>4</v>
      </c>
      <c r="E22" s="50">
        <v>3</v>
      </c>
      <c r="F22" s="50">
        <v>1</v>
      </c>
      <c r="G22" s="50">
        <v>0</v>
      </c>
      <c r="H22" s="50">
        <v>0</v>
      </c>
      <c r="I22" s="50">
        <v>4</v>
      </c>
      <c r="J22" s="50">
        <v>1</v>
      </c>
      <c r="K22" s="50">
        <v>0</v>
      </c>
      <c r="L22" s="50">
        <v>0</v>
      </c>
      <c r="M22" s="50">
        <v>42</v>
      </c>
      <c r="N22" s="50">
        <v>0</v>
      </c>
      <c r="O22" s="15">
        <f t="shared" si="0"/>
        <v>21</v>
      </c>
      <c r="P22" s="15">
        <f t="shared" si="1"/>
        <v>63</v>
      </c>
      <c r="R22" s="36" t="s">
        <v>146</v>
      </c>
      <c r="S22" s="34">
        <f>SUM(C58:C61)</f>
        <v>51</v>
      </c>
      <c r="T22" s="34">
        <f t="shared" ref="T22:AF22" si="14">SUM(D58:D61)</f>
        <v>17</v>
      </c>
      <c r="U22" s="34">
        <f t="shared" si="14"/>
        <v>14</v>
      </c>
      <c r="V22" s="34">
        <f t="shared" si="14"/>
        <v>17</v>
      </c>
      <c r="W22" s="34">
        <f t="shared" si="14"/>
        <v>2</v>
      </c>
      <c r="X22" s="34">
        <f t="shared" si="14"/>
        <v>0</v>
      </c>
      <c r="Y22" s="34">
        <f t="shared" si="14"/>
        <v>2</v>
      </c>
      <c r="Z22" s="34">
        <f t="shared" si="14"/>
        <v>2</v>
      </c>
      <c r="AA22" s="34">
        <f t="shared" si="14"/>
        <v>1</v>
      </c>
      <c r="AB22" s="34">
        <f t="shared" si="14"/>
        <v>2</v>
      </c>
      <c r="AC22" s="34">
        <f t="shared" si="14"/>
        <v>210</v>
      </c>
      <c r="AD22" s="34">
        <f t="shared" si="14"/>
        <v>0</v>
      </c>
      <c r="AE22" s="31">
        <f t="shared" si="14"/>
        <v>108</v>
      </c>
      <c r="AF22" s="31">
        <f t="shared" si="14"/>
        <v>318</v>
      </c>
    </row>
    <row r="23" spans="2:32" ht="23.1" customHeight="1" x14ac:dyDescent="0.25">
      <c r="B23" s="45" t="s">
        <v>50</v>
      </c>
      <c r="C23" s="50">
        <v>11</v>
      </c>
      <c r="D23" s="50">
        <v>3</v>
      </c>
      <c r="E23" s="50">
        <v>1</v>
      </c>
      <c r="F23" s="50">
        <v>1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44</v>
      </c>
      <c r="N23" s="50">
        <v>0</v>
      </c>
      <c r="O23" s="15">
        <f t="shared" si="0"/>
        <v>19</v>
      </c>
      <c r="P23" s="15">
        <f t="shared" si="1"/>
        <v>63</v>
      </c>
      <c r="R23" s="36" t="s">
        <v>147</v>
      </c>
      <c r="S23" s="34">
        <f>SUM(C62:C65)</f>
        <v>30</v>
      </c>
      <c r="T23" s="34">
        <f t="shared" ref="T23:AF23" si="15">SUM(D62:D65)</f>
        <v>22</v>
      </c>
      <c r="U23" s="34">
        <f t="shared" si="15"/>
        <v>11</v>
      </c>
      <c r="V23" s="34">
        <f t="shared" si="15"/>
        <v>18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4</v>
      </c>
      <c r="AA23" s="34">
        <f t="shared" si="15"/>
        <v>2</v>
      </c>
      <c r="AB23" s="34">
        <f t="shared" si="15"/>
        <v>1</v>
      </c>
      <c r="AC23" s="34">
        <f t="shared" si="15"/>
        <v>171</v>
      </c>
      <c r="AD23" s="34">
        <f t="shared" si="15"/>
        <v>0</v>
      </c>
      <c r="AE23" s="31">
        <f t="shared" si="15"/>
        <v>91</v>
      </c>
      <c r="AF23" s="31">
        <f t="shared" si="15"/>
        <v>262</v>
      </c>
    </row>
    <row r="24" spans="2:32" ht="23.1" customHeight="1" x14ac:dyDescent="0.25">
      <c r="B24" s="45" t="s">
        <v>51</v>
      </c>
      <c r="C24" s="50">
        <v>8</v>
      </c>
      <c r="D24" s="50">
        <v>2</v>
      </c>
      <c r="E24" s="50">
        <v>3</v>
      </c>
      <c r="F24" s="50">
        <v>4</v>
      </c>
      <c r="G24" s="50">
        <v>0</v>
      </c>
      <c r="H24" s="50">
        <v>0</v>
      </c>
      <c r="I24" s="50">
        <v>7</v>
      </c>
      <c r="J24" s="50">
        <v>0</v>
      </c>
      <c r="K24" s="50">
        <v>0</v>
      </c>
      <c r="L24" s="50">
        <v>1</v>
      </c>
      <c r="M24" s="50">
        <v>60</v>
      </c>
      <c r="N24" s="50">
        <v>0</v>
      </c>
      <c r="O24" s="15">
        <f t="shared" si="0"/>
        <v>25</v>
      </c>
      <c r="P24" s="15">
        <f t="shared" si="1"/>
        <v>85</v>
      </c>
      <c r="R24" s="36" t="s">
        <v>148</v>
      </c>
      <c r="S24" s="34">
        <f>SUM(C66:C69)</f>
        <v>23</v>
      </c>
      <c r="T24" s="34">
        <f t="shared" ref="T24:AF24" si="16">SUM(D66:D69)</f>
        <v>8</v>
      </c>
      <c r="U24" s="34">
        <f t="shared" si="16"/>
        <v>8</v>
      </c>
      <c r="V24" s="34">
        <f t="shared" si="16"/>
        <v>12</v>
      </c>
      <c r="W24" s="34">
        <f t="shared" si="16"/>
        <v>0</v>
      </c>
      <c r="X24" s="34">
        <f t="shared" si="16"/>
        <v>0</v>
      </c>
      <c r="Y24" s="34">
        <f t="shared" si="16"/>
        <v>5</v>
      </c>
      <c r="Z24" s="34">
        <f t="shared" si="16"/>
        <v>2</v>
      </c>
      <c r="AA24" s="34">
        <f t="shared" si="16"/>
        <v>0</v>
      </c>
      <c r="AB24" s="34">
        <f t="shared" si="16"/>
        <v>1</v>
      </c>
      <c r="AC24" s="34">
        <f t="shared" si="16"/>
        <v>118</v>
      </c>
      <c r="AD24" s="34">
        <f t="shared" si="16"/>
        <v>0</v>
      </c>
      <c r="AE24" s="31">
        <f t="shared" si="16"/>
        <v>59</v>
      </c>
      <c r="AF24" s="31">
        <f t="shared" si="16"/>
        <v>177</v>
      </c>
    </row>
    <row r="25" spans="2:32" ht="23.1" customHeight="1" x14ac:dyDescent="0.25">
      <c r="B25" s="45" t="s">
        <v>52</v>
      </c>
      <c r="C25" s="50">
        <v>10</v>
      </c>
      <c r="D25" s="50">
        <v>2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31</v>
      </c>
      <c r="N25" s="50">
        <v>0</v>
      </c>
      <c r="O25" s="15">
        <f t="shared" si="0"/>
        <v>13</v>
      </c>
      <c r="P25" s="15">
        <f t="shared" si="1"/>
        <v>44</v>
      </c>
      <c r="R25" s="36" t="s">
        <v>149</v>
      </c>
      <c r="S25" s="34">
        <f>SUM(C70:C73)</f>
        <v>20</v>
      </c>
      <c r="T25" s="34">
        <f t="shared" ref="T25:AF25" si="17">SUM(D70:D73)</f>
        <v>3</v>
      </c>
      <c r="U25" s="34">
        <f t="shared" si="17"/>
        <v>4</v>
      </c>
      <c r="V25" s="34">
        <f t="shared" si="17"/>
        <v>9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167</v>
      </c>
      <c r="AD25" s="34">
        <f t="shared" si="17"/>
        <v>0</v>
      </c>
      <c r="AE25" s="31">
        <f t="shared" si="17"/>
        <v>43</v>
      </c>
      <c r="AF25" s="31">
        <f t="shared" si="17"/>
        <v>210</v>
      </c>
    </row>
    <row r="26" spans="2:32" ht="23.1" customHeight="1" x14ac:dyDescent="0.25">
      <c r="B26" s="45" t="s">
        <v>53</v>
      </c>
      <c r="C26" s="50">
        <v>5</v>
      </c>
      <c r="D26" s="50">
        <v>4</v>
      </c>
      <c r="E26" s="50">
        <v>2</v>
      </c>
      <c r="F26" s="50">
        <v>1</v>
      </c>
      <c r="G26" s="50">
        <v>0</v>
      </c>
      <c r="H26" s="50">
        <v>0</v>
      </c>
      <c r="I26" s="50">
        <v>1</v>
      </c>
      <c r="J26" s="50">
        <v>1</v>
      </c>
      <c r="K26" s="50">
        <v>1</v>
      </c>
      <c r="L26" s="50">
        <v>0</v>
      </c>
      <c r="M26" s="50">
        <v>24</v>
      </c>
      <c r="N26" s="50">
        <v>0</v>
      </c>
      <c r="O26" s="15">
        <f t="shared" si="0"/>
        <v>15</v>
      </c>
      <c r="P26" s="15">
        <f t="shared" si="1"/>
        <v>39</v>
      </c>
      <c r="R26" s="36" t="s">
        <v>150</v>
      </c>
      <c r="S26" s="34">
        <f>SUM(C74:C77)</f>
        <v>17</v>
      </c>
      <c r="T26" s="34">
        <f t="shared" ref="T26:AF26" si="18">SUM(D74:D77)</f>
        <v>10</v>
      </c>
      <c r="U26" s="34">
        <f t="shared" si="18"/>
        <v>1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2</v>
      </c>
      <c r="AB26" s="34">
        <f t="shared" si="18"/>
        <v>0</v>
      </c>
      <c r="AC26" s="34">
        <f t="shared" si="18"/>
        <v>77</v>
      </c>
      <c r="AD26" s="34">
        <f t="shared" si="18"/>
        <v>0</v>
      </c>
      <c r="AE26" s="31">
        <f t="shared" si="18"/>
        <v>35</v>
      </c>
      <c r="AF26" s="31">
        <f t="shared" si="18"/>
        <v>112</v>
      </c>
    </row>
    <row r="27" spans="2:32" ht="23.1" customHeight="1" x14ac:dyDescent="0.25">
      <c r="B27" s="45" t="s">
        <v>54</v>
      </c>
      <c r="C27" s="50">
        <v>13</v>
      </c>
      <c r="D27" s="50">
        <v>3</v>
      </c>
      <c r="E27" s="50">
        <v>3</v>
      </c>
      <c r="F27" s="50">
        <v>3</v>
      </c>
      <c r="G27" s="50">
        <v>0</v>
      </c>
      <c r="H27" s="50">
        <v>0</v>
      </c>
      <c r="I27" s="50">
        <v>3</v>
      </c>
      <c r="J27" s="50">
        <v>1</v>
      </c>
      <c r="K27" s="50">
        <v>2</v>
      </c>
      <c r="L27" s="50">
        <v>0</v>
      </c>
      <c r="M27" s="50">
        <v>36</v>
      </c>
      <c r="N27" s="50">
        <v>0</v>
      </c>
      <c r="O27" s="15">
        <f t="shared" si="0"/>
        <v>28</v>
      </c>
      <c r="P27" s="15">
        <f t="shared" si="1"/>
        <v>64</v>
      </c>
      <c r="R27" s="36" t="s">
        <v>151</v>
      </c>
      <c r="S27" s="34">
        <f>SUM(C78:C81)</f>
        <v>8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1</v>
      </c>
      <c r="AA27" s="34">
        <f t="shared" si="19"/>
        <v>1</v>
      </c>
      <c r="AB27" s="34">
        <f t="shared" si="19"/>
        <v>0</v>
      </c>
      <c r="AC27" s="34">
        <f t="shared" si="19"/>
        <v>31</v>
      </c>
      <c r="AD27" s="34">
        <f t="shared" si="19"/>
        <v>0</v>
      </c>
      <c r="AE27" s="31">
        <f t="shared" si="19"/>
        <v>14</v>
      </c>
      <c r="AF27" s="31">
        <f t="shared" si="19"/>
        <v>45</v>
      </c>
    </row>
    <row r="28" spans="2:32" ht="23.1" customHeight="1" x14ac:dyDescent="0.25">
      <c r="B28" s="45" t="s">
        <v>55</v>
      </c>
      <c r="C28" s="50">
        <v>6</v>
      </c>
      <c r="D28" s="50">
        <v>0</v>
      </c>
      <c r="E28" s="50">
        <v>1</v>
      </c>
      <c r="F28" s="50">
        <v>4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38</v>
      </c>
      <c r="N28" s="50">
        <v>0</v>
      </c>
      <c r="O28" s="15">
        <f t="shared" si="0"/>
        <v>13</v>
      </c>
      <c r="P28" s="15">
        <f t="shared" si="1"/>
        <v>51</v>
      </c>
      <c r="R28" s="36" t="s">
        <v>152</v>
      </c>
      <c r="S28" s="34">
        <f>SUM(C82:C85)</f>
        <v>4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30</v>
      </c>
      <c r="AD28" s="34">
        <f t="shared" si="20"/>
        <v>0</v>
      </c>
      <c r="AE28" s="31">
        <f t="shared" si="20"/>
        <v>6</v>
      </c>
      <c r="AF28" s="31">
        <f t="shared" si="20"/>
        <v>36</v>
      </c>
    </row>
    <row r="29" spans="2:32" ht="23.1" customHeight="1" x14ac:dyDescent="0.25">
      <c r="B29" s="45" t="s">
        <v>56</v>
      </c>
      <c r="C29" s="50">
        <v>13</v>
      </c>
      <c r="D29" s="50">
        <v>1</v>
      </c>
      <c r="E29" s="50">
        <v>1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31</v>
      </c>
      <c r="N29" s="50">
        <v>0</v>
      </c>
      <c r="O29" s="15">
        <f t="shared" si="0"/>
        <v>19</v>
      </c>
      <c r="P29" s="15">
        <f t="shared" si="1"/>
        <v>50</v>
      </c>
      <c r="R29" s="36" t="s">
        <v>153</v>
      </c>
      <c r="S29" s="34">
        <f>SUM(C86:C89)</f>
        <v>3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9</v>
      </c>
      <c r="AD29" s="34">
        <f t="shared" si="21"/>
        <v>0</v>
      </c>
      <c r="AE29" s="31">
        <f t="shared" si="21"/>
        <v>4</v>
      </c>
      <c r="AF29" s="31">
        <f t="shared" si="21"/>
        <v>13</v>
      </c>
    </row>
    <row r="30" spans="2:32" ht="23.1" customHeight="1" x14ac:dyDescent="0.25">
      <c r="B30" s="45" t="s">
        <v>57</v>
      </c>
      <c r="C30" s="50">
        <v>10</v>
      </c>
      <c r="D30" s="50">
        <v>0</v>
      </c>
      <c r="E30" s="50">
        <v>1</v>
      </c>
      <c r="F30" s="50">
        <v>2</v>
      </c>
      <c r="G30" s="50">
        <v>0</v>
      </c>
      <c r="H30" s="50">
        <v>0</v>
      </c>
      <c r="I30" s="50">
        <v>5</v>
      </c>
      <c r="J30" s="50">
        <v>1</v>
      </c>
      <c r="K30" s="50">
        <v>0</v>
      </c>
      <c r="L30" s="50">
        <v>0</v>
      </c>
      <c r="M30" s="50">
        <v>27</v>
      </c>
      <c r="N30" s="50">
        <v>0</v>
      </c>
      <c r="O30" s="15">
        <f t="shared" si="0"/>
        <v>19</v>
      </c>
      <c r="P30" s="15">
        <f t="shared" si="1"/>
        <v>46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9</v>
      </c>
      <c r="AD30" s="34">
        <f t="shared" si="22"/>
        <v>0</v>
      </c>
      <c r="AE30" s="31">
        <f t="shared" si="22"/>
        <v>6</v>
      </c>
      <c r="AF30" s="31">
        <f t="shared" si="22"/>
        <v>15</v>
      </c>
    </row>
    <row r="31" spans="2:32" ht="23.1" customHeight="1" x14ac:dyDescent="0.25">
      <c r="B31" s="46" t="s">
        <v>58</v>
      </c>
      <c r="C31" s="50">
        <v>6</v>
      </c>
      <c r="D31" s="50">
        <v>0</v>
      </c>
      <c r="E31" s="50">
        <v>1</v>
      </c>
      <c r="F31" s="50">
        <v>2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26</v>
      </c>
      <c r="N31" s="50">
        <v>0</v>
      </c>
      <c r="O31" s="15">
        <f t="shared" si="0"/>
        <v>11</v>
      </c>
      <c r="P31" s="15">
        <f t="shared" si="1"/>
        <v>37</v>
      </c>
      <c r="R31" s="36" t="s">
        <v>155</v>
      </c>
      <c r="S31" s="34">
        <f>SUM(C94:C97)</f>
        <v>3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10</v>
      </c>
      <c r="AD31" s="34">
        <f t="shared" si="23"/>
        <v>0</v>
      </c>
      <c r="AE31" s="31">
        <f t="shared" si="23"/>
        <v>7</v>
      </c>
      <c r="AF31" s="31">
        <f t="shared" si="23"/>
        <v>17</v>
      </c>
    </row>
    <row r="32" spans="2:32" ht="23.1" customHeight="1" x14ac:dyDescent="0.25">
      <c r="B32" s="46" t="s">
        <v>59</v>
      </c>
      <c r="C32" s="50">
        <v>6</v>
      </c>
      <c r="D32" s="50">
        <v>2</v>
      </c>
      <c r="E32" s="50">
        <v>1</v>
      </c>
      <c r="F32" s="50">
        <v>3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37</v>
      </c>
      <c r="N32" s="50">
        <v>0</v>
      </c>
      <c r="O32" s="15">
        <f t="shared" si="0"/>
        <v>15</v>
      </c>
      <c r="P32" s="15">
        <f t="shared" si="1"/>
        <v>52</v>
      </c>
      <c r="R32" s="33" t="s">
        <v>156</v>
      </c>
      <c r="S32" s="34">
        <f>SUM(C98:C101)</f>
        <v>19</v>
      </c>
      <c r="T32" s="34">
        <f t="shared" ref="T32:AF32" si="24">SUM(D98:D101)</f>
        <v>2</v>
      </c>
      <c r="U32" s="34">
        <f t="shared" si="24"/>
        <v>6</v>
      </c>
      <c r="V32" s="34">
        <f t="shared" si="24"/>
        <v>12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24</v>
      </c>
      <c r="AD32" s="34">
        <f t="shared" si="24"/>
        <v>0</v>
      </c>
      <c r="AE32" s="31">
        <f t="shared" si="24"/>
        <v>42</v>
      </c>
      <c r="AF32" s="31">
        <f t="shared" si="24"/>
        <v>66</v>
      </c>
    </row>
    <row r="33" spans="2:32" ht="23.1" customHeight="1" x14ac:dyDescent="0.25">
      <c r="B33" s="45" t="s">
        <v>60</v>
      </c>
      <c r="C33" s="50">
        <v>7</v>
      </c>
      <c r="D33" s="50">
        <v>1</v>
      </c>
      <c r="E33" s="50">
        <v>1</v>
      </c>
      <c r="F33" s="50">
        <v>3</v>
      </c>
      <c r="G33" s="50">
        <v>0</v>
      </c>
      <c r="H33" s="50">
        <v>0</v>
      </c>
      <c r="I33" s="50">
        <v>5</v>
      </c>
      <c r="J33" s="50">
        <v>1</v>
      </c>
      <c r="K33" s="50">
        <v>0</v>
      </c>
      <c r="L33" s="50">
        <v>0</v>
      </c>
      <c r="M33" s="50">
        <v>36</v>
      </c>
      <c r="N33" s="50">
        <v>0</v>
      </c>
      <c r="O33" s="15">
        <f t="shared" si="0"/>
        <v>18</v>
      </c>
      <c r="P33" s="15">
        <f t="shared" si="1"/>
        <v>54</v>
      </c>
      <c r="R33" s="33" t="s">
        <v>157</v>
      </c>
      <c r="S33" s="34">
        <f>SUM(C102:C105)</f>
        <v>103</v>
      </c>
      <c r="T33" s="34">
        <f t="shared" ref="T33:AF33" si="25">SUM(D102:D105)</f>
        <v>29</v>
      </c>
      <c r="U33" s="34">
        <f t="shared" si="25"/>
        <v>13</v>
      </c>
      <c r="V33" s="34">
        <f t="shared" si="25"/>
        <v>22</v>
      </c>
      <c r="W33" s="34">
        <f t="shared" si="25"/>
        <v>4</v>
      </c>
      <c r="X33" s="34">
        <f t="shared" si="25"/>
        <v>0</v>
      </c>
      <c r="Y33" s="34">
        <f t="shared" si="25"/>
        <v>2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88</v>
      </c>
      <c r="AD33" s="34">
        <f t="shared" si="25"/>
        <v>0</v>
      </c>
      <c r="AE33" s="31">
        <f t="shared" si="25"/>
        <v>175</v>
      </c>
      <c r="AF33" s="31">
        <f t="shared" si="25"/>
        <v>263</v>
      </c>
    </row>
    <row r="34" spans="2:32" ht="23.1" customHeight="1" x14ac:dyDescent="0.25">
      <c r="B34" s="46" t="s">
        <v>61</v>
      </c>
      <c r="C34" s="50">
        <v>10</v>
      </c>
      <c r="D34" s="50">
        <v>1</v>
      </c>
      <c r="E34" s="50">
        <v>3</v>
      </c>
      <c r="F34" s="50">
        <v>2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36</v>
      </c>
      <c r="N34" s="50">
        <v>0</v>
      </c>
      <c r="O34" s="15">
        <f t="shared" si="0"/>
        <v>18</v>
      </c>
      <c r="P34" s="15">
        <f t="shared" si="1"/>
        <v>54</v>
      </c>
      <c r="R34" s="38" t="s">
        <v>90</v>
      </c>
      <c r="S34" s="39">
        <f t="shared" ref="S34:AF34" si="26">MAX(S10:S12)</f>
        <v>78</v>
      </c>
      <c r="T34" s="39">
        <f t="shared" si="26"/>
        <v>11</v>
      </c>
      <c r="U34" s="39">
        <f t="shared" si="26"/>
        <v>7</v>
      </c>
      <c r="V34" s="39">
        <f t="shared" si="26"/>
        <v>21</v>
      </c>
      <c r="W34" s="39">
        <f t="shared" si="26"/>
        <v>1</v>
      </c>
      <c r="X34" s="39">
        <f t="shared" si="26"/>
        <v>0</v>
      </c>
      <c r="Y34" s="39">
        <f t="shared" si="26"/>
        <v>10</v>
      </c>
      <c r="Z34" s="39">
        <f t="shared" si="26"/>
        <v>3</v>
      </c>
      <c r="AA34" s="39">
        <f t="shared" si="26"/>
        <v>1</v>
      </c>
      <c r="AB34" s="39">
        <f t="shared" si="26"/>
        <v>0</v>
      </c>
      <c r="AC34" s="39">
        <f t="shared" si="26"/>
        <v>190</v>
      </c>
      <c r="AD34" s="39">
        <f t="shared" si="26"/>
        <v>0</v>
      </c>
      <c r="AE34" s="40">
        <f t="shared" si="26"/>
        <v>113</v>
      </c>
      <c r="AF34" s="40">
        <f t="shared" si="26"/>
        <v>288</v>
      </c>
    </row>
    <row r="35" spans="2:32" ht="23.1" customHeight="1" x14ac:dyDescent="0.25">
      <c r="B35" s="46" t="s">
        <v>62</v>
      </c>
      <c r="C35" s="50">
        <v>10</v>
      </c>
      <c r="D35" s="50">
        <v>0</v>
      </c>
      <c r="E35" s="50">
        <v>0</v>
      </c>
      <c r="F35" s="50">
        <v>3</v>
      </c>
      <c r="G35" s="50">
        <v>0</v>
      </c>
      <c r="H35" s="50">
        <v>0</v>
      </c>
      <c r="I35" s="50">
        <v>1</v>
      </c>
      <c r="J35" s="50">
        <v>1</v>
      </c>
      <c r="K35" s="50">
        <v>1</v>
      </c>
      <c r="L35" s="50">
        <v>0</v>
      </c>
      <c r="M35" s="50">
        <v>31</v>
      </c>
      <c r="N35" s="50">
        <v>0</v>
      </c>
      <c r="O35" s="15">
        <f t="shared" si="0"/>
        <v>16</v>
      </c>
      <c r="P35" s="15">
        <f t="shared" si="1"/>
        <v>47</v>
      </c>
      <c r="R35" s="38" t="s">
        <v>91</v>
      </c>
      <c r="S35" s="39">
        <f t="shared" ref="S35:AF35" si="27">MAX(S13:S18)</f>
        <v>51</v>
      </c>
      <c r="T35" s="39">
        <f t="shared" si="27"/>
        <v>11</v>
      </c>
      <c r="U35" s="39">
        <f t="shared" si="27"/>
        <v>11</v>
      </c>
      <c r="V35" s="39">
        <f t="shared" si="27"/>
        <v>10</v>
      </c>
      <c r="W35" s="39">
        <f t="shared" si="27"/>
        <v>0</v>
      </c>
      <c r="X35" s="39">
        <f t="shared" si="27"/>
        <v>1</v>
      </c>
      <c r="Y35" s="39">
        <f t="shared" si="27"/>
        <v>15</v>
      </c>
      <c r="Z35" s="39">
        <f t="shared" si="27"/>
        <v>5</v>
      </c>
      <c r="AA35" s="39">
        <f t="shared" si="27"/>
        <v>4</v>
      </c>
      <c r="AB35" s="39">
        <f t="shared" si="27"/>
        <v>1</v>
      </c>
      <c r="AC35" s="39">
        <f t="shared" si="27"/>
        <v>177</v>
      </c>
      <c r="AD35" s="39">
        <f t="shared" si="27"/>
        <v>0</v>
      </c>
      <c r="AE35" s="40">
        <f t="shared" si="27"/>
        <v>88</v>
      </c>
      <c r="AF35" s="40">
        <f t="shared" si="27"/>
        <v>255</v>
      </c>
    </row>
    <row r="36" spans="2:32" ht="23.1" customHeight="1" x14ac:dyDescent="0.25">
      <c r="B36" s="46" t="s">
        <v>63</v>
      </c>
      <c r="C36" s="50">
        <v>7</v>
      </c>
      <c r="D36" s="50">
        <v>1</v>
      </c>
      <c r="E36" s="50">
        <v>1</v>
      </c>
      <c r="F36" s="50">
        <v>3</v>
      </c>
      <c r="G36" s="50">
        <v>0</v>
      </c>
      <c r="H36" s="50">
        <v>0</v>
      </c>
      <c r="I36" s="50">
        <v>5</v>
      </c>
      <c r="J36" s="50">
        <v>0</v>
      </c>
      <c r="K36" s="50">
        <v>0</v>
      </c>
      <c r="L36" s="50">
        <v>0</v>
      </c>
      <c r="M36" s="50">
        <v>39</v>
      </c>
      <c r="N36" s="50">
        <v>0</v>
      </c>
      <c r="O36" s="15">
        <f t="shared" si="0"/>
        <v>17</v>
      </c>
      <c r="P36" s="15">
        <f t="shared" si="1"/>
        <v>56</v>
      </c>
      <c r="R36" s="38" t="s">
        <v>92</v>
      </c>
      <c r="S36" s="39">
        <f t="shared" ref="S36:AF36" si="28">MAX(S19:S21)</f>
        <v>71</v>
      </c>
      <c r="T36" s="39">
        <f t="shared" si="28"/>
        <v>14</v>
      </c>
      <c r="U36" s="39">
        <f t="shared" si="28"/>
        <v>16</v>
      </c>
      <c r="V36" s="39">
        <f t="shared" si="28"/>
        <v>28</v>
      </c>
      <c r="W36" s="39">
        <f t="shared" si="28"/>
        <v>3</v>
      </c>
      <c r="X36" s="39">
        <f t="shared" si="28"/>
        <v>0</v>
      </c>
      <c r="Y36" s="39">
        <f t="shared" si="28"/>
        <v>15</v>
      </c>
      <c r="Z36" s="39">
        <f t="shared" si="28"/>
        <v>5</v>
      </c>
      <c r="AA36" s="39">
        <f t="shared" si="28"/>
        <v>1</v>
      </c>
      <c r="AB36" s="39">
        <f t="shared" si="28"/>
        <v>0</v>
      </c>
      <c r="AC36" s="39">
        <f t="shared" si="28"/>
        <v>191</v>
      </c>
      <c r="AD36" s="39">
        <f t="shared" si="28"/>
        <v>1</v>
      </c>
      <c r="AE36" s="40">
        <f t="shared" si="28"/>
        <v>141</v>
      </c>
      <c r="AF36" s="40">
        <f t="shared" si="28"/>
        <v>332</v>
      </c>
    </row>
    <row r="37" spans="2:32" ht="23.1" customHeight="1" x14ac:dyDescent="0.25">
      <c r="B37" s="45" t="s">
        <v>64</v>
      </c>
      <c r="C37" s="50">
        <v>8</v>
      </c>
      <c r="D37" s="50">
        <v>1</v>
      </c>
      <c r="E37" s="50">
        <v>3</v>
      </c>
      <c r="F37" s="50">
        <v>2</v>
      </c>
      <c r="G37" s="50">
        <v>0</v>
      </c>
      <c r="H37" s="50">
        <v>0</v>
      </c>
      <c r="I37" s="50">
        <v>6</v>
      </c>
      <c r="J37" s="50">
        <v>0</v>
      </c>
      <c r="K37" s="50">
        <v>0</v>
      </c>
      <c r="L37" s="50">
        <v>0</v>
      </c>
      <c r="M37" s="50">
        <v>36</v>
      </c>
      <c r="N37" s="50">
        <v>0</v>
      </c>
      <c r="O37" s="15">
        <f t="shared" si="0"/>
        <v>20</v>
      </c>
      <c r="P37" s="15">
        <f t="shared" si="1"/>
        <v>56</v>
      </c>
      <c r="R37" s="37" t="s">
        <v>85</v>
      </c>
      <c r="S37" s="35">
        <f t="shared" ref="S37:AF37" si="29">SUM(S10:S12)</f>
        <v>158</v>
      </c>
      <c r="T37" s="16">
        <f t="shared" si="29"/>
        <v>21</v>
      </c>
      <c r="U37" s="16">
        <f t="shared" si="29"/>
        <v>21</v>
      </c>
      <c r="V37" s="16">
        <f t="shared" si="29"/>
        <v>40</v>
      </c>
      <c r="W37" s="16">
        <f t="shared" si="29"/>
        <v>1</v>
      </c>
      <c r="X37" s="16">
        <f t="shared" si="29"/>
        <v>0</v>
      </c>
      <c r="Y37" s="16">
        <f t="shared" si="29"/>
        <v>19</v>
      </c>
      <c r="Z37" s="16">
        <f t="shared" si="29"/>
        <v>5</v>
      </c>
      <c r="AA37" s="16">
        <f t="shared" si="29"/>
        <v>1</v>
      </c>
      <c r="AB37" s="16">
        <f t="shared" si="29"/>
        <v>0</v>
      </c>
      <c r="AC37" s="16">
        <f t="shared" si="29"/>
        <v>535</v>
      </c>
      <c r="AD37" s="16">
        <f t="shared" si="29"/>
        <v>0</v>
      </c>
      <c r="AE37" s="32">
        <f t="shared" si="29"/>
        <v>266</v>
      </c>
      <c r="AF37" s="32">
        <f t="shared" si="29"/>
        <v>801</v>
      </c>
    </row>
    <row r="38" spans="2:32" ht="23.1" customHeight="1" x14ac:dyDescent="0.25">
      <c r="B38" s="46" t="s">
        <v>65</v>
      </c>
      <c r="C38" s="50">
        <v>11</v>
      </c>
      <c r="D38" s="50">
        <v>0</v>
      </c>
      <c r="E38" s="50">
        <v>2</v>
      </c>
      <c r="F38" s="50">
        <v>1</v>
      </c>
      <c r="G38" s="50">
        <v>0</v>
      </c>
      <c r="H38" s="50">
        <v>0</v>
      </c>
      <c r="I38" s="50">
        <v>5</v>
      </c>
      <c r="J38" s="50">
        <v>0</v>
      </c>
      <c r="K38" s="50">
        <v>0</v>
      </c>
      <c r="L38" s="50">
        <v>0</v>
      </c>
      <c r="M38" s="50">
        <v>36</v>
      </c>
      <c r="N38" s="50">
        <v>0</v>
      </c>
      <c r="O38" s="15">
        <f t="shared" si="0"/>
        <v>19</v>
      </c>
      <c r="P38" s="15">
        <f t="shared" si="1"/>
        <v>55</v>
      </c>
      <c r="R38" s="28" t="s">
        <v>86</v>
      </c>
      <c r="S38" s="16">
        <f t="shared" ref="S38:AF38" si="30">SUM(S13:S18)</f>
        <v>216</v>
      </c>
      <c r="T38" s="16">
        <f t="shared" si="30"/>
        <v>32</v>
      </c>
      <c r="U38" s="16">
        <f t="shared" si="30"/>
        <v>38</v>
      </c>
      <c r="V38" s="16">
        <f t="shared" si="30"/>
        <v>55</v>
      </c>
      <c r="W38" s="16">
        <f t="shared" si="30"/>
        <v>0</v>
      </c>
      <c r="X38" s="16">
        <f t="shared" si="30"/>
        <v>1</v>
      </c>
      <c r="Y38" s="16">
        <f t="shared" si="30"/>
        <v>75</v>
      </c>
      <c r="Z38" s="16">
        <f t="shared" si="30"/>
        <v>13</v>
      </c>
      <c r="AA38" s="16">
        <f t="shared" si="30"/>
        <v>7</v>
      </c>
      <c r="AB38" s="16">
        <f t="shared" si="30"/>
        <v>1</v>
      </c>
      <c r="AC38" s="16">
        <f t="shared" si="30"/>
        <v>837</v>
      </c>
      <c r="AD38" s="16">
        <f t="shared" si="30"/>
        <v>0</v>
      </c>
      <c r="AE38" s="32">
        <f t="shared" si="30"/>
        <v>438</v>
      </c>
      <c r="AF38" s="32">
        <f t="shared" si="30"/>
        <v>1275</v>
      </c>
    </row>
    <row r="39" spans="2:32" ht="23.1" customHeight="1" x14ac:dyDescent="0.25">
      <c r="B39" s="46" t="s">
        <v>66</v>
      </c>
      <c r="C39" s="50">
        <v>4</v>
      </c>
      <c r="D39" s="50">
        <v>0</v>
      </c>
      <c r="E39" s="50">
        <v>1</v>
      </c>
      <c r="F39" s="50">
        <v>2</v>
      </c>
      <c r="G39" s="50">
        <v>0</v>
      </c>
      <c r="H39" s="50">
        <v>0</v>
      </c>
      <c r="I39" s="50">
        <v>2</v>
      </c>
      <c r="J39" s="50">
        <v>0</v>
      </c>
      <c r="K39" s="50">
        <v>1</v>
      </c>
      <c r="L39" s="50">
        <v>0</v>
      </c>
      <c r="M39" s="50">
        <v>28</v>
      </c>
      <c r="N39" s="50">
        <v>0</v>
      </c>
      <c r="O39" s="15">
        <f t="shared" si="0"/>
        <v>10</v>
      </c>
      <c r="P39" s="15">
        <f t="shared" si="1"/>
        <v>38</v>
      </c>
      <c r="R39" s="29" t="s">
        <v>87</v>
      </c>
      <c r="S39" s="16">
        <f t="shared" ref="S39:AF39" si="31">SUM(S19:S21)</f>
        <v>189</v>
      </c>
      <c r="T39" s="16">
        <f t="shared" si="31"/>
        <v>34</v>
      </c>
      <c r="U39" s="16">
        <f t="shared" si="31"/>
        <v>35</v>
      </c>
      <c r="V39" s="16">
        <f t="shared" si="31"/>
        <v>58</v>
      </c>
      <c r="W39" s="16">
        <f t="shared" si="31"/>
        <v>4</v>
      </c>
      <c r="X39" s="16">
        <f t="shared" si="31"/>
        <v>0</v>
      </c>
      <c r="Y39" s="16">
        <f t="shared" si="31"/>
        <v>34</v>
      </c>
      <c r="Z39" s="16">
        <f t="shared" si="31"/>
        <v>9</v>
      </c>
      <c r="AA39" s="16">
        <f t="shared" si="31"/>
        <v>1</v>
      </c>
      <c r="AB39" s="16">
        <f t="shared" si="31"/>
        <v>0</v>
      </c>
      <c r="AC39" s="16">
        <f t="shared" si="31"/>
        <v>495</v>
      </c>
      <c r="AD39" s="16">
        <f t="shared" si="31"/>
        <v>1</v>
      </c>
      <c r="AE39" s="32">
        <f t="shared" si="31"/>
        <v>365</v>
      </c>
      <c r="AF39" s="32">
        <f t="shared" si="31"/>
        <v>860</v>
      </c>
    </row>
    <row r="40" spans="2:32" ht="23.1" customHeight="1" x14ac:dyDescent="0.25">
      <c r="B40" s="46" t="s">
        <v>67</v>
      </c>
      <c r="C40" s="50">
        <v>6</v>
      </c>
      <c r="D40" s="50">
        <v>1</v>
      </c>
      <c r="E40" s="50">
        <v>3</v>
      </c>
      <c r="F40" s="50">
        <v>5</v>
      </c>
      <c r="G40" s="50">
        <v>0</v>
      </c>
      <c r="H40" s="50">
        <v>0</v>
      </c>
      <c r="I40" s="50">
        <v>2</v>
      </c>
      <c r="J40" s="50">
        <v>0</v>
      </c>
      <c r="K40" s="50">
        <v>1</v>
      </c>
      <c r="L40" s="50">
        <v>0</v>
      </c>
      <c r="M40" s="50">
        <v>38</v>
      </c>
      <c r="N40" s="50">
        <v>0</v>
      </c>
      <c r="O40" s="15">
        <f t="shared" si="0"/>
        <v>18</v>
      </c>
      <c r="P40" s="15">
        <f t="shared" si="1"/>
        <v>56</v>
      </c>
      <c r="R40" s="5" t="s">
        <v>17</v>
      </c>
      <c r="S40" s="16">
        <f t="shared" ref="S40:AF40" si="32">SUM(S10:S21)</f>
        <v>563</v>
      </c>
      <c r="T40" s="16">
        <f t="shared" si="32"/>
        <v>87</v>
      </c>
      <c r="U40" s="16">
        <f t="shared" si="32"/>
        <v>94</v>
      </c>
      <c r="V40" s="16">
        <f t="shared" si="32"/>
        <v>153</v>
      </c>
      <c r="W40" s="16">
        <f t="shared" si="32"/>
        <v>5</v>
      </c>
      <c r="X40" s="16">
        <f t="shared" si="32"/>
        <v>1</v>
      </c>
      <c r="Y40" s="16">
        <f t="shared" si="32"/>
        <v>128</v>
      </c>
      <c r="Z40" s="16">
        <f t="shared" si="32"/>
        <v>27</v>
      </c>
      <c r="AA40" s="16">
        <f t="shared" si="32"/>
        <v>9</v>
      </c>
      <c r="AB40" s="16">
        <f t="shared" si="32"/>
        <v>1</v>
      </c>
      <c r="AC40" s="16">
        <f t="shared" si="32"/>
        <v>1867</v>
      </c>
      <c r="AD40" s="16">
        <f t="shared" si="32"/>
        <v>1</v>
      </c>
      <c r="AE40" s="32">
        <f t="shared" si="32"/>
        <v>1069</v>
      </c>
      <c r="AF40" s="32">
        <f t="shared" si="32"/>
        <v>2936</v>
      </c>
    </row>
    <row r="41" spans="2:32" ht="23.1" customHeight="1" x14ac:dyDescent="0.25">
      <c r="B41" s="45" t="s">
        <v>68</v>
      </c>
      <c r="C41" s="50">
        <v>6</v>
      </c>
      <c r="D41" s="50">
        <v>0</v>
      </c>
      <c r="E41" s="50">
        <v>5</v>
      </c>
      <c r="F41" s="50">
        <v>1</v>
      </c>
      <c r="G41" s="50">
        <v>0</v>
      </c>
      <c r="H41" s="50">
        <v>0</v>
      </c>
      <c r="I41" s="50">
        <v>3</v>
      </c>
      <c r="J41" s="50">
        <v>1</v>
      </c>
      <c r="K41" s="50">
        <v>0</v>
      </c>
      <c r="L41" s="50">
        <v>0</v>
      </c>
      <c r="M41" s="50">
        <v>17</v>
      </c>
      <c r="N41" s="50">
        <v>0</v>
      </c>
      <c r="O41" s="15">
        <f t="shared" si="0"/>
        <v>16</v>
      </c>
      <c r="P41" s="15">
        <f t="shared" si="1"/>
        <v>33</v>
      </c>
      <c r="R41" s="5" t="s">
        <v>159</v>
      </c>
      <c r="S41" s="16">
        <f>SUM(S10:S33)</f>
        <v>847</v>
      </c>
      <c r="T41" s="16">
        <f t="shared" ref="T41:AF41" si="33">SUM(T10:T33)</f>
        <v>180</v>
      </c>
      <c r="U41" s="16">
        <f t="shared" si="33"/>
        <v>154</v>
      </c>
      <c r="V41" s="16">
        <f t="shared" si="33"/>
        <v>248</v>
      </c>
      <c r="W41" s="16">
        <f t="shared" si="33"/>
        <v>11</v>
      </c>
      <c r="X41" s="16">
        <f t="shared" si="33"/>
        <v>1</v>
      </c>
      <c r="Y41" s="16">
        <f t="shared" si="33"/>
        <v>150</v>
      </c>
      <c r="Z41" s="16">
        <f t="shared" si="33"/>
        <v>47</v>
      </c>
      <c r="AA41" s="16">
        <f t="shared" si="33"/>
        <v>15</v>
      </c>
      <c r="AB41" s="16">
        <f t="shared" si="33"/>
        <v>5</v>
      </c>
      <c r="AC41" s="16">
        <f t="shared" si="33"/>
        <v>2811</v>
      </c>
      <c r="AD41" s="16">
        <f t="shared" si="33"/>
        <v>1</v>
      </c>
      <c r="AE41" s="32">
        <f t="shared" si="33"/>
        <v>1659</v>
      </c>
      <c r="AF41" s="32">
        <f t="shared" si="33"/>
        <v>4470</v>
      </c>
    </row>
    <row r="42" spans="2:32" ht="23.1" customHeight="1" x14ac:dyDescent="0.25">
      <c r="B42" s="46" t="s">
        <v>69</v>
      </c>
      <c r="C42" s="50">
        <v>9</v>
      </c>
      <c r="D42" s="50">
        <v>3</v>
      </c>
      <c r="E42" s="50">
        <v>0</v>
      </c>
      <c r="F42" s="50">
        <v>1</v>
      </c>
      <c r="G42" s="50">
        <v>0</v>
      </c>
      <c r="H42" s="50">
        <v>1</v>
      </c>
      <c r="I42" s="50">
        <v>6</v>
      </c>
      <c r="J42" s="50">
        <v>1</v>
      </c>
      <c r="K42" s="50">
        <v>0</v>
      </c>
      <c r="L42" s="50">
        <v>0</v>
      </c>
      <c r="M42" s="50">
        <v>34</v>
      </c>
      <c r="N42" s="50">
        <v>0</v>
      </c>
      <c r="O42" s="15">
        <f t="shared" si="0"/>
        <v>21</v>
      </c>
      <c r="P42" s="15">
        <f t="shared" si="1"/>
        <v>55</v>
      </c>
      <c r="R42" s="5" t="s">
        <v>160</v>
      </c>
      <c r="S42" s="48">
        <f>S41/S40</f>
        <v>1.5044404973357015</v>
      </c>
      <c r="T42" s="48">
        <f t="shared" ref="T42:AF42" si="34">T41/T40</f>
        <v>2.0689655172413794</v>
      </c>
      <c r="U42" s="48">
        <f t="shared" si="34"/>
        <v>1.6382978723404256</v>
      </c>
      <c r="V42" s="48">
        <f t="shared" si="34"/>
        <v>1.6209150326797386</v>
      </c>
      <c r="W42" s="48">
        <f t="shared" si="34"/>
        <v>2.2000000000000002</v>
      </c>
      <c r="X42" s="48">
        <f t="shared" si="34"/>
        <v>1</v>
      </c>
      <c r="Y42" s="48">
        <f t="shared" si="34"/>
        <v>1.171875</v>
      </c>
      <c r="Z42" s="48">
        <f t="shared" si="34"/>
        <v>1.7407407407407407</v>
      </c>
      <c r="AA42" s="48">
        <f t="shared" si="34"/>
        <v>1.6666666666666667</v>
      </c>
      <c r="AB42" s="48">
        <f t="shared" si="34"/>
        <v>5</v>
      </c>
      <c r="AC42" s="48">
        <f t="shared" si="34"/>
        <v>1.5056239957150508</v>
      </c>
      <c r="AD42" s="48">
        <f t="shared" si="34"/>
        <v>1</v>
      </c>
      <c r="AE42" s="48">
        <f t="shared" si="34"/>
        <v>1.5519176800748362</v>
      </c>
      <c r="AF42" s="48">
        <f t="shared" si="34"/>
        <v>1.5224795640326976</v>
      </c>
    </row>
    <row r="43" spans="2:32" ht="23.1" customHeight="1" x14ac:dyDescent="0.25">
      <c r="B43" s="45" t="s">
        <v>70</v>
      </c>
      <c r="C43" s="50">
        <v>19</v>
      </c>
      <c r="D43" s="50">
        <v>1</v>
      </c>
      <c r="E43" s="50">
        <v>1</v>
      </c>
      <c r="F43" s="50">
        <v>4</v>
      </c>
      <c r="G43" s="50">
        <v>0</v>
      </c>
      <c r="H43" s="50">
        <v>0</v>
      </c>
      <c r="I43" s="50">
        <v>6</v>
      </c>
      <c r="J43" s="50">
        <v>0</v>
      </c>
      <c r="K43" s="50">
        <v>0</v>
      </c>
      <c r="L43" s="50">
        <v>0</v>
      </c>
      <c r="M43" s="50">
        <v>46</v>
      </c>
      <c r="N43" s="50">
        <v>0</v>
      </c>
      <c r="O43" s="15">
        <f t="shared" si="0"/>
        <v>31</v>
      </c>
      <c r="P43" s="15">
        <f t="shared" si="1"/>
        <v>77</v>
      </c>
    </row>
    <row r="44" spans="2:32" ht="23.1" customHeight="1" x14ac:dyDescent="0.25">
      <c r="B44" s="47" t="s">
        <v>71</v>
      </c>
      <c r="C44" s="50">
        <v>8</v>
      </c>
      <c r="D44" s="50">
        <v>0</v>
      </c>
      <c r="E44" s="50">
        <v>1</v>
      </c>
      <c r="F44" s="50">
        <v>3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23</v>
      </c>
      <c r="N44" s="50">
        <v>0</v>
      </c>
      <c r="O44" s="15">
        <f t="shared" si="0"/>
        <v>13</v>
      </c>
      <c r="P44" s="15">
        <f t="shared" si="1"/>
        <v>36</v>
      </c>
    </row>
    <row r="45" spans="2:32" ht="23.1" customHeight="1" x14ac:dyDescent="0.25">
      <c r="B45" s="45" t="s">
        <v>72</v>
      </c>
      <c r="C45" s="50">
        <v>15</v>
      </c>
      <c r="D45" s="50">
        <v>2</v>
      </c>
      <c r="E45" s="50">
        <v>0</v>
      </c>
      <c r="F45" s="50">
        <v>2</v>
      </c>
      <c r="G45" s="50">
        <v>0</v>
      </c>
      <c r="H45" s="50">
        <v>0</v>
      </c>
      <c r="I45" s="50">
        <v>1</v>
      </c>
      <c r="J45" s="50">
        <v>3</v>
      </c>
      <c r="K45" s="50">
        <v>0</v>
      </c>
      <c r="L45" s="50">
        <v>0</v>
      </c>
      <c r="M45" s="50">
        <v>41</v>
      </c>
      <c r="N45" s="50">
        <v>0</v>
      </c>
      <c r="O45" s="15">
        <f t="shared" si="0"/>
        <v>23</v>
      </c>
      <c r="P45" s="15">
        <f t="shared" si="1"/>
        <v>64</v>
      </c>
    </row>
    <row r="46" spans="2:32" ht="23.1" customHeight="1" x14ac:dyDescent="0.25">
      <c r="B46" s="46" t="s">
        <v>73</v>
      </c>
      <c r="C46" s="50">
        <v>12</v>
      </c>
      <c r="D46" s="50">
        <v>2</v>
      </c>
      <c r="E46" s="50">
        <v>1</v>
      </c>
      <c r="F46" s="50">
        <v>4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35</v>
      </c>
      <c r="N46" s="50">
        <v>0</v>
      </c>
      <c r="O46" s="15">
        <f t="shared" si="0"/>
        <v>22</v>
      </c>
      <c r="P46" s="15">
        <f t="shared" si="1"/>
        <v>57</v>
      </c>
      <c r="R46" s="8"/>
      <c r="T46"/>
    </row>
    <row r="47" spans="2:32" ht="23.1" customHeight="1" x14ac:dyDescent="0.25">
      <c r="B47" s="46" t="s">
        <v>74</v>
      </c>
      <c r="C47" s="50">
        <v>14</v>
      </c>
      <c r="D47" s="50">
        <v>2</v>
      </c>
      <c r="E47" s="50">
        <v>1</v>
      </c>
      <c r="F47" s="50">
        <v>2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38</v>
      </c>
      <c r="N47" s="50">
        <v>0</v>
      </c>
      <c r="O47" s="15">
        <f t="shared" si="0"/>
        <v>22</v>
      </c>
      <c r="P47" s="15">
        <f t="shared" si="1"/>
        <v>60</v>
      </c>
      <c r="R47" s="8"/>
      <c r="T47"/>
    </row>
    <row r="48" spans="2:32" ht="23.1" customHeight="1" x14ac:dyDescent="0.25">
      <c r="B48" s="46" t="s">
        <v>75</v>
      </c>
      <c r="C48" s="50">
        <v>12</v>
      </c>
      <c r="D48" s="50">
        <v>2</v>
      </c>
      <c r="E48" s="50">
        <v>3</v>
      </c>
      <c r="F48" s="50">
        <v>3</v>
      </c>
      <c r="G48" s="50">
        <v>1</v>
      </c>
      <c r="H48" s="50">
        <v>0</v>
      </c>
      <c r="I48" s="50">
        <v>4</v>
      </c>
      <c r="J48" s="50">
        <v>1</v>
      </c>
      <c r="K48" s="50">
        <v>1</v>
      </c>
      <c r="L48" s="50">
        <v>0</v>
      </c>
      <c r="M48" s="50">
        <v>37</v>
      </c>
      <c r="N48" s="50">
        <v>0</v>
      </c>
      <c r="O48" s="15">
        <f t="shared" si="0"/>
        <v>27</v>
      </c>
      <c r="P48" s="15">
        <f t="shared" si="1"/>
        <v>64</v>
      </c>
      <c r="R48" s="8"/>
      <c r="T48"/>
    </row>
    <row r="49" spans="2:20" ht="23.1" customHeight="1" x14ac:dyDescent="0.25">
      <c r="B49" s="45" t="s">
        <v>76</v>
      </c>
      <c r="C49" s="50">
        <v>13</v>
      </c>
      <c r="D49" s="50">
        <v>1</v>
      </c>
      <c r="E49" s="50">
        <v>2</v>
      </c>
      <c r="F49" s="50">
        <v>3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35</v>
      </c>
      <c r="N49" s="50">
        <v>0</v>
      </c>
      <c r="O49" s="15">
        <f t="shared" si="0"/>
        <v>22</v>
      </c>
      <c r="P49" s="15">
        <f t="shared" si="1"/>
        <v>57</v>
      </c>
      <c r="R49" s="8"/>
      <c r="T49"/>
    </row>
    <row r="50" spans="2:20" ht="23.1" customHeight="1" x14ac:dyDescent="0.25">
      <c r="B50" s="46" t="s">
        <v>77</v>
      </c>
      <c r="C50" s="50">
        <v>16</v>
      </c>
      <c r="D50" s="50">
        <v>4</v>
      </c>
      <c r="E50" s="50">
        <v>3</v>
      </c>
      <c r="F50" s="50">
        <v>6</v>
      </c>
      <c r="G50" s="50">
        <v>0</v>
      </c>
      <c r="H50" s="50">
        <v>0</v>
      </c>
      <c r="I50" s="50">
        <v>5</v>
      </c>
      <c r="J50" s="50">
        <v>3</v>
      </c>
      <c r="K50" s="50">
        <v>0</v>
      </c>
      <c r="L50" s="50">
        <v>0</v>
      </c>
      <c r="M50" s="50">
        <v>55</v>
      </c>
      <c r="N50" s="50">
        <v>0</v>
      </c>
      <c r="O50" s="15">
        <f t="shared" si="0"/>
        <v>37</v>
      </c>
      <c r="P50" s="15">
        <f t="shared" si="1"/>
        <v>92</v>
      </c>
      <c r="R50" s="8"/>
      <c r="T50"/>
    </row>
    <row r="51" spans="2:20" ht="23.1" customHeight="1" x14ac:dyDescent="0.25">
      <c r="B51" s="46" t="s">
        <v>78</v>
      </c>
      <c r="C51" s="50">
        <v>18</v>
      </c>
      <c r="D51" s="50">
        <v>3</v>
      </c>
      <c r="E51" s="50">
        <v>3</v>
      </c>
      <c r="F51" s="50">
        <v>8</v>
      </c>
      <c r="G51" s="50">
        <v>0</v>
      </c>
      <c r="H51" s="50">
        <v>0</v>
      </c>
      <c r="I51" s="50">
        <v>4</v>
      </c>
      <c r="J51" s="50">
        <v>1</v>
      </c>
      <c r="K51" s="50">
        <v>0</v>
      </c>
      <c r="L51" s="50">
        <v>0</v>
      </c>
      <c r="M51" s="50">
        <v>52</v>
      </c>
      <c r="N51" s="50">
        <v>0</v>
      </c>
      <c r="O51" s="15">
        <f t="shared" si="0"/>
        <v>37</v>
      </c>
      <c r="P51" s="15">
        <f t="shared" si="1"/>
        <v>89</v>
      </c>
      <c r="R51" s="8"/>
      <c r="T51"/>
    </row>
    <row r="52" spans="2:20" ht="23.1" customHeight="1" x14ac:dyDescent="0.25">
      <c r="B52" s="46" t="s">
        <v>79</v>
      </c>
      <c r="C52" s="50">
        <v>17</v>
      </c>
      <c r="D52" s="50">
        <v>4</v>
      </c>
      <c r="E52" s="50">
        <v>1</v>
      </c>
      <c r="F52" s="50">
        <v>7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46</v>
      </c>
      <c r="N52" s="50">
        <v>0</v>
      </c>
      <c r="O52" s="15">
        <f t="shared" si="0"/>
        <v>33</v>
      </c>
      <c r="P52" s="15">
        <f t="shared" si="1"/>
        <v>79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3</v>
      </c>
      <c r="E53" s="50">
        <v>5</v>
      </c>
      <c r="F53" s="50">
        <v>7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38</v>
      </c>
      <c r="N53" s="50">
        <v>0</v>
      </c>
      <c r="O53" s="15">
        <f t="shared" si="0"/>
        <v>34</v>
      </c>
      <c r="P53" s="15">
        <f t="shared" si="1"/>
        <v>72</v>
      </c>
      <c r="R53" s="8"/>
      <c r="T53"/>
    </row>
    <row r="54" spans="2:20" ht="23.1" customHeight="1" x14ac:dyDescent="0.25">
      <c r="B54" s="45" t="s">
        <v>81</v>
      </c>
      <c r="C54" s="50">
        <v>23</v>
      </c>
      <c r="D54" s="50">
        <v>2</v>
      </c>
      <c r="E54" s="50">
        <v>4</v>
      </c>
      <c r="F54" s="50">
        <v>5</v>
      </c>
      <c r="G54" s="50">
        <v>1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44</v>
      </c>
      <c r="N54" s="50">
        <v>1</v>
      </c>
      <c r="O54" s="15">
        <f t="shared" si="0"/>
        <v>39</v>
      </c>
      <c r="P54" s="15">
        <f t="shared" si="1"/>
        <v>83</v>
      </c>
      <c r="R54" s="8"/>
      <c r="T54"/>
    </row>
    <row r="55" spans="2:20" ht="23.1" customHeight="1" x14ac:dyDescent="0.25">
      <c r="B55" s="45" t="s">
        <v>82</v>
      </c>
      <c r="C55" s="50">
        <v>21</v>
      </c>
      <c r="D55" s="50">
        <v>3</v>
      </c>
      <c r="E55" s="50">
        <v>3</v>
      </c>
      <c r="F55" s="50">
        <v>4</v>
      </c>
      <c r="G55" s="50">
        <v>2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38</v>
      </c>
      <c r="N55" s="50">
        <v>0</v>
      </c>
      <c r="O55" s="15">
        <f t="shared" si="0"/>
        <v>36</v>
      </c>
      <c r="P55" s="15">
        <f t="shared" si="1"/>
        <v>74</v>
      </c>
      <c r="R55" s="8"/>
      <c r="T55"/>
    </row>
    <row r="56" spans="2:20" ht="23.1" customHeight="1" x14ac:dyDescent="0.25">
      <c r="B56" s="45" t="s">
        <v>83</v>
      </c>
      <c r="C56" s="50">
        <v>19</v>
      </c>
      <c r="D56" s="50">
        <v>6</v>
      </c>
      <c r="E56" s="50">
        <v>7</v>
      </c>
      <c r="F56" s="50">
        <v>5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41</v>
      </c>
      <c r="N56" s="50">
        <v>0</v>
      </c>
      <c r="O56" s="15">
        <f t="shared" si="0"/>
        <v>39</v>
      </c>
      <c r="P56" s="15">
        <f t="shared" si="1"/>
        <v>80</v>
      </c>
      <c r="R56" s="8"/>
      <c r="T56"/>
    </row>
    <row r="57" spans="2:20" ht="23.1" customHeight="1" x14ac:dyDescent="0.25">
      <c r="B57" s="45" t="s">
        <v>84</v>
      </c>
      <c r="C57" s="50">
        <v>8</v>
      </c>
      <c r="D57" s="50">
        <v>2</v>
      </c>
      <c r="E57" s="50">
        <v>2</v>
      </c>
      <c r="F57" s="50">
        <v>4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36</v>
      </c>
      <c r="N57" s="50">
        <v>0</v>
      </c>
      <c r="O57" s="15">
        <f t="shared" si="0"/>
        <v>17</v>
      </c>
      <c r="P57" s="15">
        <f t="shared" si="1"/>
        <v>53</v>
      </c>
      <c r="R57" s="8"/>
      <c r="T57"/>
    </row>
    <row r="58" spans="2:20" ht="23.1" customHeight="1" x14ac:dyDescent="0.25">
      <c r="B58" s="45" t="s">
        <v>99</v>
      </c>
      <c r="C58" s="50">
        <v>13</v>
      </c>
      <c r="D58" s="50">
        <v>1</v>
      </c>
      <c r="E58" s="50">
        <v>5</v>
      </c>
      <c r="F58" s="50">
        <v>8</v>
      </c>
      <c r="G58" s="50">
        <v>1</v>
      </c>
      <c r="H58" s="50">
        <v>0</v>
      </c>
      <c r="I58" s="50">
        <v>1</v>
      </c>
      <c r="J58" s="50">
        <v>0</v>
      </c>
      <c r="K58" s="50">
        <v>0</v>
      </c>
      <c r="L58" s="50">
        <v>1</v>
      </c>
      <c r="M58" s="50">
        <v>47</v>
      </c>
      <c r="N58" s="50">
        <v>0</v>
      </c>
      <c r="O58" s="15">
        <f t="shared" si="0"/>
        <v>30</v>
      </c>
      <c r="P58" s="15">
        <f t="shared" si="1"/>
        <v>77</v>
      </c>
      <c r="R58" s="8"/>
      <c r="T58"/>
    </row>
    <row r="59" spans="2:20" ht="23.1" customHeight="1" x14ac:dyDescent="0.25">
      <c r="B59" s="45" t="s">
        <v>100</v>
      </c>
      <c r="C59" s="50">
        <v>15</v>
      </c>
      <c r="D59" s="50">
        <v>9</v>
      </c>
      <c r="E59" s="50">
        <v>2</v>
      </c>
      <c r="F59" s="50">
        <v>3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58</v>
      </c>
      <c r="N59" s="50">
        <v>0</v>
      </c>
      <c r="O59" s="15">
        <f t="shared" si="0"/>
        <v>30</v>
      </c>
      <c r="P59" s="15">
        <f t="shared" si="1"/>
        <v>88</v>
      </c>
      <c r="R59" s="8"/>
      <c r="T59"/>
    </row>
    <row r="60" spans="2:20" ht="23.1" customHeight="1" x14ac:dyDescent="0.25">
      <c r="B60" s="45" t="s">
        <v>101</v>
      </c>
      <c r="C60" s="50">
        <v>16</v>
      </c>
      <c r="D60" s="50">
        <v>5</v>
      </c>
      <c r="E60" s="50">
        <v>5</v>
      </c>
      <c r="F60" s="50">
        <v>3</v>
      </c>
      <c r="G60" s="50">
        <v>1</v>
      </c>
      <c r="H60" s="50">
        <v>0</v>
      </c>
      <c r="I60" s="50">
        <v>0</v>
      </c>
      <c r="J60" s="50">
        <v>1</v>
      </c>
      <c r="K60" s="50">
        <v>0</v>
      </c>
      <c r="L60" s="50">
        <v>0</v>
      </c>
      <c r="M60" s="50">
        <v>60</v>
      </c>
      <c r="N60" s="50">
        <v>0</v>
      </c>
      <c r="O60" s="15">
        <f t="shared" si="0"/>
        <v>31</v>
      </c>
      <c r="P60" s="15">
        <f t="shared" si="1"/>
        <v>91</v>
      </c>
      <c r="R60" s="8"/>
      <c r="T60"/>
    </row>
    <row r="61" spans="2:20" ht="23.1" customHeight="1" x14ac:dyDescent="0.25">
      <c r="B61" s="45" t="s">
        <v>102</v>
      </c>
      <c r="C61" s="50">
        <v>7</v>
      </c>
      <c r="D61" s="50">
        <v>2</v>
      </c>
      <c r="E61" s="50">
        <v>2</v>
      </c>
      <c r="F61" s="50">
        <v>3</v>
      </c>
      <c r="G61" s="50">
        <v>0</v>
      </c>
      <c r="H61" s="50">
        <v>0</v>
      </c>
      <c r="I61" s="50">
        <v>0</v>
      </c>
      <c r="J61" s="50">
        <v>1</v>
      </c>
      <c r="K61" s="50">
        <v>1</v>
      </c>
      <c r="L61" s="50">
        <v>1</v>
      </c>
      <c r="M61" s="50">
        <v>45</v>
      </c>
      <c r="N61" s="50">
        <v>0</v>
      </c>
      <c r="O61" s="15">
        <f t="shared" si="0"/>
        <v>17</v>
      </c>
      <c r="P61" s="15">
        <f t="shared" si="1"/>
        <v>62</v>
      </c>
      <c r="R61" s="8"/>
      <c r="T61"/>
    </row>
    <row r="62" spans="2:20" ht="23.1" customHeight="1" x14ac:dyDescent="0.25">
      <c r="B62" s="45" t="s">
        <v>107</v>
      </c>
      <c r="C62" s="50">
        <v>11</v>
      </c>
      <c r="D62" s="50">
        <v>4</v>
      </c>
      <c r="E62" s="50">
        <v>0</v>
      </c>
      <c r="F62" s="50">
        <v>6</v>
      </c>
      <c r="G62" s="50">
        <v>0</v>
      </c>
      <c r="H62" s="50">
        <v>0</v>
      </c>
      <c r="I62" s="50">
        <v>2</v>
      </c>
      <c r="J62" s="50">
        <v>1</v>
      </c>
      <c r="K62" s="50">
        <v>1</v>
      </c>
      <c r="L62" s="50">
        <v>0</v>
      </c>
      <c r="M62" s="50">
        <v>29</v>
      </c>
      <c r="N62" s="50">
        <v>0</v>
      </c>
      <c r="O62" s="15">
        <f t="shared" si="0"/>
        <v>25</v>
      </c>
      <c r="P62" s="15">
        <f t="shared" si="1"/>
        <v>54</v>
      </c>
      <c r="R62" s="8"/>
      <c r="T62"/>
    </row>
    <row r="63" spans="2:20" ht="23.1" customHeight="1" x14ac:dyDescent="0.25">
      <c r="B63" s="45" t="s">
        <v>108</v>
      </c>
      <c r="C63" s="50">
        <v>6</v>
      </c>
      <c r="D63" s="50">
        <v>2</v>
      </c>
      <c r="E63" s="50">
        <v>1</v>
      </c>
      <c r="F63" s="50">
        <v>4</v>
      </c>
      <c r="G63" s="50">
        <v>0</v>
      </c>
      <c r="H63" s="50">
        <v>0</v>
      </c>
      <c r="I63" s="50">
        <v>0</v>
      </c>
      <c r="J63" s="50">
        <v>2</v>
      </c>
      <c r="K63" s="50">
        <v>0</v>
      </c>
      <c r="L63" s="50">
        <v>0</v>
      </c>
      <c r="M63" s="50">
        <v>35</v>
      </c>
      <c r="N63" s="50">
        <v>0</v>
      </c>
      <c r="O63" s="15">
        <f t="shared" si="0"/>
        <v>15</v>
      </c>
      <c r="P63" s="15">
        <f t="shared" si="1"/>
        <v>50</v>
      </c>
      <c r="R63" s="8"/>
      <c r="T63"/>
    </row>
    <row r="64" spans="2:20" ht="23.1" customHeight="1" x14ac:dyDescent="0.25">
      <c r="B64" s="45" t="s">
        <v>109</v>
      </c>
      <c r="C64" s="50">
        <v>10</v>
      </c>
      <c r="D64" s="50">
        <v>11</v>
      </c>
      <c r="E64" s="50">
        <v>4</v>
      </c>
      <c r="F64" s="50">
        <v>3</v>
      </c>
      <c r="G64" s="50">
        <v>0</v>
      </c>
      <c r="H64" s="50">
        <v>0</v>
      </c>
      <c r="I64" s="50">
        <v>0</v>
      </c>
      <c r="J64" s="50">
        <v>1</v>
      </c>
      <c r="K64" s="50">
        <v>1</v>
      </c>
      <c r="L64" s="50">
        <v>1</v>
      </c>
      <c r="M64" s="50">
        <v>61</v>
      </c>
      <c r="N64" s="50">
        <v>0</v>
      </c>
      <c r="O64" s="15">
        <f t="shared" si="0"/>
        <v>31</v>
      </c>
      <c r="P64" s="15">
        <f t="shared" si="1"/>
        <v>92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5</v>
      </c>
      <c r="E65" s="50">
        <v>6</v>
      </c>
      <c r="F65" s="50">
        <v>5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46</v>
      </c>
      <c r="N65" s="50">
        <v>0</v>
      </c>
      <c r="O65" s="15">
        <f t="shared" si="0"/>
        <v>20</v>
      </c>
      <c r="P65" s="15">
        <f t="shared" si="1"/>
        <v>66</v>
      </c>
      <c r="R65" s="8"/>
      <c r="T65"/>
    </row>
    <row r="66" spans="2:20" ht="23.1" customHeight="1" x14ac:dyDescent="0.25">
      <c r="B66" s="45" t="s">
        <v>103</v>
      </c>
      <c r="C66" s="50">
        <v>6</v>
      </c>
      <c r="D66" s="50">
        <v>1</v>
      </c>
      <c r="E66" s="50">
        <v>1</v>
      </c>
      <c r="F66" s="50">
        <v>4</v>
      </c>
      <c r="G66" s="50">
        <v>0</v>
      </c>
      <c r="H66" s="50">
        <v>0</v>
      </c>
      <c r="I66" s="50">
        <v>1</v>
      </c>
      <c r="J66" s="50">
        <v>1</v>
      </c>
      <c r="K66" s="50">
        <v>0</v>
      </c>
      <c r="L66" s="50">
        <v>1</v>
      </c>
      <c r="M66" s="50">
        <v>37</v>
      </c>
      <c r="N66" s="50">
        <v>0</v>
      </c>
      <c r="O66" s="15">
        <f t="shared" si="0"/>
        <v>15</v>
      </c>
      <c r="P66" s="15">
        <f t="shared" si="1"/>
        <v>52</v>
      </c>
      <c r="R66" s="8"/>
      <c r="T66"/>
    </row>
    <row r="67" spans="2:20" ht="23.1" customHeight="1" x14ac:dyDescent="0.25">
      <c r="B67" s="45" t="s">
        <v>104</v>
      </c>
      <c r="C67" s="50">
        <v>8</v>
      </c>
      <c r="D67" s="50">
        <v>4</v>
      </c>
      <c r="E67" s="50">
        <v>7</v>
      </c>
      <c r="F67" s="50">
        <v>3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26</v>
      </c>
      <c r="N67" s="50">
        <v>0</v>
      </c>
      <c r="O67" s="15">
        <f t="shared" si="0"/>
        <v>23</v>
      </c>
      <c r="P67" s="15">
        <f t="shared" si="1"/>
        <v>49</v>
      </c>
      <c r="R67" s="8"/>
      <c r="T67"/>
    </row>
    <row r="68" spans="2:20" ht="23.1" customHeight="1" x14ac:dyDescent="0.25">
      <c r="B68" s="45" t="s">
        <v>105</v>
      </c>
      <c r="C68" s="50">
        <v>4</v>
      </c>
      <c r="D68" s="50">
        <v>2</v>
      </c>
      <c r="E68" s="50">
        <v>0</v>
      </c>
      <c r="F68" s="50">
        <v>3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24</v>
      </c>
      <c r="N68" s="50">
        <v>0</v>
      </c>
      <c r="O68" s="15">
        <f t="shared" si="0"/>
        <v>10</v>
      </c>
      <c r="P68" s="15">
        <f t="shared" si="1"/>
        <v>34</v>
      </c>
      <c r="R68" s="8"/>
      <c r="T68"/>
    </row>
    <row r="69" spans="2:20" ht="23.1" customHeight="1" x14ac:dyDescent="0.25">
      <c r="B69" s="45" t="s">
        <v>106</v>
      </c>
      <c r="C69" s="50">
        <v>5</v>
      </c>
      <c r="D69" s="50">
        <v>1</v>
      </c>
      <c r="E69" s="50">
        <v>0</v>
      </c>
      <c r="F69" s="50">
        <v>2</v>
      </c>
      <c r="G69" s="50">
        <v>0</v>
      </c>
      <c r="H69" s="50">
        <v>0</v>
      </c>
      <c r="I69" s="50">
        <v>2</v>
      </c>
      <c r="J69" s="50">
        <v>1</v>
      </c>
      <c r="K69" s="50">
        <v>0</v>
      </c>
      <c r="L69" s="50">
        <v>0</v>
      </c>
      <c r="M69" s="50">
        <v>31</v>
      </c>
      <c r="N69" s="50">
        <v>0</v>
      </c>
      <c r="O69" s="15">
        <f t="shared" si="0"/>
        <v>11</v>
      </c>
      <c r="P69" s="15">
        <f t="shared" si="1"/>
        <v>42</v>
      </c>
      <c r="R69" s="8"/>
      <c r="T69"/>
    </row>
    <row r="70" spans="2:20" ht="23.1" customHeight="1" x14ac:dyDescent="0.25">
      <c r="B70" s="45" t="s">
        <v>110</v>
      </c>
      <c r="C70" s="50">
        <v>5</v>
      </c>
      <c r="D70" s="50">
        <v>3</v>
      </c>
      <c r="E70" s="50">
        <v>1</v>
      </c>
      <c r="F70" s="50">
        <v>1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32</v>
      </c>
      <c r="N70" s="50">
        <v>0</v>
      </c>
      <c r="O70" s="15">
        <f t="shared" si="0"/>
        <v>12</v>
      </c>
      <c r="P70" s="15">
        <f t="shared" si="1"/>
        <v>44</v>
      </c>
      <c r="R70" s="8"/>
      <c r="T70"/>
    </row>
    <row r="71" spans="2:20" ht="23.1" customHeight="1" x14ac:dyDescent="0.25">
      <c r="B71" s="45" t="s">
        <v>111</v>
      </c>
      <c r="C71" s="50">
        <v>9</v>
      </c>
      <c r="D71" s="50">
        <v>0</v>
      </c>
      <c r="E71" s="50">
        <v>3</v>
      </c>
      <c r="F71" s="50">
        <v>6</v>
      </c>
      <c r="G71" s="50">
        <v>0</v>
      </c>
      <c r="H71" s="50">
        <v>0</v>
      </c>
      <c r="I71" s="50">
        <v>3</v>
      </c>
      <c r="J71" s="50">
        <v>2</v>
      </c>
      <c r="K71" s="50">
        <v>0</v>
      </c>
      <c r="L71" s="50">
        <v>0</v>
      </c>
      <c r="M71" s="50">
        <v>66</v>
      </c>
      <c r="N71" s="50">
        <v>0</v>
      </c>
      <c r="O71" s="15">
        <f t="shared" si="0"/>
        <v>23</v>
      </c>
      <c r="P71" s="15">
        <f t="shared" si="1"/>
        <v>89</v>
      </c>
      <c r="R71" s="8"/>
      <c r="T71"/>
    </row>
    <row r="72" spans="2:20" ht="23.1" customHeight="1" x14ac:dyDescent="0.25">
      <c r="B72" s="45" t="s">
        <v>112</v>
      </c>
      <c r="C72" s="50">
        <v>4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40</v>
      </c>
      <c r="N72" s="50">
        <v>0</v>
      </c>
      <c r="O72" s="15">
        <f t="shared" si="0"/>
        <v>5</v>
      </c>
      <c r="P72" s="15">
        <f t="shared" si="1"/>
        <v>45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29</v>
      </c>
      <c r="N73" s="50">
        <v>0</v>
      </c>
      <c r="O73" s="15">
        <f t="shared" si="0"/>
        <v>3</v>
      </c>
      <c r="P73" s="15">
        <f t="shared" si="1"/>
        <v>32</v>
      </c>
      <c r="R73" s="8"/>
      <c r="T73"/>
    </row>
    <row r="74" spans="2:20" ht="23.1" customHeight="1" x14ac:dyDescent="0.25">
      <c r="B74" s="45" t="s">
        <v>114</v>
      </c>
      <c r="C74" s="50">
        <v>7</v>
      </c>
      <c r="D74" s="50">
        <v>5</v>
      </c>
      <c r="E74" s="50">
        <v>0</v>
      </c>
      <c r="F74" s="50">
        <v>2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0</v>
      </c>
      <c r="M74" s="50">
        <v>30</v>
      </c>
      <c r="N74" s="50">
        <v>0</v>
      </c>
      <c r="O74" s="15">
        <f t="shared" ref="O74:O105" si="35">SUM(C74:L74,N74)</f>
        <v>15</v>
      </c>
      <c r="P74" s="15">
        <f t="shared" ref="P74:P105" si="36">SUM(C74:N74)</f>
        <v>45</v>
      </c>
      <c r="R74" s="8"/>
      <c r="T74"/>
    </row>
    <row r="75" spans="2:20" ht="23.1" customHeight="1" x14ac:dyDescent="0.25">
      <c r="B75" s="45" t="s">
        <v>115</v>
      </c>
      <c r="C75" s="50">
        <v>5</v>
      </c>
      <c r="D75" s="50">
        <v>2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17</v>
      </c>
      <c r="N75" s="50">
        <v>0</v>
      </c>
      <c r="O75" s="15">
        <f t="shared" si="35"/>
        <v>7</v>
      </c>
      <c r="P75" s="15">
        <f t="shared" si="36"/>
        <v>24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2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20</v>
      </c>
      <c r="N76" s="50">
        <v>0</v>
      </c>
      <c r="O76" s="15">
        <f t="shared" si="35"/>
        <v>4</v>
      </c>
      <c r="P76" s="15">
        <f t="shared" si="36"/>
        <v>24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1</v>
      </c>
      <c r="E77" s="50">
        <v>1</v>
      </c>
      <c r="F77" s="50">
        <v>2</v>
      </c>
      <c r="G77" s="50">
        <v>0</v>
      </c>
      <c r="H77" s="50">
        <v>0</v>
      </c>
      <c r="I77" s="50">
        <v>0</v>
      </c>
      <c r="J77" s="50">
        <v>1</v>
      </c>
      <c r="K77" s="50">
        <v>1</v>
      </c>
      <c r="L77" s="50">
        <v>0</v>
      </c>
      <c r="M77" s="50">
        <v>10</v>
      </c>
      <c r="N77" s="50">
        <v>0</v>
      </c>
      <c r="O77" s="15">
        <f t="shared" si="35"/>
        <v>9</v>
      </c>
      <c r="P77" s="15">
        <f t="shared" si="36"/>
        <v>19</v>
      </c>
      <c r="R77" s="8"/>
      <c r="T77"/>
    </row>
    <row r="78" spans="2:20" ht="23.1" customHeight="1" x14ac:dyDescent="0.25">
      <c r="B78" s="46" t="s">
        <v>118</v>
      </c>
      <c r="C78" s="50">
        <v>5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10</v>
      </c>
      <c r="N78" s="50">
        <v>0</v>
      </c>
      <c r="O78" s="15">
        <f t="shared" si="35"/>
        <v>6</v>
      </c>
      <c r="P78" s="15">
        <f t="shared" si="36"/>
        <v>16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11</v>
      </c>
      <c r="N79" s="50">
        <v>0</v>
      </c>
      <c r="O79" s="15">
        <f t="shared" si="35"/>
        <v>2</v>
      </c>
      <c r="P79" s="15">
        <f t="shared" si="36"/>
        <v>13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1</v>
      </c>
      <c r="L80" s="50">
        <v>0</v>
      </c>
      <c r="M80" s="50">
        <v>7</v>
      </c>
      <c r="N80" s="50">
        <v>0</v>
      </c>
      <c r="O80" s="15">
        <f t="shared" si="35"/>
        <v>3</v>
      </c>
      <c r="P80" s="15">
        <f t="shared" si="36"/>
        <v>10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3</v>
      </c>
      <c r="P81" s="15">
        <f t="shared" si="36"/>
        <v>6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12</v>
      </c>
      <c r="N82" s="50">
        <v>0</v>
      </c>
      <c r="O82" s="15">
        <f t="shared" si="35"/>
        <v>1</v>
      </c>
      <c r="P82" s="15">
        <f t="shared" si="36"/>
        <v>13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9</v>
      </c>
      <c r="N83" s="50">
        <v>0</v>
      </c>
      <c r="O83" s="15">
        <f t="shared" si="35"/>
        <v>3</v>
      </c>
      <c r="P83" s="15">
        <f t="shared" si="36"/>
        <v>12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4</v>
      </c>
      <c r="N84" s="50">
        <v>0</v>
      </c>
      <c r="O84" s="15">
        <f t="shared" si="35"/>
        <v>1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5</v>
      </c>
      <c r="N85" s="50">
        <v>0</v>
      </c>
      <c r="O85" s="15">
        <f t="shared" si="35"/>
        <v>1</v>
      </c>
      <c r="P85" s="15">
        <f t="shared" si="36"/>
        <v>6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2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3</v>
      </c>
      <c r="N87" s="50">
        <v>0</v>
      </c>
      <c r="O87" s="15">
        <f t="shared" si="35"/>
        <v>1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1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3</v>
      </c>
      <c r="N89" s="50">
        <v>0</v>
      </c>
      <c r="O89" s="15">
        <f t="shared" si="35"/>
        <v>0</v>
      </c>
      <c r="P89" s="15">
        <f t="shared" si="36"/>
        <v>3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4</v>
      </c>
      <c r="N90" s="50">
        <v>0</v>
      </c>
      <c r="O90" s="15">
        <f t="shared" si="35"/>
        <v>1</v>
      </c>
      <c r="P90" s="15">
        <f t="shared" si="36"/>
        <v>5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2</v>
      </c>
      <c r="P91" s="15">
        <f t="shared" si="36"/>
        <v>5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1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5</v>
      </c>
      <c r="N95" s="50">
        <v>0</v>
      </c>
      <c r="O95" s="15">
        <f t="shared" si="35"/>
        <v>2</v>
      </c>
      <c r="P95" s="15">
        <f t="shared" si="36"/>
        <v>7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</v>
      </c>
      <c r="N96" s="50">
        <v>0</v>
      </c>
      <c r="O96" s="15">
        <f t="shared" si="35"/>
        <v>0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3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5</v>
      </c>
      <c r="N98" s="50">
        <v>0</v>
      </c>
      <c r="O98" s="15">
        <f t="shared" si="35"/>
        <v>1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0</v>
      </c>
      <c r="E99" s="50">
        <v>0</v>
      </c>
      <c r="F99" s="50">
        <v>4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8</v>
      </c>
      <c r="P99" s="15">
        <f t="shared" si="36"/>
        <v>10</v>
      </c>
      <c r="R99" s="8"/>
      <c r="T99"/>
    </row>
    <row r="100" spans="2:20" ht="23.1" customHeight="1" x14ac:dyDescent="0.25">
      <c r="B100" s="47" t="s">
        <v>140</v>
      </c>
      <c r="C100" s="50">
        <v>5</v>
      </c>
      <c r="D100" s="50">
        <v>0</v>
      </c>
      <c r="E100" s="50">
        <v>2</v>
      </c>
      <c r="F100" s="50">
        <v>4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5</v>
      </c>
      <c r="N100" s="50">
        <v>0</v>
      </c>
      <c r="O100" s="15">
        <f t="shared" si="35"/>
        <v>12</v>
      </c>
      <c r="P100" s="15">
        <f t="shared" si="36"/>
        <v>17</v>
      </c>
      <c r="R100" s="8"/>
      <c r="T100"/>
    </row>
    <row r="101" spans="2:20" ht="23.1" customHeight="1" x14ac:dyDescent="0.25">
      <c r="B101" s="45" t="s">
        <v>141</v>
      </c>
      <c r="C101" s="50">
        <v>11</v>
      </c>
      <c r="D101" s="50">
        <v>2</v>
      </c>
      <c r="E101" s="50">
        <v>3</v>
      </c>
      <c r="F101" s="50">
        <v>4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12</v>
      </c>
      <c r="N101" s="50">
        <v>0</v>
      </c>
      <c r="O101" s="15">
        <f t="shared" si="35"/>
        <v>21</v>
      </c>
      <c r="P101" s="15">
        <f t="shared" si="36"/>
        <v>33</v>
      </c>
      <c r="R101" s="8"/>
      <c r="T101"/>
    </row>
    <row r="102" spans="2:20" ht="23.1" customHeight="1" x14ac:dyDescent="0.25">
      <c r="B102" s="46" t="s">
        <v>142</v>
      </c>
      <c r="C102" s="50">
        <v>28</v>
      </c>
      <c r="D102" s="50">
        <v>1</v>
      </c>
      <c r="E102" s="50">
        <v>4</v>
      </c>
      <c r="F102" s="50">
        <v>6</v>
      </c>
      <c r="G102" s="50">
        <v>2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14</v>
      </c>
      <c r="N102" s="50">
        <v>0</v>
      </c>
      <c r="O102" s="15">
        <f t="shared" si="35"/>
        <v>41</v>
      </c>
      <c r="P102" s="15">
        <f t="shared" si="36"/>
        <v>55</v>
      </c>
      <c r="R102" s="8"/>
      <c r="T102"/>
    </row>
    <row r="103" spans="2:20" ht="23.1" customHeight="1" x14ac:dyDescent="0.25">
      <c r="B103" s="45" t="s">
        <v>143</v>
      </c>
      <c r="C103" s="50">
        <v>36</v>
      </c>
      <c r="D103" s="50">
        <v>7</v>
      </c>
      <c r="E103" s="50">
        <v>4</v>
      </c>
      <c r="F103" s="50">
        <v>5</v>
      </c>
      <c r="G103" s="50">
        <v>1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25</v>
      </c>
      <c r="N103" s="50">
        <v>0</v>
      </c>
      <c r="O103" s="15">
        <f t="shared" si="35"/>
        <v>54</v>
      </c>
      <c r="P103" s="15">
        <f t="shared" si="36"/>
        <v>79</v>
      </c>
      <c r="R103" s="8"/>
      <c r="T103"/>
    </row>
    <row r="104" spans="2:20" ht="23.1" customHeight="1" x14ac:dyDescent="0.25">
      <c r="B104" s="47" t="s">
        <v>144</v>
      </c>
      <c r="C104" s="50">
        <v>22</v>
      </c>
      <c r="D104" s="50">
        <v>18</v>
      </c>
      <c r="E104" s="50">
        <v>4</v>
      </c>
      <c r="F104" s="50">
        <v>3</v>
      </c>
      <c r="G104" s="50">
        <v>1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21</v>
      </c>
      <c r="N104" s="50">
        <v>0</v>
      </c>
      <c r="O104" s="15">
        <f t="shared" si="35"/>
        <v>48</v>
      </c>
      <c r="P104" s="15">
        <f t="shared" si="36"/>
        <v>69</v>
      </c>
      <c r="R104" s="8"/>
      <c r="T104"/>
    </row>
    <row r="105" spans="2:20" ht="23.1" customHeight="1" x14ac:dyDescent="0.25">
      <c r="B105" s="45" t="s">
        <v>145</v>
      </c>
      <c r="C105" s="50">
        <v>17</v>
      </c>
      <c r="D105" s="50">
        <v>3</v>
      </c>
      <c r="E105" s="50">
        <v>1</v>
      </c>
      <c r="F105" s="50">
        <v>8</v>
      </c>
      <c r="G105" s="50">
        <v>0</v>
      </c>
      <c r="H105" s="50">
        <v>0</v>
      </c>
      <c r="I105" s="50">
        <v>2</v>
      </c>
      <c r="J105" s="50">
        <v>1</v>
      </c>
      <c r="K105" s="50">
        <v>0</v>
      </c>
      <c r="L105" s="50">
        <v>0</v>
      </c>
      <c r="M105" s="50">
        <v>28</v>
      </c>
      <c r="N105" s="50">
        <v>0</v>
      </c>
      <c r="O105" s="15">
        <f t="shared" si="35"/>
        <v>32</v>
      </c>
      <c r="P105" s="15">
        <f t="shared" si="36"/>
        <v>60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847</v>
      </c>
      <c r="D106" s="16">
        <f t="shared" ref="D106:P106" si="37">SUM(D10:D105)</f>
        <v>180</v>
      </c>
      <c r="E106" s="16">
        <f t="shared" si="37"/>
        <v>154</v>
      </c>
      <c r="F106" s="16">
        <f t="shared" si="37"/>
        <v>248</v>
      </c>
      <c r="G106" s="16">
        <f t="shared" si="37"/>
        <v>11</v>
      </c>
      <c r="H106" s="16">
        <f t="shared" si="37"/>
        <v>1</v>
      </c>
      <c r="I106" s="16">
        <f t="shared" si="37"/>
        <v>150</v>
      </c>
      <c r="J106" s="16">
        <f t="shared" si="37"/>
        <v>47</v>
      </c>
      <c r="K106" s="16">
        <f t="shared" si="37"/>
        <v>15</v>
      </c>
      <c r="L106" s="16">
        <f t="shared" si="37"/>
        <v>5</v>
      </c>
      <c r="M106" s="16">
        <f t="shared" si="37"/>
        <v>2811</v>
      </c>
      <c r="N106" s="16">
        <f t="shared" si="37"/>
        <v>1</v>
      </c>
      <c r="O106" s="16">
        <f t="shared" si="37"/>
        <v>1659</v>
      </c>
      <c r="P106" s="16">
        <f t="shared" si="37"/>
        <v>4470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0.18948545861297539</v>
      </c>
      <c r="D107" s="43">
        <f t="shared" si="38"/>
        <v>4.0268456375838924E-2</v>
      </c>
      <c r="E107" s="43">
        <f t="shared" si="38"/>
        <v>3.4451901565995528E-2</v>
      </c>
      <c r="F107" s="43">
        <f t="shared" si="38"/>
        <v>5.5480984340044739E-2</v>
      </c>
      <c r="G107" s="43">
        <f t="shared" si="38"/>
        <v>2.4608501118568234E-3</v>
      </c>
      <c r="H107" s="43">
        <f t="shared" si="38"/>
        <v>2.2371364653243848E-4</v>
      </c>
      <c r="I107" s="43">
        <f t="shared" si="38"/>
        <v>3.3557046979865772E-2</v>
      </c>
      <c r="J107" s="43">
        <f t="shared" si="38"/>
        <v>1.0514541387024609E-2</v>
      </c>
      <c r="K107" s="43">
        <f t="shared" si="38"/>
        <v>3.3557046979865771E-3</v>
      </c>
      <c r="L107" s="43">
        <f t="shared" si="38"/>
        <v>1.1185682326621924E-3</v>
      </c>
      <c r="M107" s="43">
        <f t="shared" si="38"/>
        <v>0.62885906040268458</v>
      </c>
      <c r="N107" s="43">
        <f t="shared" si="38"/>
        <v>2.2371364653243848E-4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0.51054852320675104</v>
      </c>
      <c r="D108" s="44">
        <f t="shared" ref="D108:N108" si="39">D106/$O$106</f>
        <v>0.10849909584086799</v>
      </c>
      <c r="E108" s="44">
        <f t="shared" si="39"/>
        <v>9.2827004219409287E-2</v>
      </c>
      <c r="F108" s="44">
        <f t="shared" si="39"/>
        <v>0.14948764315852922</v>
      </c>
      <c r="G108" s="44">
        <f t="shared" si="39"/>
        <v>6.6305003013863778E-3</v>
      </c>
      <c r="H108" s="44">
        <f t="shared" si="39"/>
        <v>6.0277275467148883E-4</v>
      </c>
      <c r="I108" s="44">
        <f t="shared" si="39"/>
        <v>9.0415913200723327E-2</v>
      </c>
      <c r="J108" s="44">
        <f t="shared" si="39"/>
        <v>2.8330319469559977E-2</v>
      </c>
      <c r="K108" s="44">
        <f t="shared" si="39"/>
        <v>9.0415913200723331E-3</v>
      </c>
      <c r="L108" s="44">
        <f t="shared" si="39"/>
        <v>3.0138637733574444E-3</v>
      </c>
      <c r="M108" s="44"/>
      <c r="N108" s="44">
        <f t="shared" si="39"/>
        <v>6.0277275467148883E-4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126"/>
  <sheetViews>
    <sheetView view="pageBreakPreview" topLeftCell="A25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1:32" ht="23.25" customHeight="1" x14ac:dyDescent="0.3">
      <c r="A1" s="57"/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01"/>
    </row>
    <row r="2" spans="1:32" ht="20.100000000000001" customHeight="1" x14ac:dyDescent="0.25">
      <c r="A2" s="57"/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01"/>
    </row>
    <row r="3" spans="1:32" ht="20.100000000000001" customHeight="1" x14ac:dyDescent="0.25">
      <c r="A3" s="57"/>
      <c r="B3" s="122" t="s">
        <v>96</v>
      </c>
      <c r="C3" s="155" t="s">
        <v>178</v>
      </c>
      <c r="D3" s="155"/>
      <c r="E3" s="155"/>
      <c r="F3" s="155"/>
      <c r="G3" s="155"/>
      <c r="H3" s="122"/>
      <c r="I3" s="122"/>
      <c r="J3" s="122"/>
      <c r="K3" s="122"/>
      <c r="L3" s="122"/>
      <c r="M3" s="122"/>
      <c r="N3" s="122"/>
      <c r="O3" s="122"/>
      <c r="P3" s="122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</row>
    <row r="4" spans="1:32" ht="20.100000000000001" customHeight="1" x14ac:dyDescent="0.25">
      <c r="A4" s="57"/>
      <c r="B4" s="122"/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</row>
    <row r="5" spans="1:32" ht="20.100000000000001" customHeight="1" x14ac:dyDescent="0.25">
      <c r="A5" s="57"/>
      <c r="B5" s="101"/>
      <c r="C5" s="105" t="s">
        <v>3</v>
      </c>
      <c r="D5" s="145" t="s">
        <v>179</v>
      </c>
      <c r="E5" s="104"/>
      <c r="F5" s="140" t="s">
        <v>1</v>
      </c>
      <c r="G5" s="150" t="s">
        <v>165</v>
      </c>
      <c r="H5" s="151"/>
      <c r="I5" s="115"/>
      <c r="J5" s="103" t="s">
        <v>5</v>
      </c>
      <c r="K5" s="150" t="s">
        <v>171</v>
      </c>
      <c r="L5" s="151"/>
      <c r="M5" s="111"/>
      <c r="N5" s="111"/>
      <c r="O5" s="104"/>
      <c r="P5" s="104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</row>
    <row r="6" spans="1:32" ht="23.25" customHeight="1" x14ac:dyDescent="0.25">
      <c r="A6" s="57"/>
      <c r="B6" s="101"/>
      <c r="C6" s="103" t="s">
        <v>4</v>
      </c>
      <c r="D6" s="150" t="s">
        <v>164</v>
      </c>
      <c r="E6" s="151"/>
      <c r="F6" s="103" t="s">
        <v>2</v>
      </c>
      <c r="G6" s="150" t="s">
        <v>169</v>
      </c>
      <c r="H6" s="151"/>
      <c r="I6" s="101"/>
      <c r="J6" s="103" t="s">
        <v>21</v>
      </c>
      <c r="K6" s="150" t="s">
        <v>168</v>
      </c>
      <c r="L6" s="151"/>
      <c r="M6" s="111"/>
      <c r="N6" s="111"/>
      <c r="O6" s="104"/>
      <c r="P6" s="104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</row>
    <row r="7" spans="1:32" ht="20.100000000000001" customHeight="1" x14ac:dyDescent="0.25">
      <c r="A7" s="57"/>
      <c r="B7" s="103"/>
      <c r="C7" s="101"/>
      <c r="D7" s="104"/>
      <c r="E7" s="104"/>
      <c r="F7" s="104"/>
      <c r="G7" s="104"/>
      <c r="H7" s="101"/>
      <c r="I7" s="103"/>
      <c r="J7" s="101"/>
      <c r="K7" s="101"/>
      <c r="L7" s="104"/>
      <c r="M7" s="104"/>
      <c r="N7" s="104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</row>
    <row r="8" spans="1:32" ht="50.25" customHeight="1" x14ac:dyDescent="0.25">
      <c r="A8" s="57"/>
      <c r="B8" s="112" t="s">
        <v>0</v>
      </c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1"/>
      <c r="P8" s="101"/>
      <c r="Q8" s="10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1:32" ht="51.75" customHeight="1" x14ac:dyDescent="0.25">
      <c r="A9" s="57"/>
      <c r="B9" s="113"/>
      <c r="C9" s="114" t="s">
        <v>24</v>
      </c>
      <c r="D9" s="114" t="s">
        <v>25</v>
      </c>
      <c r="E9" s="114" t="s">
        <v>26</v>
      </c>
      <c r="F9" s="114" t="s">
        <v>27</v>
      </c>
      <c r="G9" s="114" t="s">
        <v>28</v>
      </c>
      <c r="H9" s="114" t="s">
        <v>29</v>
      </c>
      <c r="I9" s="114" t="s">
        <v>30</v>
      </c>
      <c r="J9" s="114" t="s">
        <v>31</v>
      </c>
      <c r="K9" s="114" t="s">
        <v>32</v>
      </c>
      <c r="L9" s="114" t="s">
        <v>33</v>
      </c>
      <c r="M9" s="114" t="s">
        <v>98</v>
      </c>
      <c r="N9" s="114" t="s">
        <v>97</v>
      </c>
      <c r="O9" s="112" t="s">
        <v>36</v>
      </c>
      <c r="P9" s="112" t="s">
        <v>22</v>
      </c>
      <c r="Q9" s="101"/>
      <c r="R9" s="110" t="s">
        <v>19</v>
      </c>
      <c r="S9" s="127" t="s">
        <v>24</v>
      </c>
      <c r="T9" s="127" t="s">
        <v>25</v>
      </c>
      <c r="U9" s="127" t="s">
        <v>26</v>
      </c>
      <c r="V9" s="127" t="s">
        <v>27</v>
      </c>
      <c r="W9" s="127" t="s">
        <v>28</v>
      </c>
      <c r="X9" s="127" t="s">
        <v>29</v>
      </c>
      <c r="Y9" s="127" t="s">
        <v>30</v>
      </c>
      <c r="Z9" s="127" t="s">
        <v>31</v>
      </c>
      <c r="AA9" s="127" t="s">
        <v>32</v>
      </c>
      <c r="AB9" s="127" t="s">
        <v>33</v>
      </c>
      <c r="AC9" s="127" t="s">
        <v>34</v>
      </c>
      <c r="AD9" s="127" t="s">
        <v>35</v>
      </c>
      <c r="AE9" s="130" t="s">
        <v>89</v>
      </c>
      <c r="AF9" s="130" t="s">
        <v>22</v>
      </c>
    </row>
    <row r="10" spans="1:32" ht="23.1" customHeight="1" x14ac:dyDescent="0.25">
      <c r="A10" s="57"/>
      <c r="B10" s="123" t="s">
        <v>37</v>
      </c>
      <c r="C10" s="144">
        <v>13</v>
      </c>
      <c r="D10" s="144">
        <v>8</v>
      </c>
      <c r="E10" s="144">
        <v>3</v>
      </c>
      <c r="F10" s="144">
        <v>7</v>
      </c>
      <c r="G10" s="144">
        <v>0</v>
      </c>
      <c r="H10" s="144">
        <v>0</v>
      </c>
      <c r="I10" s="144">
        <v>4</v>
      </c>
      <c r="J10" s="144">
        <v>0</v>
      </c>
      <c r="K10" s="144">
        <v>0</v>
      </c>
      <c r="L10" s="144">
        <v>0</v>
      </c>
      <c r="M10" s="144">
        <v>57</v>
      </c>
      <c r="N10" s="144">
        <v>0</v>
      </c>
      <c r="O10" s="116">
        <v>35</v>
      </c>
      <c r="P10" s="116">
        <v>92</v>
      </c>
      <c r="Q10" s="101"/>
      <c r="R10" s="102" t="s">
        <v>6</v>
      </c>
      <c r="S10" s="118">
        <v>39</v>
      </c>
      <c r="T10" s="118">
        <v>25</v>
      </c>
      <c r="U10" s="118">
        <v>8</v>
      </c>
      <c r="V10" s="118">
        <v>19</v>
      </c>
      <c r="W10" s="118">
        <v>2</v>
      </c>
      <c r="X10" s="118">
        <v>0</v>
      </c>
      <c r="Y10" s="118">
        <v>9</v>
      </c>
      <c r="Z10" s="118">
        <v>1</v>
      </c>
      <c r="AA10" s="118">
        <v>0</v>
      </c>
      <c r="AB10" s="118">
        <v>1</v>
      </c>
      <c r="AC10" s="118">
        <v>207</v>
      </c>
      <c r="AD10" s="118">
        <v>0</v>
      </c>
      <c r="AE10" s="131">
        <v>104</v>
      </c>
      <c r="AF10" s="131">
        <v>311</v>
      </c>
    </row>
    <row r="11" spans="1:32" s="6" customFormat="1" ht="23.1" customHeight="1" x14ac:dyDescent="0.25">
      <c r="A11" s="63"/>
      <c r="B11" s="123" t="s">
        <v>38</v>
      </c>
      <c r="C11" s="144">
        <v>10</v>
      </c>
      <c r="D11" s="144">
        <v>7</v>
      </c>
      <c r="E11" s="144">
        <v>1</v>
      </c>
      <c r="F11" s="144">
        <v>6</v>
      </c>
      <c r="G11" s="144">
        <v>1</v>
      </c>
      <c r="H11" s="144">
        <v>0</v>
      </c>
      <c r="I11" s="144">
        <v>2</v>
      </c>
      <c r="J11" s="144">
        <v>0</v>
      </c>
      <c r="K11" s="144">
        <v>0</v>
      </c>
      <c r="L11" s="144">
        <v>0</v>
      </c>
      <c r="M11" s="144">
        <v>35</v>
      </c>
      <c r="N11" s="144">
        <v>0</v>
      </c>
      <c r="O11" s="116">
        <v>27</v>
      </c>
      <c r="P11" s="116">
        <v>62</v>
      </c>
      <c r="Q11" s="107"/>
      <c r="R11" s="102" t="s">
        <v>7</v>
      </c>
      <c r="S11" s="118">
        <v>26</v>
      </c>
      <c r="T11" s="118">
        <v>13</v>
      </c>
      <c r="U11" s="118">
        <v>4</v>
      </c>
      <c r="V11" s="118">
        <v>11</v>
      </c>
      <c r="W11" s="118">
        <v>0</v>
      </c>
      <c r="X11" s="118">
        <v>0</v>
      </c>
      <c r="Y11" s="118">
        <v>9</v>
      </c>
      <c r="Z11" s="118">
        <v>3</v>
      </c>
      <c r="AA11" s="118">
        <v>2</v>
      </c>
      <c r="AB11" s="118">
        <v>0</v>
      </c>
      <c r="AC11" s="118">
        <v>200</v>
      </c>
      <c r="AD11" s="118">
        <v>0</v>
      </c>
      <c r="AE11" s="131">
        <v>109</v>
      </c>
      <c r="AF11" s="131">
        <v>268</v>
      </c>
    </row>
    <row r="12" spans="1:32" ht="23.1" customHeight="1" x14ac:dyDescent="0.25">
      <c r="A12" s="57"/>
      <c r="B12" s="123" t="s">
        <v>39</v>
      </c>
      <c r="C12" s="144">
        <v>7</v>
      </c>
      <c r="D12" s="144">
        <v>6</v>
      </c>
      <c r="E12" s="144">
        <v>0</v>
      </c>
      <c r="F12" s="144">
        <v>3</v>
      </c>
      <c r="G12" s="144">
        <v>1</v>
      </c>
      <c r="H12" s="144">
        <v>0</v>
      </c>
      <c r="I12" s="144">
        <v>1</v>
      </c>
      <c r="J12" s="144">
        <v>1</v>
      </c>
      <c r="K12" s="144">
        <v>0</v>
      </c>
      <c r="L12" s="144">
        <v>0</v>
      </c>
      <c r="M12" s="144">
        <v>52</v>
      </c>
      <c r="N12" s="144">
        <v>0</v>
      </c>
      <c r="O12" s="116">
        <v>19</v>
      </c>
      <c r="P12" s="116">
        <v>71</v>
      </c>
      <c r="Q12" s="101"/>
      <c r="R12" s="102" t="s">
        <v>8</v>
      </c>
      <c r="S12" s="118">
        <v>35</v>
      </c>
      <c r="T12" s="118">
        <v>18</v>
      </c>
      <c r="U12" s="118">
        <v>11</v>
      </c>
      <c r="V12" s="118">
        <v>6</v>
      </c>
      <c r="W12" s="118">
        <v>0</v>
      </c>
      <c r="X12" s="118">
        <v>0</v>
      </c>
      <c r="Y12" s="118">
        <v>9</v>
      </c>
      <c r="Z12" s="118">
        <v>1</v>
      </c>
      <c r="AA12" s="118">
        <v>1</v>
      </c>
      <c r="AB12" s="118">
        <v>0</v>
      </c>
      <c r="AC12" s="118">
        <v>134</v>
      </c>
      <c r="AD12" s="118">
        <v>0</v>
      </c>
      <c r="AE12" s="131">
        <v>81</v>
      </c>
      <c r="AF12" s="131">
        <v>215</v>
      </c>
    </row>
    <row r="13" spans="1:32" ht="23.1" customHeight="1" x14ac:dyDescent="0.25">
      <c r="A13" s="57"/>
      <c r="B13" s="123" t="s">
        <v>40</v>
      </c>
      <c r="C13" s="144">
        <v>9</v>
      </c>
      <c r="D13" s="144">
        <v>4</v>
      </c>
      <c r="E13" s="144">
        <v>4</v>
      </c>
      <c r="F13" s="144">
        <v>3</v>
      </c>
      <c r="G13" s="144">
        <v>0</v>
      </c>
      <c r="H13" s="144">
        <v>0</v>
      </c>
      <c r="I13" s="144">
        <v>2</v>
      </c>
      <c r="J13" s="144">
        <v>0</v>
      </c>
      <c r="K13" s="144">
        <v>0</v>
      </c>
      <c r="L13" s="144">
        <v>1</v>
      </c>
      <c r="M13" s="144">
        <v>63</v>
      </c>
      <c r="N13" s="144">
        <v>0</v>
      </c>
      <c r="O13" s="116">
        <v>23</v>
      </c>
      <c r="P13" s="116">
        <v>86</v>
      </c>
      <c r="Q13" s="101"/>
      <c r="R13" s="102" t="s">
        <v>9</v>
      </c>
      <c r="S13" s="118">
        <v>39</v>
      </c>
      <c r="T13" s="118">
        <v>21</v>
      </c>
      <c r="U13" s="118">
        <v>10</v>
      </c>
      <c r="V13" s="118">
        <v>6</v>
      </c>
      <c r="W13" s="118">
        <v>1</v>
      </c>
      <c r="X13" s="118">
        <v>0</v>
      </c>
      <c r="Y13" s="118">
        <v>13</v>
      </c>
      <c r="Z13" s="118">
        <v>3</v>
      </c>
      <c r="AA13" s="118">
        <v>0</v>
      </c>
      <c r="AB13" s="118">
        <v>0</v>
      </c>
      <c r="AC13" s="118">
        <v>120</v>
      </c>
      <c r="AD13" s="118">
        <v>0</v>
      </c>
      <c r="AE13" s="131">
        <v>93</v>
      </c>
      <c r="AF13" s="131">
        <v>213</v>
      </c>
    </row>
    <row r="14" spans="1:32" ht="23.1" customHeight="1" x14ac:dyDescent="0.25">
      <c r="A14" s="57"/>
      <c r="B14" s="123" t="s">
        <v>41</v>
      </c>
      <c r="C14" s="144">
        <v>8</v>
      </c>
      <c r="D14" s="144">
        <v>3</v>
      </c>
      <c r="E14" s="144">
        <v>0</v>
      </c>
      <c r="F14" s="144">
        <v>3</v>
      </c>
      <c r="G14" s="144">
        <v>0</v>
      </c>
      <c r="H14" s="144">
        <v>0</v>
      </c>
      <c r="I14" s="144">
        <v>0</v>
      </c>
      <c r="J14" s="144">
        <v>2</v>
      </c>
      <c r="K14" s="144">
        <v>1</v>
      </c>
      <c r="L14" s="144">
        <v>0</v>
      </c>
      <c r="M14" s="144">
        <v>58</v>
      </c>
      <c r="N14" s="144">
        <v>0</v>
      </c>
      <c r="O14" s="116">
        <v>58</v>
      </c>
      <c r="P14" s="116">
        <v>75</v>
      </c>
      <c r="Q14" s="101"/>
      <c r="R14" s="102" t="s">
        <v>10</v>
      </c>
      <c r="S14" s="118">
        <v>35</v>
      </c>
      <c r="T14" s="118">
        <v>9</v>
      </c>
      <c r="U14" s="118">
        <v>16</v>
      </c>
      <c r="V14" s="118">
        <v>9</v>
      </c>
      <c r="W14" s="118">
        <v>1</v>
      </c>
      <c r="X14" s="118">
        <v>0</v>
      </c>
      <c r="Y14" s="118">
        <v>13</v>
      </c>
      <c r="Z14" s="118">
        <v>1</v>
      </c>
      <c r="AA14" s="118">
        <v>0</v>
      </c>
      <c r="AB14" s="118">
        <v>1</v>
      </c>
      <c r="AC14" s="118">
        <v>151</v>
      </c>
      <c r="AD14" s="118">
        <v>0</v>
      </c>
      <c r="AE14" s="131">
        <v>85</v>
      </c>
      <c r="AF14" s="131">
        <v>236</v>
      </c>
    </row>
    <row r="15" spans="1:32" ht="23.1" customHeight="1" x14ac:dyDescent="0.25">
      <c r="A15" s="57"/>
      <c r="B15" s="123" t="s">
        <v>42</v>
      </c>
      <c r="C15" s="144">
        <v>6</v>
      </c>
      <c r="D15" s="144">
        <v>2</v>
      </c>
      <c r="E15" s="144">
        <v>4</v>
      </c>
      <c r="F15" s="144">
        <v>4</v>
      </c>
      <c r="G15" s="144">
        <v>0</v>
      </c>
      <c r="H15" s="144">
        <v>0</v>
      </c>
      <c r="I15" s="144">
        <v>3</v>
      </c>
      <c r="J15" s="144">
        <v>0</v>
      </c>
      <c r="K15" s="144">
        <v>0</v>
      </c>
      <c r="L15" s="144">
        <v>0</v>
      </c>
      <c r="M15" s="144">
        <v>48</v>
      </c>
      <c r="N15" s="144">
        <v>0</v>
      </c>
      <c r="O15" s="116">
        <v>19</v>
      </c>
      <c r="P15" s="116">
        <v>67</v>
      </c>
      <c r="Q15" s="101"/>
      <c r="R15" s="102" t="s">
        <v>11</v>
      </c>
      <c r="S15" s="118">
        <v>28</v>
      </c>
      <c r="T15" s="118">
        <v>13</v>
      </c>
      <c r="U15" s="118">
        <v>15</v>
      </c>
      <c r="V15" s="118">
        <v>9</v>
      </c>
      <c r="W15" s="118">
        <v>1</v>
      </c>
      <c r="X15" s="118">
        <v>0</v>
      </c>
      <c r="Y15" s="118">
        <v>15</v>
      </c>
      <c r="Z15" s="118">
        <v>3</v>
      </c>
      <c r="AA15" s="118">
        <v>5</v>
      </c>
      <c r="AB15" s="118">
        <v>0</v>
      </c>
      <c r="AC15" s="118">
        <v>146</v>
      </c>
      <c r="AD15" s="118">
        <v>0</v>
      </c>
      <c r="AE15" s="131">
        <v>89</v>
      </c>
      <c r="AF15" s="131">
        <v>235</v>
      </c>
    </row>
    <row r="16" spans="1:32" ht="23.1" customHeight="1" x14ac:dyDescent="0.25">
      <c r="A16" s="57"/>
      <c r="B16" s="123" t="s">
        <v>43</v>
      </c>
      <c r="C16" s="144">
        <v>4</v>
      </c>
      <c r="D16" s="144">
        <v>3</v>
      </c>
      <c r="E16" s="144">
        <v>0</v>
      </c>
      <c r="F16" s="144">
        <v>3</v>
      </c>
      <c r="G16" s="144">
        <v>0</v>
      </c>
      <c r="H16" s="144">
        <v>0</v>
      </c>
      <c r="I16" s="144">
        <v>2</v>
      </c>
      <c r="J16" s="144">
        <v>0</v>
      </c>
      <c r="K16" s="144">
        <v>0</v>
      </c>
      <c r="L16" s="144">
        <v>0</v>
      </c>
      <c r="M16" s="144">
        <v>53</v>
      </c>
      <c r="N16" s="144">
        <v>0</v>
      </c>
      <c r="O16" s="116">
        <v>12</v>
      </c>
      <c r="P16" s="116">
        <v>65</v>
      </c>
      <c r="Q16" s="101"/>
      <c r="R16" s="102" t="s">
        <v>12</v>
      </c>
      <c r="S16" s="118">
        <v>29</v>
      </c>
      <c r="T16" s="118">
        <v>14</v>
      </c>
      <c r="U16" s="118">
        <v>8</v>
      </c>
      <c r="V16" s="118">
        <v>3</v>
      </c>
      <c r="W16" s="118">
        <v>0</v>
      </c>
      <c r="X16" s="118">
        <v>0</v>
      </c>
      <c r="Y16" s="118">
        <v>8</v>
      </c>
      <c r="Z16" s="118">
        <v>0</v>
      </c>
      <c r="AA16" s="118">
        <v>0</v>
      </c>
      <c r="AB16" s="118">
        <v>0</v>
      </c>
      <c r="AC16" s="118">
        <v>51</v>
      </c>
      <c r="AD16" s="118">
        <v>0</v>
      </c>
      <c r="AE16" s="131">
        <v>62</v>
      </c>
      <c r="AF16" s="131">
        <v>113</v>
      </c>
    </row>
    <row r="17" spans="1:32" ht="23.1" customHeight="1" x14ac:dyDescent="0.25">
      <c r="A17" s="57"/>
      <c r="B17" s="123" t="s">
        <v>44</v>
      </c>
      <c r="C17" s="144">
        <v>8</v>
      </c>
      <c r="D17" s="144">
        <v>5</v>
      </c>
      <c r="E17" s="144">
        <v>0</v>
      </c>
      <c r="F17" s="144">
        <v>1</v>
      </c>
      <c r="G17" s="144">
        <v>0</v>
      </c>
      <c r="H17" s="144">
        <v>0</v>
      </c>
      <c r="I17" s="144">
        <v>4</v>
      </c>
      <c r="J17" s="144">
        <v>1</v>
      </c>
      <c r="K17" s="144">
        <v>1</v>
      </c>
      <c r="L17" s="144">
        <v>0</v>
      </c>
      <c r="M17" s="144">
        <v>41</v>
      </c>
      <c r="N17" s="144">
        <v>0</v>
      </c>
      <c r="O17" s="116">
        <v>20</v>
      </c>
      <c r="P17" s="116">
        <v>61</v>
      </c>
      <c r="Q17" s="101"/>
      <c r="R17" s="102" t="s">
        <v>13</v>
      </c>
      <c r="S17" s="118">
        <v>24</v>
      </c>
      <c r="T17" s="118">
        <v>15</v>
      </c>
      <c r="U17" s="118">
        <v>6</v>
      </c>
      <c r="V17" s="118">
        <v>7</v>
      </c>
      <c r="W17" s="118">
        <v>0</v>
      </c>
      <c r="X17" s="118">
        <v>0</v>
      </c>
      <c r="Y17" s="118">
        <v>7</v>
      </c>
      <c r="Z17" s="118">
        <v>1</v>
      </c>
      <c r="AA17" s="118">
        <v>0</v>
      </c>
      <c r="AB17" s="118">
        <v>0</v>
      </c>
      <c r="AC17" s="118">
        <v>67</v>
      </c>
      <c r="AD17" s="118">
        <v>0</v>
      </c>
      <c r="AE17" s="131">
        <v>60</v>
      </c>
      <c r="AF17" s="131">
        <v>127</v>
      </c>
    </row>
    <row r="18" spans="1:32" ht="23.1" customHeight="1" x14ac:dyDescent="0.25">
      <c r="A18" s="57"/>
      <c r="B18" s="123" t="s">
        <v>45</v>
      </c>
      <c r="C18" s="144">
        <v>11</v>
      </c>
      <c r="D18" s="144">
        <v>5</v>
      </c>
      <c r="E18" s="144">
        <v>2</v>
      </c>
      <c r="F18" s="144">
        <v>1</v>
      </c>
      <c r="G18" s="144">
        <v>0</v>
      </c>
      <c r="H18" s="144">
        <v>0</v>
      </c>
      <c r="I18" s="144">
        <v>3</v>
      </c>
      <c r="J18" s="144">
        <v>0</v>
      </c>
      <c r="K18" s="144">
        <v>0</v>
      </c>
      <c r="L18" s="144">
        <v>0</v>
      </c>
      <c r="M18" s="144">
        <v>30</v>
      </c>
      <c r="N18" s="144">
        <v>0</v>
      </c>
      <c r="O18" s="116">
        <v>22</v>
      </c>
      <c r="P18" s="116">
        <v>52</v>
      </c>
      <c r="Q18" s="101"/>
      <c r="R18" s="102" t="s">
        <v>14</v>
      </c>
      <c r="S18" s="118">
        <v>25</v>
      </c>
      <c r="T18" s="118">
        <v>13</v>
      </c>
      <c r="U18" s="118">
        <v>5</v>
      </c>
      <c r="V18" s="118">
        <v>9</v>
      </c>
      <c r="W18" s="118">
        <v>0</v>
      </c>
      <c r="X18" s="118">
        <v>1</v>
      </c>
      <c r="Y18" s="118">
        <v>8</v>
      </c>
      <c r="Z18" s="118">
        <v>1</v>
      </c>
      <c r="AA18" s="118">
        <v>0</v>
      </c>
      <c r="AB18" s="118">
        <v>0</v>
      </c>
      <c r="AC18" s="118">
        <v>126</v>
      </c>
      <c r="AD18" s="118">
        <v>0</v>
      </c>
      <c r="AE18" s="131">
        <v>62</v>
      </c>
      <c r="AF18" s="131">
        <v>188</v>
      </c>
    </row>
    <row r="19" spans="1:32" ht="23.1" customHeight="1" x14ac:dyDescent="0.25">
      <c r="A19" s="57"/>
      <c r="B19" s="123" t="s">
        <v>46</v>
      </c>
      <c r="C19" s="144">
        <v>10</v>
      </c>
      <c r="D19" s="144">
        <v>8</v>
      </c>
      <c r="E19" s="144">
        <v>4</v>
      </c>
      <c r="F19" s="144">
        <v>2</v>
      </c>
      <c r="G19" s="144">
        <v>0</v>
      </c>
      <c r="H19" s="144">
        <v>0</v>
      </c>
      <c r="I19" s="144">
        <v>1</v>
      </c>
      <c r="J19" s="144">
        <v>1</v>
      </c>
      <c r="K19" s="144">
        <v>0</v>
      </c>
      <c r="L19" s="144">
        <v>0</v>
      </c>
      <c r="M19" s="144">
        <v>25</v>
      </c>
      <c r="N19" s="144">
        <v>0</v>
      </c>
      <c r="O19" s="116">
        <v>26</v>
      </c>
      <c r="P19" s="116">
        <v>51</v>
      </c>
      <c r="Q19" s="101"/>
      <c r="R19" s="102" t="s">
        <v>15</v>
      </c>
      <c r="S19" s="118">
        <v>33</v>
      </c>
      <c r="T19" s="118">
        <v>21</v>
      </c>
      <c r="U19" s="118">
        <v>12</v>
      </c>
      <c r="V19" s="118">
        <v>9</v>
      </c>
      <c r="W19" s="118">
        <v>0</v>
      </c>
      <c r="X19" s="118">
        <v>0</v>
      </c>
      <c r="Y19" s="118">
        <v>9</v>
      </c>
      <c r="Z19" s="118">
        <v>2</v>
      </c>
      <c r="AA19" s="118">
        <v>0</v>
      </c>
      <c r="AB19" s="118">
        <v>1</v>
      </c>
      <c r="AC19" s="118">
        <v>128</v>
      </c>
      <c r="AD19" s="118">
        <v>0</v>
      </c>
      <c r="AE19" s="131">
        <v>87</v>
      </c>
      <c r="AF19" s="131">
        <v>215</v>
      </c>
    </row>
    <row r="20" spans="1:32" ht="23.1" customHeight="1" x14ac:dyDescent="0.25">
      <c r="A20" s="57"/>
      <c r="B20" s="123" t="s">
        <v>47</v>
      </c>
      <c r="C20" s="144">
        <v>6</v>
      </c>
      <c r="D20" s="144">
        <v>4</v>
      </c>
      <c r="E20" s="144">
        <v>0</v>
      </c>
      <c r="F20" s="144">
        <v>2</v>
      </c>
      <c r="G20" s="144">
        <v>0</v>
      </c>
      <c r="H20" s="144">
        <v>0</v>
      </c>
      <c r="I20" s="144">
        <v>1</v>
      </c>
      <c r="J20" s="144">
        <v>0</v>
      </c>
      <c r="K20" s="144">
        <v>0</v>
      </c>
      <c r="L20" s="144">
        <v>0</v>
      </c>
      <c r="M20" s="144">
        <v>27</v>
      </c>
      <c r="N20" s="144">
        <v>0</v>
      </c>
      <c r="O20" s="116">
        <v>13</v>
      </c>
      <c r="P20" s="116">
        <v>40</v>
      </c>
      <c r="Q20" s="101"/>
      <c r="R20" s="102" t="s">
        <v>16</v>
      </c>
      <c r="S20" s="118">
        <v>57</v>
      </c>
      <c r="T20" s="118">
        <v>38</v>
      </c>
      <c r="U20" s="118">
        <v>16</v>
      </c>
      <c r="V20" s="118">
        <v>28</v>
      </c>
      <c r="W20" s="118">
        <v>0</v>
      </c>
      <c r="X20" s="118">
        <v>0</v>
      </c>
      <c r="Y20" s="118">
        <v>8</v>
      </c>
      <c r="Z20" s="118">
        <v>0</v>
      </c>
      <c r="AA20" s="118">
        <v>0</v>
      </c>
      <c r="AB20" s="118">
        <v>0</v>
      </c>
      <c r="AC20" s="118">
        <v>153</v>
      </c>
      <c r="AD20" s="118">
        <v>0</v>
      </c>
      <c r="AE20" s="131">
        <v>147</v>
      </c>
      <c r="AF20" s="131">
        <v>300</v>
      </c>
    </row>
    <row r="21" spans="1:32" ht="23.1" customHeight="1" x14ac:dyDescent="0.25">
      <c r="A21" s="57"/>
      <c r="B21" s="123" t="s">
        <v>48</v>
      </c>
      <c r="C21" s="144">
        <v>8</v>
      </c>
      <c r="D21" s="144">
        <v>1</v>
      </c>
      <c r="E21" s="144">
        <v>5</v>
      </c>
      <c r="F21" s="144">
        <v>1</v>
      </c>
      <c r="G21" s="144">
        <v>0</v>
      </c>
      <c r="H21" s="144">
        <v>0</v>
      </c>
      <c r="I21" s="144">
        <v>4</v>
      </c>
      <c r="J21" s="144">
        <v>0</v>
      </c>
      <c r="K21" s="144">
        <v>1</v>
      </c>
      <c r="L21" s="144">
        <v>0</v>
      </c>
      <c r="M21" s="144">
        <v>52</v>
      </c>
      <c r="N21" s="144">
        <v>0</v>
      </c>
      <c r="O21" s="116">
        <v>20</v>
      </c>
      <c r="P21" s="116">
        <v>72</v>
      </c>
      <c r="Q21" s="101"/>
      <c r="R21" s="135" t="s">
        <v>20</v>
      </c>
      <c r="S21" s="133">
        <v>40</v>
      </c>
      <c r="T21" s="118">
        <v>32</v>
      </c>
      <c r="U21" s="118">
        <v>17</v>
      </c>
      <c r="V21" s="118">
        <v>24</v>
      </c>
      <c r="W21" s="118">
        <v>2</v>
      </c>
      <c r="X21" s="118">
        <v>0</v>
      </c>
      <c r="Y21" s="118">
        <v>12</v>
      </c>
      <c r="Z21" s="118">
        <v>1</v>
      </c>
      <c r="AA21" s="118">
        <v>1</v>
      </c>
      <c r="AB21" s="118">
        <v>0</v>
      </c>
      <c r="AC21" s="118">
        <v>156</v>
      </c>
      <c r="AD21" s="118">
        <v>0</v>
      </c>
      <c r="AE21" s="131">
        <v>129</v>
      </c>
      <c r="AF21" s="131">
        <v>285</v>
      </c>
    </row>
    <row r="22" spans="1:32" ht="23.1" customHeight="1" x14ac:dyDescent="0.25">
      <c r="A22" s="57"/>
      <c r="B22" s="123" t="s">
        <v>49</v>
      </c>
      <c r="C22" s="144">
        <v>9</v>
      </c>
      <c r="D22" s="144">
        <v>7</v>
      </c>
      <c r="E22" s="144">
        <v>1</v>
      </c>
      <c r="F22" s="144">
        <v>1</v>
      </c>
      <c r="G22" s="144">
        <v>0</v>
      </c>
      <c r="H22" s="144">
        <v>0</v>
      </c>
      <c r="I22" s="144">
        <v>3</v>
      </c>
      <c r="J22" s="144">
        <v>1</v>
      </c>
      <c r="K22" s="144">
        <v>0</v>
      </c>
      <c r="L22" s="144">
        <v>0</v>
      </c>
      <c r="M22" s="144">
        <v>30</v>
      </c>
      <c r="N22" s="144">
        <v>0</v>
      </c>
      <c r="O22" s="116">
        <v>22</v>
      </c>
      <c r="P22" s="116">
        <v>52</v>
      </c>
      <c r="Q22" s="101"/>
      <c r="R22" s="137" t="s">
        <v>90</v>
      </c>
      <c r="S22" s="138">
        <v>39</v>
      </c>
      <c r="T22" s="138">
        <v>25</v>
      </c>
      <c r="U22" s="138">
        <v>11</v>
      </c>
      <c r="V22" s="138">
        <v>19</v>
      </c>
      <c r="W22" s="138">
        <v>2</v>
      </c>
      <c r="X22" s="138">
        <v>0</v>
      </c>
      <c r="Y22" s="138">
        <v>9</v>
      </c>
      <c r="Z22" s="138">
        <v>3</v>
      </c>
      <c r="AA22" s="138">
        <v>2</v>
      </c>
      <c r="AB22" s="138">
        <v>1</v>
      </c>
      <c r="AC22" s="138">
        <v>207</v>
      </c>
      <c r="AD22" s="138">
        <v>0</v>
      </c>
      <c r="AE22" s="139">
        <v>109</v>
      </c>
      <c r="AF22" s="139">
        <v>311</v>
      </c>
    </row>
    <row r="23" spans="1:32" ht="23.1" customHeight="1" x14ac:dyDescent="0.25">
      <c r="A23" s="57"/>
      <c r="B23" s="123" t="s">
        <v>50</v>
      </c>
      <c r="C23" s="144">
        <v>10</v>
      </c>
      <c r="D23" s="144">
        <v>4</v>
      </c>
      <c r="E23" s="144">
        <v>3</v>
      </c>
      <c r="F23" s="144">
        <v>2</v>
      </c>
      <c r="G23" s="144">
        <v>1</v>
      </c>
      <c r="H23" s="144">
        <v>0</v>
      </c>
      <c r="I23" s="144">
        <v>3</v>
      </c>
      <c r="J23" s="144">
        <v>0</v>
      </c>
      <c r="K23" s="144">
        <v>0</v>
      </c>
      <c r="L23" s="144">
        <v>0</v>
      </c>
      <c r="M23" s="144">
        <v>37</v>
      </c>
      <c r="N23" s="144">
        <v>0</v>
      </c>
      <c r="O23" s="116">
        <v>23</v>
      </c>
      <c r="P23" s="116">
        <v>60</v>
      </c>
      <c r="Q23" s="101"/>
      <c r="R23" s="137" t="s">
        <v>91</v>
      </c>
      <c r="S23" s="138">
        <v>39</v>
      </c>
      <c r="T23" s="138">
        <v>21</v>
      </c>
      <c r="U23" s="138">
        <v>16</v>
      </c>
      <c r="V23" s="138">
        <v>9</v>
      </c>
      <c r="W23" s="138">
        <v>1</v>
      </c>
      <c r="X23" s="138">
        <v>1</v>
      </c>
      <c r="Y23" s="138">
        <v>15</v>
      </c>
      <c r="Z23" s="138">
        <v>3</v>
      </c>
      <c r="AA23" s="138">
        <v>5</v>
      </c>
      <c r="AB23" s="138">
        <v>1</v>
      </c>
      <c r="AC23" s="138">
        <v>151</v>
      </c>
      <c r="AD23" s="138">
        <v>0</v>
      </c>
      <c r="AE23" s="139">
        <v>93</v>
      </c>
      <c r="AF23" s="139">
        <v>236</v>
      </c>
    </row>
    <row r="24" spans="1:32" ht="23.1" customHeight="1" x14ac:dyDescent="0.25">
      <c r="A24" s="57"/>
      <c r="B24" s="123" t="s">
        <v>51</v>
      </c>
      <c r="C24" s="144">
        <v>9</v>
      </c>
      <c r="D24" s="144">
        <v>7</v>
      </c>
      <c r="E24" s="144">
        <v>2</v>
      </c>
      <c r="F24" s="144">
        <v>2</v>
      </c>
      <c r="G24" s="144">
        <v>0</v>
      </c>
      <c r="H24" s="144">
        <v>0</v>
      </c>
      <c r="I24" s="144">
        <v>2</v>
      </c>
      <c r="J24" s="144">
        <v>2</v>
      </c>
      <c r="K24" s="144">
        <v>0</v>
      </c>
      <c r="L24" s="144">
        <v>0</v>
      </c>
      <c r="M24" s="144">
        <v>25</v>
      </c>
      <c r="N24" s="144">
        <v>0</v>
      </c>
      <c r="O24" s="116">
        <v>24</v>
      </c>
      <c r="P24" s="116">
        <v>49</v>
      </c>
      <c r="Q24" s="101"/>
      <c r="R24" s="137" t="s">
        <v>92</v>
      </c>
      <c r="S24" s="138">
        <v>57</v>
      </c>
      <c r="T24" s="138">
        <v>38</v>
      </c>
      <c r="U24" s="138">
        <v>17</v>
      </c>
      <c r="V24" s="138">
        <v>28</v>
      </c>
      <c r="W24" s="138">
        <v>2</v>
      </c>
      <c r="X24" s="138">
        <v>0</v>
      </c>
      <c r="Y24" s="138">
        <v>12</v>
      </c>
      <c r="Z24" s="138">
        <v>2</v>
      </c>
      <c r="AA24" s="138">
        <v>1</v>
      </c>
      <c r="AB24" s="138">
        <v>1</v>
      </c>
      <c r="AC24" s="138">
        <v>156</v>
      </c>
      <c r="AD24" s="138">
        <v>0</v>
      </c>
      <c r="AE24" s="139">
        <v>147</v>
      </c>
      <c r="AF24" s="139">
        <v>300</v>
      </c>
    </row>
    <row r="25" spans="1:32" ht="23.1" customHeight="1" x14ac:dyDescent="0.25">
      <c r="A25" s="57"/>
      <c r="B25" s="123" t="s">
        <v>52</v>
      </c>
      <c r="C25" s="144">
        <v>11</v>
      </c>
      <c r="D25" s="144">
        <v>3</v>
      </c>
      <c r="E25" s="144">
        <v>4</v>
      </c>
      <c r="F25" s="144">
        <v>1</v>
      </c>
      <c r="G25" s="144">
        <v>0</v>
      </c>
      <c r="H25" s="144">
        <v>0</v>
      </c>
      <c r="I25" s="144">
        <v>5</v>
      </c>
      <c r="J25" s="144">
        <v>0</v>
      </c>
      <c r="K25" s="144">
        <v>0</v>
      </c>
      <c r="L25" s="144">
        <v>0</v>
      </c>
      <c r="M25" s="144">
        <v>28</v>
      </c>
      <c r="N25" s="144">
        <v>0</v>
      </c>
      <c r="O25" s="116">
        <v>24</v>
      </c>
      <c r="P25" s="116">
        <v>52</v>
      </c>
      <c r="Q25" s="101"/>
      <c r="R25" s="136" t="s">
        <v>85</v>
      </c>
      <c r="S25" s="134">
        <v>100</v>
      </c>
      <c r="T25" s="117">
        <v>56</v>
      </c>
      <c r="U25" s="117">
        <v>23</v>
      </c>
      <c r="V25" s="117">
        <v>36</v>
      </c>
      <c r="W25" s="117">
        <v>2</v>
      </c>
      <c r="X25" s="117">
        <v>0</v>
      </c>
      <c r="Y25" s="117">
        <v>27</v>
      </c>
      <c r="Z25" s="117">
        <v>5</v>
      </c>
      <c r="AA25" s="117">
        <v>3</v>
      </c>
      <c r="AB25" s="117">
        <v>1</v>
      </c>
      <c r="AC25" s="117">
        <v>541</v>
      </c>
      <c r="AD25" s="117">
        <v>0</v>
      </c>
      <c r="AE25" s="132">
        <v>294</v>
      </c>
      <c r="AF25" s="132">
        <v>794</v>
      </c>
    </row>
    <row r="26" spans="1:32" ht="23.1" customHeight="1" x14ac:dyDescent="0.25">
      <c r="A26" s="57"/>
      <c r="B26" s="123" t="s">
        <v>53</v>
      </c>
      <c r="C26" s="144">
        <v>4</v>
      </c>
      <c r="D26" s="144">
        <v>3</v>
      </c>
      <c r="E26" s="144">
        <v>7</v>
      </c>
      <c r="F26" s="144">
        <v>0</v>
      </c>
      <c r="G26" s="144">
        <v>0</v>
      </c>
      <c r="H26" s="144">
        <v>0</v>
      </c>
      <c r="I26" s="144">
        <v>2</v>
      </c>
      <c r="J26" s="144">
        <v>1</v>
      </c>
      <c r="K26" s="144">
        <v>0</v>
      </c>
      <c r="L26" s="144">
        <v>1</v>
      </c>
      <c r="M26" s="144">
        <v>37</v>
      </c>
      <c r="N26" s="144">
        <v>0</v>
      </c>
      <c r="O26" s="116">
        <v>18</v>
      </c>
      <c r="P26" s="116">
        <v>55</v>
      </c>
      <c r="Q26" s="101"/>
      <c r="R26" s="128" t="s">
        <v>86</v>
      </c>
      <c r="S26" s="117">
        <v>180</v>
      </c>
      <c r="T26" s="117">
        <v>85</v>
      </c>
      <c r="U26" s="117">
        <v>60</v>
      </c>
      <c r="V26" s="117">
        <v>43</v>
      </c>
      <c r="W26" s="117">
        <v>3</v>
      </c>
      <c r="X26" s="117">
        <v>1</v>
      </c>
      <c r="Y26" s="117">
        <v>64</v>
      </c>
      <c r="Z26" s="117">
        <v>9</v>
      </c>
      <c r="AA26" s="117">
        <v>5</v>
      </c>
      <c r="AB26" s="117">
        <v>1</v>
      </c>
      <c r="AC26" s="117">
        <v>661</v>
      </c>
      <c r="AD26" s="117">
        <v>0</v>
      </c>
      <c r="AE26" s="132">
        <v>451</v>
      </c>
      <c r="AF26" s="132">
        <v>1112</v>
      </c>
    </row>
    <row r="27" spans="1:32" ht="23.1" customHeight="1" x14ac:dyDescent="0.25">
      <c r="A27" s="57"/>
      <c r="B27" s="123" t="s">
        <v>54</v>
      </c>
      <c r="C27" s="144">
        <v>10</v>
      </c>
      <c r="D27" s="144">
        <v>2</v>
      </c>
      <c r="E27" s="144">
        <v>1</v>
      </c>
      <c r="F27" s="144">
        <v>2</v>
      </c>
      <c r="G27" s="144">
        <v>0</v>
      </c>
      <c r="H27" s="144">
        <v>0</v>
      </c>
      <c r="I27" s="144">
        <v>2</v>
      </c>
      <c r="J27" s="144">
        <v>0</v>
      </c>
      <c r="K27" s="144">
        <v>0</v>
      </c>
      <c r="L27" s="144">
        <v>0</v>
      </c>
      <c r="M27" s="144">
        <v>41</v>
      </c>
      <c r="N27" s="144">
        <v>0</v>
      </c>
      <c r="O27" s="116">
        <v>17</v>
      </c>
      <c r="P27" s="116">
        <v>58</v>
      </c>
      <c r="Q27" s="101"/>
      <c r="R27" s="129" t="s">
        <v>87</v>
      </c>
      <c r="S27" s="117">
        <v>130</v>
      </c>
      <c r="T27" s="117">
        <v>91</v>
      </c>
      <c r="U27" s="117">
        <v>45</v>
      </c>
      <c r="V27" s="117">
        <v>61</v>
      </c>
      <c r="W27" s="117">
        <v>2</v>
      </c>
      <c r="X27" s="117">
        <v>0</v>
      </c>
      <c r="Y27" s="117">
        <v>29</v>
      </c>
      <c r="Z27" s="117">
        <v>3</v>
      </c>
      <c r="AA27" s="117">
        <v>1</v>
      </c>
      <c r="AB27" s="117">
        <v>1</v>
      </c>
      <c r="AC27" s="117">
        <v>437</v>
      </c>
      <c r="AD27" s="117">
        <v>0</v>
      </c>
      <c r="AE27" s="132">
        <v>363</v>
      </c>
      <c r="AF27" s="132">
        <v>800</v>
      </c>
    </row>
    <row r="28" spans="1:32" ht="23.1" customHeight="1" x14ac:dyDescent="0.25">
      <c r="A28" s="57"/>
      <c r="B28" s="123" t="s">
        <v>55</v>
      </c>
      <c r="C28" s="144">
        <v>10</v>
      </c>
      <c r="D28" s="144">
        <v>2</v>
      </c>
      <c r="E28" s="144">
        <v>4</v>
      </c>
      <c r="F28" s="144">
        <v>3</v>
      </c>
      <c r="G28" s="144">
        <v>0</v>
      </c>
      <c r="H28" s="144">
        <v>0</v>
      </c>
      <c r="I28" s="144">
        <v>4</v>
      </c>
      <c r="J28" s="144">
        <v>0</v>
      </c>
      <c r="K28" s="144">
        <v>0</v>
      </c>
      <c r="L28" s="144">
        <v>0</v>
      </c>
      <c r="M28" s="144">
        <v>40</v>
      </c>
      <c r="N28" s="144">
        <v>0</v>
      </c>
      <c r="O28" s="116">
        <v>23</v>
      </c>
      <c r="P28" s="116">
        <v>63</v>
      </c>
      <c r="Q28" s="101"/>
      <c r="R28" s="106" t="s">
        <v>17</v>
      </c>
      <c r="S28" s="117">
        <v>410</v>
      </c>
      <c r="T28" s="117">
        <v>232</v>
      </c>
      <c r="U28" s="117">
        <v>128</v>
      </c>
      <c r="V28" s="117">
        <v>140</v>
      </c>
      <c r="W28" s="117">
        <v>7</v>
      </c>
      <c r="X28" s="117">
        <v>1</v>
      </c>
      <c r="Y28" s="117">
        <v>120</v>
      </c>
      <c r="Z28" s="117">
        <v>17</v>
      </c>
      <c r="AA28" s="117">
        <v>9</v>
      </c>
      <c r="AB28" s="117">
        <v>3</v>
      </c>
      <c r="AC28" s="117">
        <v>1639</v>
      </c>
      <c r="AD28" s="117">
        <v>0</v>
      </c>
      <c r="AE28" s="132">
        <v>1108</v>
      </c>
      <c r="AF28" s="132">
        <v>2706</v>
      </c>
    </row>
    <row r="29" spans="1:32" ht="23.1" customHeight="1" x14ac:dyDescent="0.25">
      <c r="A29" s="57"/>
      <c r="B29" s="123" t="s">
        <v>56</v>
      </c>
      <c r="C29" s="144">
        <v>11</v>
      </c>
      <c r="D29" s="144">
        <v>2</v>
      </c>
      <c r="E29" s="144">
        <v>4</v>
      </c>
      <c r="F29" s="144">
        <v>4</v>
      </c>
      <c r="G29" s="144">
        <v>1</v>
      </c>
      <c r="H29" s="144">
        <v>0</v>
      </c>
      <c r="I29" s="144">
        <v>5</v>
      </c>
      <c r="J29" s="144">
        <v>0</v>
      </c>
      <c r="K29" s="144">
        <v>0</v>
      </c>
      <c r="L29" s="144">
        <v>0</v>
      </c>
      <c r="M29" s="144">
        <v>33</v>
      </c>
      <c r="N29" s="144">
        <v>0</v>
      </c>
      <c r="O29" s="116">
        <v>27</v>
      </c>
      <c r="P29" s="116">
        <v>60</v>
      </c>
      <c r="Q29" s="101"/>
      <c r="R29" s="101"/>
      <c r="S29" s="121"/>
      <c r="T29" s="120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</row>
    <row r="30" spans="1:32" ht="23.1" customHeight="1" x14ac:dyDescent="0.25">
      <c r="A30" s="57"/>
      <c r="B30" s="123" t="s">
        <v>57</v>
      </c>
      <c r="C30" s="144">
        <v>8</v>
      </c>
      <c r="D30" s="144">
        <v>4</v>
      </c>
      <c r="E30" s="144">
        <v>3</v>
      </c>
      <c r="F30" s="144">
        <v>5</v>
      </c>
      <c r="G30" s="144">
        <v>1</v>
      </c>
      <c r="H30" s="144">
        <v>0</v>
      </c>
      <c r="I30" s="144">
        <v>6</v>
      </c>
      <c r="J30" s="144">
        <v>1</v>
      </c>
      <c r="K30" s="144">
        <v>1</v>
      </c>
      <c r="L30" s="144">
        <v>0</v>
      </c>
      <c r="M30" s="144">
        <v>26</v>
      </c>
      <c r="N30" s="144">
        <v>0</v>
      </c>
      <c r="O30" s="116">
        <v>29</v>
      </c>
      <c r="P30" s="116">
        <v>55</v>
      </c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</row>
    <row r="31" spans="1:32" ht="23.1" customHeight="1" x14ac:dyDescent="0.25">
      <c r="A31" s="57"/>
      <c r="B31" s="124" t="s">
        <v>58</v>
      </c>
      <c r="C31" s="144">
        <v>8</v>
      </c>
      <c r="D31" s="144">
        <v>1</v>
      </c>
      <c r="E31" s="144">
        <v>5</v>
      </c>
      <c r="F31" s="144">
        <v>1</v>
      </c>
      <c r="G31" s="144">
        <v>0</v>
      </c>
      <c r="H31" s="144">
        <v>0</v>
      </c>
      <c r="I31" s="144">
        <v>2</v>
      </c>
      <c r="J31" s="144">
        <v>0</v>
      </c>
      <c r="K31" s="144">
        <v>0</v>
      </c>
      <c r="L31" s="144">
        <v>0</v>
      </c>
      <c r="M31" s="144">
        <v>24</v>
      </c>
      <c r="N31" s="144">
        <v>0</v>
      </c>
      <c r="O31" s="116">
        <v>17</v>
      </c>
      <c r="P31" s="116">
        <v>41</v>
      </c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</row>
    <row r="32" spans="1:32" ht="23.1" customHeight="1" x14ac:dyDescent="0.25">
      <c r="A32" s="57"/>
      <c r="B32" s="124" t="s">
        <v>59</v>
      </c>
      <c r="C32" s="144">
        <v>7</v>
      </c>
      <c r="D32" s="144">
        <v>6</v>
      </c>
      <c r="E32" s="144">
        <v>3</v>
      </c>
      <c r="F32" s="144">
        <v>2</v>
      </c>
      <c r="G32" s="144">
        <v>0</v>
      </c>
      <c r="H32" s="144">
        <v>0</v>
      </c>
      <c r="I32" s="144">
        <v>2</v>
      </c>
      <c r="J32" s="144">
        <v>1</v>
      </c>
      <c r="K32" s="144">
        <v>0</v>
      </c>
      <c r="L32" s="144">
        <v>0</v>
      </c>
      <c r="M32" s="144">
        <v>46</v>
      </c>
      <c r="N32" s="144">
        <v>0</v>
      </c>
      <c r="O32" s="116">
        <v>21</v>
      </c>
      <c r="P32" s="116">
        <v>67</v>
      </c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</row>
    <row r="33" spans="1:32" ht="23.1" customHeight="1" x14ac:dyDescent="0.25">
      <c r="A33" s="57"/>
      <c r="B33" s="123" t="s">
        <v>60</v>
      </c>
      <c r="C33" s="144">
        <v>5</v>
      </c>
      <c r="D33" s="144">
        <v>2</v>
      </c>
      <c r="E33" s="144">
        <v>4</v>
      </c>
      <c r="F33" s="144">
        <v>1</v>
      </c>
      <c r="G33" s="144">
        <v>0</v>
      </c>
      <c r="H33" s="144">
        <v>0</v>
      </c>
      <c r="I33" s="144">
        <v>5</v>
      </c>
      <c r="J33" s="144">
        <v>1</v>
      </c>
      <c r="K33" s="144">
        <v>4</v>
      </c>
      <c r="L33" s="144">
        <v>0</v>
      </c>
      <c r="M33" s="144">
        <v>50</v>
      </c>
      <c r="N33" s="144">
        <v>0</v>
      </c>
      <c r="O33" s="116">
        <v>22</v>
      </c>
      <c r="P33" s="116">
        <v>72</v>
      </c>
      <c r="Q33" s="101"/>
      <c r="R33" s="101"/>
      <c r="S33" s="101"/>
      <c r="T33" s="101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</row>
    <row r="34" spans="1:32" ht="23.1" customHeight="1" x14ac:dyDescent="0.25">
      <c r="A34" s="57"/>
      <c r="B34" s="124" t="s">
        <v>61</v>
      </c>
      <c r="C34" s="144">
        <v>8</v>
      </c>
      <c r="D34" s="144">
        <v>4</v>
      </c>
      <c r="E34" s="144">
        <v>0</v>
      </c>
      <c r="F34" s="144">
        <v>1</v>
      </c>
      <c r="G34" s="144">
        <v>0</v>
      </c>
      <c r="H34" s="144">
        <v>0</v>
      </c>
      <c r="I34" s="144">
        <v>2</v>
      </c>
      <c r="J34" s="144">
        <v>0</v>
      </c>
      <c r="K34" s="144">
        <v>0</v>
      </c>
      <c r="L34" s="144">
        <v>0</v>
      </c>
      <c r="M34" s="144">
        <v>33</v>
      </c>
      <c r="N34" s="144">
        <v>0</v>
      </c>
      <c r="O34" s="116">
        <v>15</v>
      </c>
      <c r="P34" s="116">
        <v>48</v>
      </c>
      <c r="Q34" s="101"/>
      <c r="R34" s="101"/>
      <c r="S34" s="101"/>
      <c r="T34" s="101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</row>
    <row r="35" spans="1:32" ht="23.1" customHeight="1" x14ac:dyDescent="0.25">
      <c r="A35" s="57"/>
      <c r="B35" s="124" t="s">
        <v>62</v>
      </c>
      <c r="C35" s="144">
        <v>5</v>
      </c>
      <c r="D35" s="144">
        <v>4</v>
      </c>
      <c r="E35" s="144">
        <v>2</v>
      </c>
      <c r="F35" s="144">
        <v>1</v>
      </c>
      <c r="G35" s="144">
        <v>0</v>
      </c>
      <c r="H35" s="144">
        <v>0</v>
      </c>
      <c r="I35" s="144">
        <v>0</v>
      </c>
      <c r="J35" s="144">
        <v>0</v>
      </c>
      <c r="K35" s="144">
        <v>0</v>
      </c>
      <c r="L35" s="144">
        <v>0</v>
      </c>
      <c r="M35" s="144">
        <v>17</v>
      </c>
      <c r="N35" s="144">
        <v>0</v>
      </c>
      <c r="O35" s="116">
        <v>12</v>
      </c>
      <c r="P35" s="116">
        <v>29</v>
      </c>
      <c r="Q35" s="101"/>
      <c r="R35" s="101"/>
      <c r="S35" s="101"/>
      <c r="T35" s="101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</row>
    <row r="36" spans="1:32" ht="23.1" customHeight="1" x14ac:dyDescent="0.25">
      <c r="A36" s="57"/>
      <c r="B36" s="124" t="s">
        <v>63</v>
      </c>
      <c r="C36" s="144">
        <v>8</v>
      </c>
      <c r="D36" s="144">
        <v>1</v>
      </c>
      <c r="E36" s="144">
        <v>2</v>
      </c>
      <c r="F36" s="144">
        <v>1</v>
      </c>
      <c r="G36" s="144">
        <v>0</v>
      </c>
      <c r="H36" s="144">
        <v>0</v>
      </c>
      <c r="I36" s="144">
        <v>5</v>
      </c>
      <c r="J36" s="144">
        <v>0</v>
      </c>
      <c r="K36" s="144">
        <v>0</v>
      </c>
      <c r="L36" s="144">
        <v>0</v>
      </c>
      <c r="M36" s="144">
        <v>0</v>
      </c>
      <c r="N36" s="144">
        <v>0</v>
      </c>
      <c r="O36" s="116">
        <v>17</v>
      </c>
      <c r="P36" s="116">
        <v>17</v>
      </c>
      <c r="Q36" s="101"/>
      <c r="R36" s="101"/>
      <c r="S36" s="101"/>
      <c r="T36" s="101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</row>
    <row r="37" spans="1:32" ht="23.1" customHeight="1" x14ac:dyDescent="0.25">
      <c r="A37" s="57"/>
      <c r="B37" s="123" t="s">
        <v>64</v>
      </c>
      <c r="C37" s="144">
        <v>8</v>
      </c>
      <c r="D37" s="144">
        <v>5</v>
      </c>
      <c r="E37" s="144">
        <v>4</v>
      </c>
      <c r="F37" s="144">
        <v>0</v>
      </c>
      <c r="G37" s="144">
        <v>0</v>
      </c>
      <c r="H37" s="144">
        <v>0</v>
      </c>
      <c r="I37" s="144">
        <v>1</v>
      </c>
      <c r="J37" s="144">
        <v>0</v>
      </c>
      <c r="K37" s="144">
        <v>0</v>
      </c>
      <c r="L37" s="144">
        <v>0</v>
      </c>
      <c r="M37" s="144">
        <v>1</v>
      </c>
      <c r="N37" s="144">
        <v>0</v>
      </c>
      <c r="O37" s="116">
        <v>18</v>
      </c>
      <c r="P37" s="116">
        <v>19</v>
      </c>
      <c r="Q37" s="101"/>
      <c r="R37" s="101"/>
      <c r="S37" s="101"/>
      <c r="T37" s="101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</row>
    <row r="38" spans="1:32" ht="23.1" customHeight="1" x14ac:dyDescent="0.25">
      <c r="A38" s="57"/>
      <c r="B38" s="124" t="s">
        <v>65</v>
      </c>
      <c r="C38" s="144">
        <v>3</v>
      </c>
      <c r="D38" s="144">
        <v>6</v>
      </c>
      <c r="E38" s="144">
        <v>4</v>
      </c>
      <c r="F38" s="144">
        <v>1</v>
      </c>
      <c r="G38" s="144">
        <v>0</v>
      </c>
      <c r="H38" s="144">
        <v>0</v>
      </c>
      <c r="I38" s="144">
        <v>1</v>
      </c>
      <c r="J38" s="144">
        <v>0</v>
      </c>
      <c r="K38" s="144">
        <v>0</v>
      </c>
      <c r="L38" s="144">
        <v>0</v>
      </c>
      <c r="M38" s="144">
        <v>9</v>
      </c>
      <c r="N38" s="144">
        <v>0</v>
      </c>
      <c r="O38" s="116">
        <v>15</v>
      </c>
      <c r="P38" s="116">
        <v>24</v>
      </c>
      <c r="Q38" s="101"/>
      <c r="R38" s="101"/>
      <c r="S38" s="101"/>
      <c r="T38" s="101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</row>
    <row r="39" spans="1:32" ht="23.1" customHeight="1" x14ac:dyDescent="0.25">
      <c r="A39" s="57"/>
      <c r="B39" s="124" t="s">
        <v>66</v>
      </c>
      <c r="C39" s="144">
        <v>7</v>
      </c>
      <c r="D39" s="144">
        <v>2</v>
      </c>
      <c r="E39" s="144">
        <v>2</v>
      </c>
      <c r="F39" s="144">
        <v>1</v>
      </c>
      <c r="G39" s="144">
        <v>0</v>
      </c>
      <c r="H39" s="144">
        <v>0</v>
      </c>
      <c r="I39" s="144">
        <v>4</v>
      </c>
      <c r="J39" s="144">
        <v>0</v>
      </c>
      <c r="K39" s="144">
        <v>0</v>
      </c>
      <c r="L39" s="144">
        <v>0</v>
      </c>
      <c r="M39" s="144">
        <v>15</v>
      </c>
      <c r="N39" s="144">
        <v>0</v>
      </c>
      <c r="O39" s="116">
        <v>16</v>
      </c>
      <c r="P39" s="116">
        <v>31</v>
      </c>
      <c r="Q39" s="101"/>
      <c r="R39" s="101"/>
      <c r="S39" s="101"/>
      <c r="T39" s="101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</row>
    <row r="40" spans="1:32" ht="23.1" customHeight="1" x14ac:dyDescent="0.25">
      <c r="A40" s="57"/>
      <c r="B40" s="124" t="s">
        <v>67</v>
      </c>
      <c r="C40" s="144">
        <v>7</v>
      </c>
      <c r="D40" s="144">
        <v>6</v>
      </c>
      <c r="E40" s="144">
        <v>0</v>
      </c>
      <c r="F40" s="144">
        <v>3</v>
      </c>
      <c r="G40" s="144">
        <v>0</v>
      </c>
      <c r="H40" s="144">
        <v>0</v>
      </c>
      <c r="I40" s="144">
        <v>2</v>
      </c>
      <c r="J40" s="144">
        <v>0</v>
      </c>
      <c r="K40" s="144">
        <v>0</v>
      </c>
      <c r="L40" s="144">
        <v>0</v>
      </c>
      <c r="M40" s="144">
        <v>20</v>
      </c>
      <c r="N40" s="144">
        <v>0</v>
      </c>
      <c r="O40" s="116">
        <v>18</v>
      </c>
      <c r="P40" s="116">
        <v>38</v>
      </c>
      <c r="Q40" s="101"/>
      <c r="R40" s="101"/>
      <c r="S40" s="101"/>
      <c r="T40" s="101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</row>
    <row r="41" spans="1:32" ht="23.1" customHeight="1" x14ac:dyDescent="0.25">
      <c r="A41" s="57"/>
      <c r="B41" s="123" t="s">
        <v>68</v>
      </c>
      <c r="C41" s="144">
        <v>7</v>
      </c>
      <c r="D41" s="144">
        <v>1</v>
      </c>
      <c r="E41" s="144">
        <v>0</v>
      </c>
      <c r="F41" s="144">
        <v>2</v>
      </c>
      <c r="G41" s="144">
        <v>0</v>
      </c>
      <c r="H41" s="144">
        <v>0</v>
      </c>
      <c r="I41" s="144">
        <v>0</v>
      </c>
      <c r="J41" s="144">
        <v>1</v>
      </c>
      <c r="K41" s="144">
        <v>0</v>
      </c>
      <c r="L41" s="144">
        <v>0</v>
      </c>
      <c r="M41" s="144">
        <v>23</v>
      </c>
      <c r="N41" s="144">
        <v>0</v>
      </c>
      <c r="O41" s="116">
        <v>11</v>
      </c>
      <c r="P41" s="116">
        <v>34</v>
      </c>
      <c r="Q41" s="101"/>
      <c r="R41" s="101"/>
      <c r="S41" s="101"/>
      <c r="T41" s="101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</row>
    <row r="42" spans="1:32" ht="23.1" customHeight="1" x14ac:dyDescent="0.25">
      <c r="A42" s="57"/>
      <c r="B42" s="124" t="s">
        <v>69</v>
      </c>
      <c r="C42" s="144">
        <v>7</v>
      </c>
      <c r="D42" s="144">
        <v>3</v>
      </c>
      <c r="E42" s="144">
        <v>4</v>
      </c>
      <c r="F42" s="144">
        <v>1</v>
      </c>
      <c r="G42" s="144">
        <v>0</v>
      </c>
      <c r="H42" s="144">
        <v>0</v>
      </c>
      <c r="I42" s="144">
        <v>0</v>
      </c>
      <c r="J42" s="144">
        <v>0</v>
      </c>
      <c r="K42" s="144">
        <v>0</v>
      </c>
      <c r="L42" s="144">
        <v>0</v>
      </c>
      <c r="M42" s="144">
        <v>20</v>
      </c>
      <c r="N42" s="144">
        <v>0</v>
      </c>
      <c r="O42" s="116">
        <v>15</v>
      </c>
      <c r="P42" s="116">
        <v>35</v>
      </c>
      <c r="Q42" s="101"/>
      <c r="R42" s="101"/>
      <c r="S42" s="101"/>
      <c r="T42" s="101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</row>
    <row r="43" spans="1:32" ht="23.1" customHeight="1" x14ac:dyDescent="0.25">
      <c r="A43" s="57"/>
      <c r="B43" s="123" t="s">
        <v>70</v>
      </c>
      <c r="C43" s="144">
        <v>4</v>
      </c>
      <c r="D43" s="144">
        <v>1</v>
      </c>
      <c r="E43" s="144">
        <v>0</v>
      </c>
      <c r="F43" s="144">
        <v>1</v>
      </c>
      <c r="G43" s="144">
        <v>0</v>
      </c>
      <c r="H43" s="144">
        <v>0</v>
      </c>
      <c r="I43" s="144">
        <v>0</v>
      </c>
      <c r="J43" s="144">
        <v>0</v>
      </c>
      <c r="K43" s="144">
        <v>0</v>
      </c>
      <c r="L43" s="144">
        <v>0</v>
      </c>
      <c r="M43" s="144">
        <v>31</v>
      </c>
      <c r="N43" s="144">
        <v>0</v>
      </c>
      <c r="O43" s="116">
        <v>6</v>
      </c>
      <c r="P43" s="116">
        <v>37</v>
      </c>
      <c r="Q43" s="101"/>
      <c r="R43" s="101"/>
      <c r="S43" s="101"/>
      <c r="T43" s="101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</row>
    <row r="44" spans="1:32" ht="23.1" customHeight="1" x14ac:dyDescent="0.25">
      <c r="A44" s="57"/>
      <c r="B44" s="125" t="s">
        <v>71</v>
      </c>
      <c r="C44" s="144">
        <v>12</v>
      </c>
      <c r="D44" s="144">
        <v>6</v>
      </c>
      <c r="E44" s="144">
        <v>0</v>
      </c>
      <c r="F44" s="144">
        <v>3</v>
      </c>
      <c r="G44" s="144">
        <v>0</v>
      </c>
      <c r="H44" s="144">
        <v>0</v>
      </c>
      <c r="I44" s="144">
        <v>3</v>
      </c>
      <c r="J44" s="144">
        <v>1</v>
      </c>
      <c r="K44" s="144">
        <v>0</v>
      </c>
      <c r="L44" s="144">
        <v>0</v>
      </c>
      <c r="M44" s="144">
        <v>35</v>
      </c>
      <c r="N44" s="144">
        <v>0</v>
      </c>
      <c r="O44" s="116">
        <v>25</v>
      </c>
      <c r="P44" s="116">
        <v>60</v>
      </c>
      <c r="Q44" s="101"/>
      <c r="R44" s="101"/>
      <c r="S44" s="101"/>
      <c r="T44" s="101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</row>
    <row r="45" spans="1:32" ht="23.1" customHeight="1" x14ac:dyDescent="0.25">
      <c r="A45" s="57"/>
      <c r="B45" s="123" t="s">
        <v>72</v>
      </c>
      <c r="C45" s="144">
        <v>2</v>
      </c>
      <c r="D45" s="144">
        <v>3</v>
      </c>
      <c r="E45" s="144">
        <v>1</v>
      </c>
      <c r="F45" s="144">
        <v>4</v>
      </c>
      <c r="G45" s="144">
        <v>0</v>
      </c>
      <c r="H45" s="144">
        <v>1</v>
      </c>
      <c r="I45" s="144">
        <v>5</v>
      </c>
      <c r="J45" s="144">
        <v>0</v>
      </c>
      <c r="K45" s="144">
        <v>0</v>
      </c>
      <c r="L45" s="144">
        <v>0</v>
      </c>
      <c r="M45" s="144">
        <v>40</v>
      </c>
      <c r="N45" s="144">
        <v>0</v>
      </c>
      <c r="O45" s="116">
        <v>16</v>
      </c>
      <c r="P45" s="116">
        <v>56</v>
      </c>
      <c r="Q45" s="101"/>
      <c r="R45" s="101"/>
      <c r="S45" s="101"/>
      <c r="T45" s="101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</row>
    <row r="46" spans="1:32" ht="23.1" customHeight="1" x14ac:dyDescent="0.25">
      <c r="A46" s="57"/>
      <c r="B46" s="124" t="s">
        <v>73</v>
      </c>
      <c r="C46" s="144">
        <v>10</v>
      </c>
      <c r="D46" s="144">
        <v>5</v>
      </c>
      <c r="E46" s="144">
        <v>4</v>
      </c>
      <c r="F46" s="144">
        <v>2</v>
      </c>
      <c r="G46" s="144">
        <v>0</v>
      </c>
      <c r="H46" s="144">
        <v>0</v>
      </c>
      <c r="I46" s="144">
        <v>0</v>
      </c>
      <c r="J46" s="144">
        <v>2</v>
      </c>
      <c r="K46" s="144">
        <v>0</v>
      </c>
      <c r="L46" s="144">
        <v>0</v>
      </c>
      <c r="M46" s="144">
        <v>25</v>
      </c>
      <c r="N46" s="144">
        <v>0</v>
      </c>
      <c r="O46" s="116">
        <v>23</v>
      </c>
      <c r="P46" s="116">
        <v>48</v>
      </c>
      <c r="Q46" s="101"/>
      <c r="R46" s="109"/>
      <c r="S46" s="101"/>
      <c r="T46" s="101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</row>
    <row r="47" spans="1:32" ht="23.1" customHeight="1" x14ac:dyDescent="0.25">
      <c r="A47" s="57"/>
      <c r="B47" s="124" t="s">
        <v>74</v>
      </c>
      <c r="C47" s="144">
        <v>8</v>
      </c>
      <c r="D47" s="144">
        <v>2</v>
      </c>
      <c r="E47" s="144">
        <v>2</v>
      </c>
      <c r="F47" s="144">
        <v>1</v>
      </c>
      <c r="G47" s="144">
        <v>0</v>
      </c>
      <c r="H47" s="144">
        <v>0</v>
      </c>
      <c r="I47" s="144">
        <v>2</v>
      </c>
      <c r="J47" s="144">
        <v>0</v>
      </c>
      <c r="K47" s="144">
        <v>0</v>
      </c>
      <c r="L47" s="144">
        <v>0</v>
      </c>
      <c r="M47" s="144">
        <v>35</v>
      </c>
      <c r="N47" s="144">
        <v>0</v>
      </c>
      <c r="O47" s="116">
        <v>15</v>
      </c>
      <c r="P47" s="116">
        <v>50</v>
      </c>
      <c r="Q47" s="101"/>
      <c r="R47" s="109"/>
      <c r="S47" s="101"/>
      <c r="T47" s="101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</row>
    <row r="48" spans="1:32" ht="23.1" customHeight="1" x14ac:dyDescent="0.25">
      <c r="A48" s="57"/>
      <c r="B48" s="124" t="s">
        <v>75</v>
      </c>
      <c r="C48" s="144">
        <v>6</v>
      </c>
      <c r="D48" s="144">
        <v>5</v>
      </c>
      <c r="E48" s="144">
        <v>4</v>
      </c>
      <c r="F48" s="144">
        <v>4</v>
      </c>
      <c r="G48" s="144">
        <v>0</v>
      </c>
      <c r="H48" s="144">
        <v>0</v>
      </c>
      <c r="I48" s="144">
        <v>5</v>
      </c>
      <c r="J48" s="144">
        <v>0</v>
      </c>
      <c r="K48" s="144">
        <v>0</v>
      </c>
      <c r="L48" s="144">
        <v>0</v>
      </c>
      <c r="M48" s="144">
        <v>39</v>
      </c>
      <c r="N48" s="144">
        <v>0</v>
      </c>
      <c r="O48" s="116">
        <v>24</v>
      </c>
      <c r="P48" s="116">
        <v>63</v>
      </c>
      <c r="Q48" s="101"/>
      <c r="R48" s="109"/>
      <c r="S48" s="101"/>
      <c r="T48" s="101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</row>
    <row r="49" spans="1:32" ht="23.1" customHeight="1" x14ac:dyDescent="0.25">
      <c r="A49" s="57"/>
      <c r="B49" s="123" t="s">
        <v>76</v>
      </c>
      <c r="C49" s="144">
        <v>9</v>
      </c>
      <c r="D49" s="144">
        <v>9</v>
      </c>
      <c r="E49" s="144">
        <v>2</v>
      </c>
      <c r="F49" s="144">
        <v>2</v>
      </c>
      <c r="G49" s="144">
        <v>0</v>
      </c>
      <c r="H49" s="144">
        <v>0</v>
      </c>
      <c r="I49" s="144">
        <v>2</v>
      </c>
      <c r="J49" s="144">
        <v>0</v>
      </c>
      <c r="K49" s="144">
        <v>0</v>
      </c>
      <c r="L49" s="144">
        <v>1</v>
      </c>
      <c r="M49" s="144">
        <v>29</v>
      </c>
      <c r="N49" s="144">
        <v>0</v>
      </c>
      <c r="O49" s="116">
        <v>25</v>
      </c>
      <c r="P49" s="116">
        <v>54</v>
      </c>
      <c r="Q49" s="101"/>
      <c r="R49" s="109"/>
      <c r="S49" s="101"/>
      <c r="T49" s="101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</row>
    <row r="50" spans="1:32" ht="23.1" customHeight="1" x14ac:dyDescent="0.25">
      <c r="A50" s="57"/>
      <c r="B50" s="124" t="s">
        <v>77</v>
      </c>
      <c r="C50" s="144">
        <v>21</v>
      </c>
      <c r="D50" s="144">
        <v>11</v>
      </c>
      <c r="E50" s="144">
        <v>5</v>
      </c>
      <c r="F50" s="144">
        <v>5</v>
      </c>
      <c r="G50" s="144">
        <v>0</v>
      </c>
      <c r="H50" s="144">
        <v>0</v>
      </c>
      <c r="I50" s="144">
        <v>3</v>
      </c>
      <c r="J50" s="144">
        <v>0</v>
      </c>
      <c r="K50" s="144">
        <v>0</v>
      </c>
      <c r="L50" s="144">
        <v>0</v>
      </c>
      <c r="M50" s="144">
        <v>36</v>
      </c>
      <c r="N50" s="144">
        <v>0</v>
      </c>
      <c r="O50" s="116">
        <v>45</v>
      </c>
      <c r="P50" s="116">
        <v>81</v>
      </c>
      <c r="Q50" s="101"/>
      <c r="R50" s="109"/>
      <c r="S50" s="101"/>
      <c r="T50" s="101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</row>
    <row r="51" spans="1:32" ht="23.1" customHeight="1" x14ac:dyDescent="0.25">
      <c r="A51" s="57"/>
      <c r="B51" s="124" t="s">
        <v>78</v>
      </c>
      <c r="C51" s="144">
        <v>12</v>
      </c>
      <c r="D51" s="144">
        <v>9</v>
      </c>
      <c r="E51" s="144">
        <v>0</v>
      </c>
      <c r="F51" s="144">
        <v>4</v>
      </c>
      <c r="G51" s="144">
        <v>0</v>
      </c>
      <c r="H51" s="144">
        <v>0</v>
      </c>
      <c r="I51" s="144">
        <v>1</v>
      </c>
      <c r="J51" s="144">
        <v>0</v>
      </c>
      <c r="K51" s="144">
        <v>0</v>
      </c>
      <c r="L51" s="144">
        <v>0</v>
      </c>
      <c r="M51" s="144">
        <v>32</v>
      </c>
      <c r="N51" s="144">
        <v>0</v>
      </c>
      <c r="O51" s="116">
        <v>26</v>
      </c>
      <c r="P51" s="116">
        <v>58</v>
      </c>
      <c r="Q51" s="101"/>
      <c r="R51" s="109"/>
      <c r="S51" s="101"/>
      <c r="T51" s="101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</row>
    <row r="52" spans="1:32" ht="23.1" customHeight="1" x14ac:dyDescent="0.25">
      <c r="A52" s="57"/>
      <c r="B52" s="124" t="s">
        <v>79</v>
      </c>
      <c r="C52" s="144">
        <v>12</v>
      </c>
      <c r="D52" s="144">
        <v>8</v>
      </c>
      <c r="E52" s="144">
        <v>8</v>
      </c>
      <c r="F52" s="144">
        <v>10</v>
      </c>
      <c r="G52" s="144">
        <v>0</v>
      </c>
      <c r="H52" s="144">
        <v>0</v>
      </c>
      <c r="I52" s="144">
        <v>2</v>
      </c>
      <c r="J52" s="144">
        <v>0</v>
      </c>
      <c r="K52" s="144">
        <v>0</v>
      </c>
      <c r="L52" s="144">
        <v>0</v>
      </c>
      <c r="M52" s="144">
        <v>42</v>
      </c>
      <c r="N52" s="144">
        <v>0</v>
      </c>
      <c r="O52" s="116">
        <v>40</v>
      </c>
      <c r="P52" s="116">
        <v>82</v>
      </c>
      <c r="Q52" s="101"/>
      <c r="R52" s="109"/>
      <c r="S52" s="101"/>
      <c r="T52" s="101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</row>
    <row r="53" spans="1:32" ht="23.1" customHeight="1" x14ac:dyDescent="0.25">
      <c r="A53" s="57"/>
      <c r="B53" s="123" t="s">
        <v>80</v>
      </c>
      <c r="C53" s="144">
        <v>12</v>
      </c>
      <c r="D53" s="144">
        <v>10</v>
      </c>
      <c r="E53" s="144">
        <v>3</v>
      </c>
      <c r="F53" s="144">
        <v>9</v>
      </c>
      <c r="G53" s="144">
        <v>0</v>
      </c>
      <c r="H53" s="144">
        <v>0</v>
      </c>
      <c r="I53" s="144">
        <v>2</v>
      </c>
      <c r="J53" s="144">
        <v>0</v>
      </c>
      <c r="K53" s="144">
        <v>0</v>
      </c>
      <c r="L53" s="144">
        <v>0</v>
      </c>
      <c r="M53" s="144">
        <v>43</v>
      </c>
      <c r="N53" s="144">
        <v>0</v>
      </c>
      <c r="O53" s="116">
        <v>36</v>
      </c>
      <c r="P53" s="116">
        <v>79</v>
      </c>
      <c r="Q53" s="101"/>
      <c r="R53" s="109"/>
      <c r="S53" s="101"/>
      <c r="T53" s="101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</row>
    <row r="54" spans="1:32" ht="23.1" customHeight="1" x14ac:dyDescent="0.25">
      <c r="A54" s="57"/>
      <c r="B54" s="123" t="s">
        <v>81</v>
      </c>
      <c r="C54" s="144">
        <v>16</v>
      </c>
      <c r="D54" s="144">
        <v>4</v>
      </c>
      <c r="E54" s="144">
        <v>2</v>
      </c>
      <c r="F54" s="144">
        <v>5</v>
      </c>
      <c r="G54" s="144">
        <v>1</v>
      </c>
      <c r="H54" s="144">
        <v>0</v>
      </c>
      <c r="I54" s="144">
        <v>6</v>
      </c>
      <c r="J54" s="144">
        <v>1</v>
      </c>
      <c r="K54" s="144">
        <v>0</v>
      </c>
      <c r="L54" s="144">
        <v>0</v>
      </c>
      <c r="M54" s="144">
        <v>41</v>
      </c>
      <c r="N54" s="144">
        <v>0</v>
      </c>
      <c r="O54" s="116">
        <v>35</v>
      </c>
      <c r="P54" s="116">
        <v>76</v>
      </c>
      <c r="Q54" s="101"/>
      <c r="R54" s="109"/>
      <c r="S54" s="101"/>
      <c r="T54" s="101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</row>
    <row r="55" spans="1:32" ht="23.1" customHeight="1" x14ac:dyDescent="0.25">
      <c r="A55" s="57"/>
      <c r="B55" s="123" t="s">
        <v>82</v>
      </c>
      <c r="C55" s="144">
        <v>4</v>
      </c>
      <c r="D55" s="144">
        <v>10</v>
      </c>
      <c r="E55" s="144">
        <v>3</v>
      </c>
      <c r="F55" s="144">
        <v>9</v>
      </c>
      <c r="G55" s="144">
        <v>0</v>
      </c>
      <c r="H55" s="144">
        <v>0</v>
      </c>
      <c r="I55" s="144">
        <v>4</v>
      </c>
      <c r="J55" s="144">
        <v>0</v>
      </c>
      <c r="K55" s="144">
        <v>0</v>
      </c>
      <c r="L55" s="144">
        <v>0</v>
      </c>
      <c r="M55" s="144">
        <v>40</v>
      </c>
      <c r="N55" s="144">
        <v>0</v>
      </c>
      <c r="O55" s="116">
        <v>30</v>
      </c>
      <c r="P55" s="116">
        <v>70</v>
      </c>
      <c r="Q55" s="101"/>
      <c r="R55" s="109"/>
      <c r="S55" s="101"/>
      <c r="T55" s="101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</row>
    <row r="56" spans="1:32" ht="23.1" customHeight="1" x14ac:dyDescent="0.25">
      <c r="A56" s="57"/>
      <c r="B56" s="123" t="s">
        <v>83</v>
      </c>
      <c r="C56" s="144">
        <v>12</v>
      </c>
      <c r="D56" s="144">
        <v>12</v>
      </c>
      <c r="E56" s="144">
        <v>7</v>
      </c>
      <c r="F56" s="144">
        <v>4</v>
      </c>
      <c r="G56" s="144">
        <v>1</v>
      </c>
      <c r="H56" s="144">
        <v>0</v>
      </c>
      <c r="I56" s="144">
        <v>2</v>
      </c>
      <c r="J56" s="144">
        <v>0</v>
      </c>
      <c r="K56" s="144">
        <v>1</v>
      </c>
      <c r="L56" s="144">
        <v>0</v>
      </c>
      <c r="M56" s="144">
        <v>32</v>
      </c>
      <c r="N56" s="144">
        <v>0</v>
      </c>
      <c r="O56" s="116">
        <v>39</v>
      </c>
      <c r="P56" s="116">
        <v>71</v>
      </c>
      <c r="Q56" s="101"/>
      <c r="R56" s="109"/>
      <c r="S56" s="101"/>
      <c r="T56" s="101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</row>
    <row r="57" spans="1:32" ht="23.1" customHeight="1" x14ac:dyDescent="0.25">
      <c r="A57" s="57"/>
      <c r="B57" s="123" t="s">
        <v>84</v>
      </c>
      <c r="C57" s="144">
        <v>8</v>
      </c>
      <c r="D57" s="144">
        <v>6</v>
      </c>
      <c r="E57" s="144">
        <v>5</v>
      </c>
      <c r="F57" s="144">
        <v>6</v>
      </c>
      <c r="G57" s="144">
        <v>0</v>
      </c>
      <c r="H57" s="144">
        <v>0</v>
      </c>
      <c r="I57" s="144">
        <v>0</v>
      </c>
      <c r="J57" s="144">
        <v>0</v>
      </c>
      <c r="K57" s="144">
        <v>0</v>
      </c>
      <c r="L57" s="144">
        <v>0</v>
      </c>
      <c r="M57" s="144">
        <v>43</v>
      </c>
      <c r="N57" s="144">
        <v>0</v>
      </c>
      <c r="O57" s="116">
        <v>25</v>
      </c>
      <c r="P57" s="116">
        <v>68</v>
      </c>
      <c r="Q57" s="101"/>
      <c r="R57" s="109"/>
      <c r="S57" s="101"/>
      <c r="T57" s="101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</row>
    <row r="58" spans="1:32" ht="23.1" customHeight="1" x14ac:dyDescent="0.25">
      <c r="A58" s="57"/>
      <c r="B58" s="126" t="s">
        <v>18</v>
      </c>
      <c r="C58" s="117">
        <v>410</v>
      </c>
      <c r="D58" s="117">
        <v>232</v>
      </c>
      <c r="E58" s="117">
        <v>128</v>
      </c>
      <c r="F58" s="117">
        <v>140</v>
      </c>
      <c r="G58" s="117">
        <v>7</v>
      </c>
      <c r="H58" s="117">
        <v>1</v>
      </c>
      <c r="I58" s="117">
        <v>120</v>
      </c>
      <c r="J58" s="117">
        <v>17</v>
      </c>
      <c r="K58" s="117">
        <v>9</v>
      </c>
      <c r="L58" s="117">
        <v>3</v>
      </c>
      <c r="M58" s="117">
        <v>1639</v>
      </c>
      <c r="N58" s="117">
        <v>0</v>
      </c>
      <c r="O58" s="117">
        <v>1108</v>
      </c>
      <c r="P58" s="117">
        <v>2706</v>
      </c>
      <c r="Q58" s="101"/>
      <c r="R58" s="109"/>
      <c r="S58" s="101"/>
      <c r="T58" s="101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</row>
    <row r="59" spans="1:32" ht="23.1" customHeight="1" x14ac:dyDescent="0.25">
      <c r="A59" s="57"/>
      <c r="B59" s="126" t="s">
        <v>93</v>
      </c>
      <c r="C59" s="142">
        <v>0.15151515151515152</v>
      </c>
      <c r="D59" s="142">
        <v>8.5735402808573544E-2</v>
      </c>
      <c r="E59" s="142">
        <v>4.7302291204730229E-2</v>
      </c>
      <c r="F59" s="142">
        <v>5.1736881005173686E-2</v>
      </c>
      <c r="G59" s="142">
        <v>2.5868440502586844E-3</v>
      </c>
      <c r="H59" s="142">
        <v>3.6954915003695491E-4</v>
      </c>
      <c r="I59" s="142">
        <v>4.4345898004434593E-2</v>
      </c>
      <c r="J59" s="142">
        <v>6.282335550628234E-3</v>
      </c>
      <c r="K59" s="142">
        <v>3.3259423503325942E-3</v>
      </c>
      <c r="L59" s="142">
        <v>1.1086474501108647E-3</v>
      </c>
      <c r="M59" s="142">
        <v>0.60569105691056913</v>
      </c>
      <c r="N59" s="142">
        <v>0</v>
      </c>
      <c r="O59" s="101"/>
      <c r="P59" s="101"/>
      <c r="Q59" s="101"/>
      <c r="R59" s="109"/>
      <c r="S59" s="101"/>
      <c r="T59" s="101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</row>
    <row r="60" spans="1:32" ht="23.1" customHeight="1" x14ac:dyDescent="0.25">
      <c r="A60" s="57"/>
      <c r="B60" s="141" t="s">
        <v>94</v>
      </c>
      <c r="C60" s="143">
        <v>0.37003610108303248</v>
      </c>
      <c r="D60" s="143">
        <v>0.20938628158844766</v>
      </c>
      <c r="E60" s="143">
        <v>0.11552346570397112</v>
      </c>
      <c r="F60" s="143">
        <v>0.1263537906137184</v>
      </c>
      <c r="G60" s="143">
        <v>6.3176895306859202E-3</v>
      </c>
      <c r="H60" s="143">
        <v>9.025270758122744E-4</v>
      </c>
      <c r="I60" s="143">
        <v>0.10830324909747292</v>
      </c>
      <c r="J60" s="143">
        <v>1.5342960288808664E-2</v>
      </c>
      <c r="K60" s="143">
        <v>8.1227436823104685E-3</v>
      </c>
      <c r="L60" s="143">
        <v>2.707581227436823E-3</v>
      </c>
      <c r="M60" s="143"/>
      <c r="N60" s="143">
        <v>0</v>
      </c>
      <c r="O60" s="101"/>
      <c r="P60" s="101"/>
      <c r="Q60" s="108"/>
      <c r="R60" s="109"/>
      <c r="S60" s="101"/>
      <c r="T60" s="101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</row>
    <row r="61" spans="1:32" ht="20.100000000000001" customHeight="1" x14ac:dyDescent="0.25">
      <c r="A61" s="57"/>
      <c r="B61" s="104"/>
      <c r="C61" s="119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1"/>
      <c r="P61" s="101"/>
      <c r="Q61" s="108"/>
      <c r="R61" s="109"/>
      <c r="S61" s="101"/>
      <c r="T61" s="101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</row>
    <row r="62" spans="1:32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1:32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1:32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A19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'23.09- Kasangati-Matuga'!C3:G3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145" t="str">
        <f>'27.09 Kasangati-Matugga'!D5</f>
        <v>27.09.19</v>
      </c>
      <c r="E5" s="3"/>
      <c r="F5" s="41" t="s">
        <v>1</v>
      </c>
      <c r="G5" s="150" t="str">
        <f>'25.09 Matugga-Kasangati'!G5:H5</f>
        <v>Kiiza-besigye road</v>
      </c>
      <c r="H5" s="151"/>
      <c r="I5" s="14"/>
      <c r="J5" s="2" t="s">
        <v>5</v>
      </c>
      <c r="K5" s="150" t="str">
        <f>'25.09 Matugga-Kasangati'!K5:L5</f>
        <v>Nakiwugwe. Allen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tr">
        <f>'23.09- Kasangati-Matuga'!D6:E6</f>
        <v>Kasangati</v>
      </c>
      <c r="E6" s="151"/>
      <c r="F6" s="2" t="s">
        <v>2</v>
      </c>
      <c r="G6" s="150" t="str">
        <f>'23.09- Kasangati-Matuga'!G6:H6</f>
        <v>matugga</v>
      </c>
      <c r="H6" s="151"/>
      <c r="J6" s="2" t="s">
        <v>21</v>
      </c>
      <c r="K6" s="150" t="str">
        <f>'25.09 Matugga-Kasangati'!K6:L6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3</v>
      </c>
      <c r="E10" s="50">
        <v>0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36</v>
      </c>
      <c r="N10" s="50">
        <v>0</v>
      </c>
      <c r="O10" s="15">
        <f t="shared" ref="O10:O57" si="0">SUM(C10:L10,N10)</f>
        <v>29</v>
      </c>
      <c r="P10" s="15">
        <f t="shared" ref="P10:P57" si="1">SUM(C10:N10)</f>
        <v>65</v>
      </c>
      <c r="R10" s="1" t="s">
        <v>6</v>
      </c>
      <c r="S10" s="17">
        <f t="shared" ref="S10:AF10" si="2">SUM(C10:C13)</f>
        <v>95</v>
      </c>
      <c r="T10" s="17">
        <f t="shared" si="2"/>
        <v>5</v>
      </c>
      <c r="U10" s="17">
        <f t="shared" si="2"/>
        <v>2</v>
      </c>
      <c r="V10" s="17">
        <f t="shared" si="2"/>
        <v>13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187</v>
      </c>
      <c r="AD10" s="17">
        <f t="shared" si="2"/>
        <v>0</v>
      </c>
      <c r="AE10" s="31">
        <f t="shared" si="2"/>
        <v>120</v>
      </c>
      <c r="AF10" s="31">
        <f t="shared" si="2"/>
        <v>307</v>
      </c>
    </row>
    <row r="11" spans="2:32" s="6" customFormat="1" ht="23.1" customHeight="1" x14ac:dyDescent="0.25">
      <c r="B11" s="23" t="s">
        <v>38</v>
      </c>
      <c r="C11" s="50">
        <v>22</v>
      </c>
      <c r="D11" s="50">
        <v>1</v>
      </c>
      <c r="E11" s="50">
        <v>1</v>
      </c>
      <c r="F11" s="50">
        <v>2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52</v>
      </c>
      <c r="N11" s="50">
        <v>0</v>
      </c>
      <c r="O11" s="15">
        <f t="shared" si="0"/>
        <v>28</v>
      </c>
      <c r="P11" s="15">
        <f t="shared" si="1"/>
        <v>80</v>
      </c>
      <c r="R11" s="1" t="s">
        <v>7</v>
      </c>
      <c r="S11" s="17">
        <f t="shared" ref="S11:AF11" si="3">SUM(C14:C17)</f>
        <v>51</v>
      </c>
      <c r="T11" s="17">
        <f t="shared" si="3"/>
        <v>4</v>
      </c>
      <c r="U11" s="17">
        <f t="shared" si="3"/>
        <v>6</v>
      </c>
      <c r="V11" s="17">
        <f t="shared" si="3"/>
        <v>10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253</v>
      </c>
      <c r="AD11" s="17">
        <f t="shared" si="3"/>
        <v>0</v>
      </c>
      <c r="AE11" s="31">
        <f t="shared" si="3"/>
        <v>77</v>
      </c>
      <c r="AF11" s="31">
        <f t="shared" si="3"/>
        <v>330</v>
      </c>
    </row>
    <row r="12" spans="2:32" ht="23.1" customHeight="1" x14ac:dyDescent="0.25">
      <c r="B12" s="23" t="s">
        <v>39</v>
      </c>
      <c r="C12" s="50">
        <v>27</v>
      </c>
      <c r="D12" s="50">
        <v>0</v>
      </c>
      <c r="E12" s="50">
        <v>0</v>
      </c>
      <c r="F12" s="50">
        <v>6</v>
      </c>
      <c r="G12" s="50">
        <v>0</v>
      </c>
      <c r="H12" s="50">
        <v>0</v>
      </c>
      <c r="I12" s="50">
        <v>2</v>
      </c>
      <c r="J12" s="50">
        <v>0</v>
      </c>
      <c r="K12" s="50">
        <v>1</v>
      </c>
      <c r="L12" s="50">
        <v>0</v>
      </c>
      <c r="M12" s="50">
        <v>54</v>
      </c>
      <c r="N12" s="50">
        <v>0</v>
      </c>
      <c r="O12" s="15">
        <f t="shared" si="0"/>
        <v>36</v>
      </c>
      <c r="P12" s="15">
        <f t="shared" si="1"/>
        <v>90</v>
      </c>
      <c r="R12" s="1" t="s">
        <v>8</v>
      </c>
      <c r="S12" s="17">
        <f t="shared" ref="S12:AF12" si="4">SUM(C18:C21)</f>
        <v>43</v>
      </c>
      <c r="T12" s="17">
        <f t="shared" si="4"/>
        <v>7</v>
      </c>
      <c r="U12" s="17">
        <f t="shared" si="4"/>
        <v>10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3</v>
      </c>
      <c r="AA12" s="17">
        <f t="shared" si="4"/>
        <v>1</v>
      </c>
      <c r="AB12" s="17">
        <f t="shared" si="4"/>
        <v>0</v>
      </c>
      <c r="AC12" s="17">
        <f t="shared" si="4"/>
        <v>195</v>
      </c>
      <c r="AD12" s="17">
        <f t="shared" si="4"/>
        <v>0</v>
      </c>
      <c r="AE12" s="31">
        <f t="shared" si="4"/>
        <v>80</v>
      </c>
      <c r="AF12" s="31">
        <f t="shared" si="4"/>
        <v>275</v>
      </c>
    </row>
    <row r="13" spans="2:32" ht="23.1" customHeight="1" x14ac:dyDescent="0.25">
      <c r="B13" s="23" t="s">
        <v>40</v>
      </c>
      <c r="C13" s="50">
        <v>23</v>
      </c>
      <c r="D13" s="50">
        <v>1</v>
      </c>
      <c r="E13" s="50">
        <v>1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45</v>
      </c>
      <c r="N13" s="50">
        <v>0</v>
      </c>
      <c r="O13" s="15">
        <f t="shared" si="0"/>
        <v>27</v>
      </c>
      <c r="P13" s="15">
        <f t="shared" si="1"/>
        <v>72</v>
      </c>
      <c r="R13" s="1" t="s">
        <v>9</v>
      </c>
      <c r="S13" s="17">
        <f t="shared" ref="S13:AF13" si="5">SUM(C22:C25)</f>
        <v>50</v>
      </c>
      <c r="T13" s="17">
        <f t="shared" si="5"/>
        <v>13</v>
      </c>
      <c r="U13" s="17">
        <f t="shared" si="5"/>
        <v>11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25</v>
      </c>
      <c r="Z13" s="17">
        <f t="shared" si="5"/>
        <v>5</v>
      </c>
      <c r="AA13" s="17">
        <f t="shared" si="5"/>
        <v>0</v>
      </c>
      <c r="AB13" s="17">
        <f t="shared" si="5"/>
        <v>1</v>
      </c>
      <c r="AC13" s="17">
        <f t="shared" si="5"/>
        <v>180</v>
      </c>
      <c r="AD13" s="17">
        <f t="shared" si="5"/>
        <v>0</v>
      </c>
      <c r="AE13" s="31">
        <f t="shared" si="5"/>
        <v>110</v>
      </c>
      <c r="AF13" s="31">
        <f t="shared" si="5"/>
        <v>290</v>
      </c>
    </row>
    <row r="14" spans="2:32" ht="23.1" customHeight="1" x14ac:dyDescent="0.25">
      <c r="B14" s="23" t="s">
        <v>41</v>
      </c>
      <c r="C14" s="50">
        <v>21</v>
      </c>
      <c r="D14" s="50">
        <v>2</v>
      </c>
      <c r="E14" s="50">
        <v>4</v>
      </c>
      <c r="F14" s="50">
        <v>4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66</v>
      </c>
      <c r="N14" s="50">
        <v>0</v>
      </c>
      <c r="O14" s="15">
        <f t="shared" si="0"/>
        <v>32</v>
      </c>
      <c r="P14" s="15">
        <f t="shared" si="1"/>
        <v>98</v>
      </c>
      <c r="R14" s="1" t="s">
        <v>10</v>
      </c>
      <c r="S14" s="17">
        <f t="shared" ref="S14:AF14" si="6">SUM(C26:C29)</f>
        <v>39</v>
      </c>
      <c r="T14" s="17">
        <f t="shared" si="6"/>
        <v>2</v>
      </c>
      <c r="U14" s="17">
        <f t="shared" si="6"/>
        <v>5</v>
      </c>
      <c r="V14" s="17">
        <f t="shared" si="6"/>
        <v>12</v>
      </c>
      <c r="W14" s="17">
        <f t="shared" si="6"/>
        <v>1</v>
      </c>
      <c r="X14" s="17">
        <f t="shared" si="6"/>
        <v>0</v>
      </c>
      <c r="Y14" s="17">
        <f t="shared" si="6"/>
        <v>7</v>
      </c>
      <c r="Z14" s="17">
        <f t="shared" si="6"/>
        <v>6</v>
      </c>
      <c r="AA14" s="17">
        <f t="shared" si="6"/>
        <v>3</v>
      </c>
      <c r="AB14" s="17">
        <f t="shared" si="6"/>
        <v>0</v>
      </c>
      <c r="AC14" s="17">
        <f t="shared" si="6"/>
        <v>104</v>
      </c>
      <c r="AD14" s="17">
        <f t="shared" si="6"/>
        <v>56</v>
      </c>
      <c r="AE14" s="31">
        <f t="shared" si="6"/>
        <v>131</v>
      </c>
      <c r="AF14" s="31">
        <f t="shared" si="6"/>
        <v>235</v>
      </c>
    </row>
    <row r="15" spans="2:32" ht="23.1" customHeight="1" x14ac:dyDescent="0.25">
      <c r="B15" s="23" t="s">
        <v>42</v>
      </c>
      <c r="C15" s="50">
        <v>4</v>
      </c>
      <c r="D15" s="50">
        <v>1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52</v>
      </c>
      <c r="N15" s="50">
        <v>0</v>
      </c>
      <c r="O15" s="15">
        <f t="shared" si="0"/>
        <v>8</v>
      </c>
      <c r="P15" s="15">
        <f t="shared" si="1"/>
        <v>60</v>
      </c>
      <c r="R15" s="1" t="s">
        <v>11</v>
      </c>
      <c r="S15" s="17">
        <f t="shared" ref="S15:AF15" si="7">SUM(C30:C33)</f>
        <v>40</v>
      </c>
      <c r="T15" s="17">
        <f t="shared" si="7"/>
        <v>5</v>
      </c>
      <c r="U15" s="17">
        <f t="shared" si="7"/>
        <v>8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3</v>
      </c>
      <c r="AA15" s="17">
        <f t="shared" si="7"/>
        <v>1</v>
      </c>
      <c r="AB15" s="17">
        <f t="shared" si="7"/>
        <v>0</v>
      </c>
      <c r="AC15" s="17">
        <f t="shared" si="7"/>
        <v>142</v>
      </c>
      <c r="AD15" s="17">
        <f t="shared" si="7"/>
        <v>0</v>
      </c>
      <c r="AE15" s="31">
        <f t="shared" si="7"/>
        <v>72</v>
      </c>
      <c r="AF15" s="31">
        <f t="shared" si="7"/>
        <v>214</v>
      </c>
    </row>
    <row r="16" spans="2:32" ht="23.1" customHeight="1" x14ac:dyDescent="0.25">
      <c r="B16" s="23" t="s">
        <v>43</v>
      </c>
      <c r="C16" s="50">
        <v>13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79</v>
      </c>
      <c r="N16" s="50">
        <v>0</v>
      </c>
      <c r="O16" s="15">
        <f t="shared" si="0"/>
        <v>16</v>
      </c>
      <c r="P16" s="15">
        <f t="shared" si="1"/>
        <v>95</v>
      </c>
      <c r="R16" s="1" t="s">
        <v>12</v>
      </c>
      <c r="S16" s="17">
        <f t="shared" ref="S16:AF16" si="8">SUM(C34:C37)</f>
        <v>31</v>
      </c>
      <c r="T16" s="17">
        <f t="shared" si="8"/>
        <v>8</v>
      </c>
      <c r="U16" s="17">
        <f t="shared" si="8"/>
        <v>9</v>
      </c>
      <c r="V16" s="17">
        <f t="shared" si="8"/>
        <v>5</v>
      </c>
      <c r="W16" s="17">
        <f t="shared" si="8"/>
        <v>1</v>
      </c>
      <c r="X16" s="17">
        <f t="shared" si="8"/>
        <v>0</v>
      </c>
      <c r="Y16" s="17">
        <f t="shared" si="8"/>
        <v>10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60</v>
      </c>
      <c r="AD16" s="17">
        <f t="shared" si="8"/>
        <v>0</v>
      </c>
      <c r="AE16" s="31">
        <f t="shared" si="8"/>
        <v>66</v>
      </c>
      <c r="AF16" s="31">
        <f t="shared" si="8"/>
        <v>126</v>
      </c>
    </row>
    <row r="17" spans="2:32" ht="23.1" customHeight="1" x14ac:dyDescent="0.25">
      <c r="B17" s="23" t="s">
        <v>44</v>
      </c>
      <c r="C17" s="50">
        <v>13</v>
      </c>
      <c r="D17" s="50">
        <v>0</v>
      </c>
      <c r="E17" s="50">
        <v>0</v>
      </c>
      <c r="F17" s="50">
        <v>5</v>
      </c>
      <c r="G17" s="50">
        <v>0</v>
      </c>
      <c r="H17" s="50">
        <v>0</v>
      </c>
      <c r="I17" s="50">
        <v>2</v>
      </c>
      <c r="J17" s="50">
        <v>1</v>
      </c>
      <c r="K17" s="50">
        <v>0</v>
      </c>
      <c r="L17" s="50">
        <v>0</v>
      </c>
      <c r="M17" s="50">
        <v>56</v>
      </c>
      <c r="N17" s="50">
        <v>0</v>
      </c>
      <c r="O17" s="15">
        <f t="shared" si="0"/>
        <v>21</v>
      </c>
      <c r="P17" s="15">
        <f t="shared" si="1"/>
        <v>77</v>
      </c>
      <c r="R17" s="1" t="s">
        <v>13</v>
      </c>
      <c r="S17" s="17">
        <f t="shared" ref="S17:AF17" si="9">SUM(C38:C41)</f>
        <v>42</v>
      </c>
      <c r="T17" s="17">
        <f t="shared" si="9"/>
        <v>6</v>
      </c>
      <c r="U17" s="17">
        <f t="shared" si="9"/>
        <v>11</v>
      </c>
      <c r="V17" s="17">
        <f t="shared" si="9"/>
        <v>8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3</v>
      </c>
      <c r="AA17" s="17">
        <f t="shared" si="9"/>
        <v>1</v>
      </c>
      <c r="AB17" s="17">
        <f t="shared" si="9"/>
        <v>0</v>
      </c>
      <c r="AC17" s="17">
        <f t="shared" si="9"/>
        <v>66</v>
      </c>
      <c r="AD17" s="17">
        <f t="shared" si="9"/>
        <v>0</v>
      </c>
      <c r="AE17" s="31">
        <f t="shared" si="9"/>
        <v>81</v>
      </c>
      <c r="AF17" s="31">
        <f t="shared" si="9"/>
        <v>147</v>
      </c>
    </row>
    <row r="18" spans="2:32" ht="23.1" customHeight="1" x14ac:dyDescent="0.25">
      <c r="B18" s="23" t="s">
        <v>45</v>
      </c>
      <c r="C18" s="50">
        <v>16</v>
      </c>
      <c r="D18" s="50">
        <v>2</v>
      </c>
      <c r="E18" s="50">
        <v>1</v>
      </c>
      <c r="F18" s="50">
        <v>5</v>
      </c>
      <c r="G18" s="50">
        <v>0</v>
      </c>
      <c r="H18" s="50">
        <v>0</v>
      </c>
      <c r="I18" s="50">
        <v>2</v>
      </c>
      <c r="J18" s="50">
        <v>2</v>
      </c>
      <c r="K18" s="50">
        <v>0</v>
      </c>
      <c r="L18" s="50">
        <v>0</v>
      </c>
      <c r="M18" s="50">
        <v>59</v>
      </c>
      <c r="N18" s="50">
        <v>0</v>
      </c>
      <c r="O18" s="15">
        <f t="shared" si="0"/>
        <v>28</v>
      </c>
      <c r="P18" s="15">
        <f t="shared" si="1"/>
        <v>87</v>
      </c>
      <c r="R18" s="1" t="s">
        <v>14</v>
      </c>
      <c r="S18" s="17">
        <f t="shared" ref="S18:AF18" si="10">SUM(C42:C45)</f>
        <v>51</v>
      </c>
      <c r="T18" s="17">
        <f t="shared" si="10"/>
        <v>12</v>
      </c>
      <c r="U18" s="17">
        <f t="shared" si="10"/>
        <v>16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142</v>
      </c>
      <c r="AD18" s="17">
        <f t="shared" si="10"/>
        <v>0</v>
      </c>
      <c r="AE18" s="31">
        <f t="shared" si="10"/>
        <v>95</v>
      </c>
      <c r="AF18" s="31">
        <f t="shared" si="10"/>
        <v>237</v>
      </c>
    </row>
    <row r="19" spans="2:32" ht="23.1" customHeight="1" x14ac:dyDescent="0.25">
      <c r="B19" s="23" t="s">
        <v>46</v>
      </c>
      <c r="C19" s="50">
        <v>8</v>
      </c>
      <c r="D19" s="50">
        <v>4</v>
      </c>
      <c r="E19" s="50">
        <v>5</v>
      </c>
      <c r="F19" s="50">
        <v>1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48</v>
      </c>
      <c r="N19" s="50">
        <v>0</v>
      </c>
      <c r="O19" s="15">
        <f t="shared" si="0"/>
        <v>19</v>
      </c>
      <c r="P19" s="15">
        <f t="shared" si="1"/>
        <v>67</v>
      </c>
      <c r="R19" s="1" t="s">
        <v>15</v>
      </c>
      <c r="S19" s="17">
        <f t="shared" ref="S19:AF19" si="11">SUM(C46:C49)</f>
        <v>65</v>
      </c>
      <c r="T19" s="17">
        <f t="shared" si="11"/>
        <v>12</v>
      </c>
      <c r="U19" s="17">
        <f t="shared" si="11"/>
        <v>7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13</v>
      </c>
      <c r="Z19" s="17">
        <f t="shared" si="11"/>
        <v>1</v>
      </c>
      <c r="AA19" s="17">
        <f t="shared" si="11"/>
        <v>1</v>
      </c>
      <c r="AB19" s="17">
        <f t="shared" si="11"/>
        <v>2</v>
      </c>
      <c r="AC19" s="17">
        <f t="shared" si="11"/>
        <v>174</v>
      </c>
      <c r="AD19" s="17">
        <f t="shared" si="11"/>
        <v>0</v>
      </c>
      <c r="AE19" s="31">
        <f t="shared" si="11"/>
        <v>110</v>
      </c>
      <c r="AF19" s="31">
        <f t="shared" si="11"/>
        <v>284</v>
      </c>
    </row>
    <row r="20" spans="2:32" ht="23.1" customHeight="1" x14ac:dyDescent="0.25">
      <c r="B20" s="23" t="s">
        <v>47</v>
      </c>
      <c r="C20" s="50">
        <v>6</v>
      </c>
      <c r="D20" s="50">
        <v>1</v>
      </c>
      <c r="E20" s="50">
        <v>1</v>
      </c>
      <c r="F20" s="50">
        <v>3</v>
      </c>
      <c r="G20" s="50">
        <v>0</v>
      </c>
      <c r="H20" s="50">
        <v>0</v>
      </c>
      <c r="I20" s="50">
        <v>4</v>
      </c>
      <c r="J20" s="50">
        <v>0</v>
      </c>
      <c r="K20" s="50">
        <v>1</v>
      </c>
      <c r="L20" s="50">
        <v>0</v>
      </c>
      <c r="M20" s="50">
        <v>42</v>
      </c>
      <c r="N20" s="50">
        <v>0</v>
      </c>
      <c r="O20" s="15">
        <f t="shared" si="0"/>
        <v>16</v>
      </c>
      <c r="P20" s="15">
        <f t="shared" si="1"/>
        <v>58</v>
      </c>
      <c r="R20" s="1" t="s">
        <v>16</v>
      </c>
      <c r="S20" s="17">
        <f t="shared" ref="S20:AF20" si="12">SUM(C50:C53)</f>
        <v>55</v>
      </c>
      <c r="T20" s="17">
        <f t="shared" si="12"/>
        <v>13</v>
      </c>
      <c r="U20" s="17">
        <f t="shared" si="12"/>
        <v>16</v>
      </c>
      <c r="V20" s="17">
        <f t="shared" si="12"/>
        <v>24</v>
      </c>
      <c r="W20" s="17">
        <f t="shared" si="12"/>
        <v>3</v>
      </c>
      <c r="X20" s="17">
        <f t="shared" si="12"/>
        <v>0</v>
      </c>
      <c r="Y20" s="17">
        <f t="shared" si="12"/>
        <v>11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179</v>
      </c>
      <c r="AD20" s="17">
        <f t="shared" si="12"/>
        <v>0</v>
      </c>
      <c r="AE20" s="31">
        <f t="shared" si="12"/>
        <v>126</v>
      </c>
      <c r="AF20" s="31">
        <f t="shared" si="12"/>
        <v>305</v>
      </c>
    </row>
    <row r="21" spans="2:32" ht="23.1" customHeight="1" x14ac:dyDescent="0.25">
      <c r="B21" s="23" t="s">
        <v>48</v>
      </c>
      <c r="C21" s="50">
        <v>13</v>
      </c>
      <c r="D21" s="50">
        <v>0</v>
      </c>
      <c r="E21" s="50">
        <v>3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46</v>
      </c>
      <c r="N21" s="50">
        <v>0</v>
      </c>
      <c r="O21" s="15">
        <f t="shared" si="0"/>
        <v>17</v>
      </c>
      <c r="P21" s="15">
        <f t="shared" si="1"/>
        <v>63</v>
      </c>
      <c r="R21" s="36" t="s">
        <v>20</v>
      </c>
      <c r="S21" s="34">
        <f t="shared" ref="S21:AF21" si="13">SUM(C54:C57)</f>
        <v>59</v>
      </c>
      <c r="T21" s="17">
        <f t="shared" si="13"/>
        <v>15</v>
      </c>
      <c r="U21" s="17">
        <f t="shared" si="13"/>
        <v>16</v>
      </c>
      <c r="V21" s="17">
        <f t="shared" si="13"/>
        <v>22</v>
      </c>
      <c r="W21" s="17">
        <f t="shared" si="13"/>
        <v>0</v>
      </c>
      <c r="X21" s="17">
        <f t="shared" si="13"/>
        <v>0</v>
      </c>
      <c r="Y21" s="17">
        <f t="shared" si="13"/>
        <v>11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202</v>
      </c>
      <c r="AD21" s="17">
        <f t="shared" si="13"/>
        <v>0</v>
      </c>
      <c r="AE21" s="31">
        <f t="shared" si="13"/>
        <v>123</v>
      </c>
      <c r="AF21" s="31">
        <f t="shared" si="13"/>
        <v>325</v>
      </c>
    </row>
    <row r="22" spans="2:32" ht="23.1" customHeight="1" x14ac:dyDescent="0.25">
      <c r="B22" s="23" t="s">
        <v>49</v>
      </c>
      <c r="C22" s="50">
        <v>15</v>
      </c>
      <c r="D22" s="50">
        <v>3</v>
      </c>
      <c r="E22" s="50">
        <v>2</v>
      </c>
      <c r="F22" s="50">
        <v>2</v>
      </c>
      <c r="G22" s="50">
        <v>0</v>
      </c>
      <c r="H22" s="50">
        <v>0</v>
      </c>
      <c r="I22" s="50">
        <v>13</v>
      </c>
      <c r="J22" s="50">
        <v>2</v>
      </c>
      <c r="K22" s="50">
        <v>0</v>
      </c>
      <c r="L22" s="50">
        <v>0</v>
      </c>
      <c r="M22" s="50">
        <v>48</v>
      </c>
      <c r="N22" s="50">
        <v>0</v>
      </c>
      <c r="O22" s="15">
        <f t="shared" si="0"/>
        <v>37</v>
      </c>
      <c r="P22" s="15">
        <f t="shared" si="1"/>
        <v>85</v>
      </c>
      <c r="R22" s="38" t="s">
        <v>90</v>
      </c>
      <c r="S22" s="39">
        <f>MAX(S10:S12)</f>
        <v>95</v>
      </c>
      <c r="T22" s="39">
        <f t="shared" ref="T22:AF22" si="14">MAX(T10:T12)</f>
        <v>7</v>
      </c>
      <c r="U22" s="39">
        <f t="shared" si="14"/>
        <v>10</v>
      </c>
      <c r="V22" s="39">
        <f t="shared" si="14"/>
        <v>13</v>
      </c>
      <c r="W22" s="39">
        <f t="shared" si="14"/>
        <v>0</v>
      </c>
      <c r="X22" s="39">
        <f t="shared" si="14"/>
        <v>0</v>
      </c>
      <c r="Y22" s="39">
        <f t="shared" si="14"/>
        <v>7</v>
      </c>
      <c r="Z22" s="39">
        <f t="shared" si="14"/>
        <v>3</v>
      </c>
      <c r="AA22" s="39">
        <f t="shared" si="14"/>
        <v>1</v>
      </c>
      <c r="AB22" s="39">
        <f t="shared" si="14"/>
        <v>1</v>
      </c>
      <c r="AC22" s="39">
        <f t="shared" si="14"/>
        <v>253</v>
      </c>
      <c r="AD22" s="39">
        <f t="shared" si="14"/>
        <v>0</v>
      </c>
      <c r="AE22" s="40">
        <f t="shared" si="14"/>
        <v>120</v>
      </c>
      <c r="AF22" s="40">
        <f t="shared" si="14"/>
        <v>330</v>
      </c>
    </row>
    <row r="23" spans="2:32" ht="23.1" customHeight="1" x14ac:dyDescent="0.25">
      <c r="B23" s="23" t="s">
        <v>50</v>
      </c>
      <c r="C23" s="50">
        <v>11</v>
      </c>
      <c r="D23" s="50">
        <v>5</v>
      </c>
      <c r="E23" s="50">
        <v>3</v>
      </c>
      <c r="F23" s="50">
        <v>1</v>
      </c>
      <c r="G23" s="50">
        <v>0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51</v>
      </c>
      <c r="N23" s="50">
        <v>0</v>
      </c>
      <c r="O23" s="15">
        <f t="shared" si="0"/>
        <v>25</v>
      </c>
      <c r="P23" s="15">
        <f t="shared" si="1"/>
        <v>76</v>
      </c>
      <c r="R23" s="38" t="s">
        <v>91</v>
      </c>
      <c r="S23" s="39">
        <f>MAX(S13:S18)</f>
        <v>51</v>
      </c>
      <c r="T23" s="39">
        <f t="shared" ref="T23:AF23" si="15">MAX(T13:T18)</f>
        <v>13</v>
      </c>
      <c r="U23" s="39">
        <f t="shared" si="15"/>
        <v>16</v>
      </c>
      <c r="V23" s="39">
        <f t="shared" si="15"/>
        <v>12</v>
      </c>
      <c r="W23" s="39">
        <f t="shared" si="15"/>
        <v>1</v>
      </c>
      <c r="X23" s="39">
        <f t="shared" si="15"/>
        <v>0</v>
      </c>
      <c r="Y23" s="39">
        <f t="shared" si="15"/>
        <v>25</v>
      </c>
      <c r="Z23" s="39">
        <f t="shared" si="15"/>
        <v>6</v>
      </c>
      <c r="AA23" s="39">
        <f t="shared" si="15"/>
        <v>3</v>
      </c>
      <c r="AB23" s="39">
        <f t="shared" si="15"/>
        <v>1</v>
      </c>
      <c r="AC23" s="39">
        <f t="shared" si="15"/>
        <v>180</v>
      </c>
      <c r="AD23" s="39">
        <f t="shared" si="15"/>
        <v>56</v>
      </c>
      <c r="AE23" s="40">
        <f t="shared" si="15"/>
        <v>131</v>
      </c>
      <c r="AF23" s="40">
        <f t="shared" si="15"/>
        <v>290</v>
      </c>
    </row>
    <row r="24" spans="2:32" ht="23.1" customHeight="1" x14ac:dyDescent="0.25">
      <c r="B24" s="23" t="s">
        <v>51</v>
      </c>
      <c r="C24" s="50">
        <v>13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42</v>
      </c>
      <c r="N24" s="50">
        <v>0</v>
      </c>
      <c r="O24" s="15">
        <f t="shared" si="0"/>
        <v>19</v>
      </c>
      <c r="P24" s="15">
        <f t="shared" si="1"/>
        <v>61</v>
      </c>
      <c r="R24" s="38" t="s">
        <v>92</v>
      </c>
      <c r="S24" s="39">
        <f>MAX(S19:S21)</f>
        <v>65</v>
      </c>
      <c r="T24" s="39">
        <f t="shared" ref="T24:AF24" si="16">MAX(T19:T21)</f>
        <v>15</v>
      </c>
      <c r="U24" s="39">
        <f t="shared" si="16"/>
        <v>16</v>
      </c>
      <c r="V24" s="39">
        <f t="shared" si="16"/>
        <v>24</v>
      </c>
      <c r="W24" s="39">
        <f t="shared" si="16"/>
        <v>3</v>
      </c>
      <c r="X24" s="39">
        <f t="shared" si="16"/>
        <v>0</v>
      </c>
      <c r="Y24" s="39">
        <f t="shared" si="16"/>
        <v>13</v>
      </c>
      <c r="Z24" s="39">
        <f t="shared" si="16"/>
        <v>3</v>
      </c>
      <c r="AA24" s="39">
        <f t="shared" si="16"/>
        <v>1</v>
      </c>
      <c r="AB24" s="39">
        <f t="shared" si="16"/>
        <v>2</v>
      </c>
      <c r="AC24" s="39">
        <f t="shared" si="16"/>
        <v>202</v>
      </c>
      <c r="AD24" s="39">
        <f t="shared" si="16"/>
        <v>0</v>
      </c>
      <c r="AE24" s="40">
        <f t="shared" si="16"/>
        <v>126</v>
      </c>
      <c r="AF24" s="40">
        <f t="shared" si="16"/>
        <v>325</v>
      </c>
    </row>
    <row r="25" spans="2:32" ht="23.1" customHeight="1" x14ac:dyDescent="0.25">
      <c r="B25" s="23" t="s">
        <v>52</v>
      </c>
      <c r="C25" s="50">
        <v>11</v>
      </c>
      <c r="D25" s="50">
        <v>5</v>
      </c>
      <c r="E25" s="50">
        <v>4</v>
      </c>
      <c r="F25" s="50">
        <v>2</v>
      </c>
      <c r="G25" s="50">
        <v>0</v>
      </c>
      <c r="H25" s="50">
        <v>0</v>
      </c>
      <c r="I25" s="50">
        <v>5</v>
      </c>
      <c r="J25" s="50">
        <v>1</v>
      </c>
      <c r="K25" s="50">
        <v>0</v>
      </c>
      <c r="L25" s="50">
        <v>1</v>
      </c>
      <c r="M25" s="50">
        <v>39</v>
      </c>
      <c r="N25" s="50">
        <v>0</v>
      </c>
      <c r="O25" s="15">
        <f t="shared" si="0"/>
        <v>29</v>
      </c>
      <c r="P25" s="15">
        <f t="shared" si="1"/>
        <v>68</v>
      </c>
      <c r="R25" s="37" t="s">
        <v>85</v>
      </c>
      <c r="S25" s="35">
        <f t="shared" ref="S25:AF25" si="17">SUM(S10:S12)</f>
        <v>189</v>
      </c>
      <c r="T25" s="16">
        <f t="shared" si="17"/>
        <v>16</v>
      </c>
      <c r="U25" s="16">
        <f t="shared" si="17"/>
        <v>18</v>
      </c>
      <c r="V25" s="16">
        <f t="shared" si="17"/>
        <v>32</v>
      </c>
      <c r="W25" s="16">
        <f t="shared" si="17"/>
        <v>0</v>
      </c>
      <c r="X25" s="16">
        <f t="shared" si="17"/>
        <v>0</v>
      </c>
      <c r="Y25" s="16">
        <f t="shared" si="17"/>
        <v>14</v>
      </c>
      <c r="Z25" s="16">
        <f t="shared" si="17"/>
        <v>5</v>
      </c>
      <c r="AA25" s="16">
        <f t="shared" si="17"/>
        <v>2</v>
      </c>
      <c r="AB25" s="16">
        <f t="shared" si="17"/>
        <v>1</v>
      </c>
      <c r="AC25" s="16">
        <f t="shared" si="17"/>
        <v>635</v>
      </c>
      <c r="AD25" s="16">
        <f t="shared" si="17"/>
        <v>0</v>
      </c>
      <c r="AE25" s="32">
        <f t="shared" si="17"/>
        <v>277</v>
      </c>
      <c r="AF25" s="32">
        <f t="shared" si="17"/>
        <v>912</v>
      </c>
    </row>
    <row r="26" spans="2:32" ht="23.1" customHeight="1" x14ac:dyDescent="0.25">
      <c r="B26" s="23" t="s">
        <v>53</v>
      </c>
      <c r="C26" s="50">
        <v>15</v>
      </c>
      <c r="D26" s="50">
        <v>0</v>
      </c>
      <c r="E26" s="50">
        <v>2</v>
      </c>
      <c r="F26" s="50">
        <v>4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35</v>
      </c>
      <c r="N26" s="50">
        <v>0</v>
      </c>
      <c r="O26" s="15">
        <f t="shared" si="0"/>
        <v>23</v>
      </c>
      <c r="P26" s="15">
        <f t="shared" si="1"/>
        <v>58</v>
      </c>
      <c r="R26" s="28" t="s">
        <v>86</v>
      </c>
      <c r="S26" s="16">
        <f t="shared" ref="S26:AF26" si="18">SUM(S13:S18)</f>
        <v>253</v>
      </c>
      <c r="T26" s="16">
        <f t="shared" si="18"/>
        <v>46</v>
      </c>
      <c r="U26" s="16">
        <f t="shared" si="18"/>
        <v>60</v>
      </c>
      <c r="V26" s="16">
        <f t="shared" si="18"/>
        <v>42</v>
      </c>
      <c r="W26" s="16">
        <f t="shared" si="18"/>
        <v>3</v>
      </c>
      <c r="X26" s="16">
        <f t="shared" si="18"/>
        <v>0</v>
      </c>
      <c r="Y26" s="16">
        <f t="shared" si="18"/>
        <v>70</v>
      </c>
      <c r="Z26" s="16">
        <f t="shared" si="18"/>
        <v>19</v>
      </c>
      <c r="AA26" s="16">
        <f t="shared" si="18"/>
        <v>5</v>
      </c>
      <c r="AB26" s="16">
        <f t="shared" si="18"/>
        <v>1</v>
      </c>
      <c r="AC26" s="16">
        <f t="shared" si="18"/>
        <v>694</v>
      </c>
      <c r="AD26" s="16">
        <f t="shared" si="18"/>
        <v>56</v>
      </c>
      <c r="AE26" s="32">
        <f t="shared" si="18"/>
        <v>555</v>
      </c>
      <c r="AF26" s="32">
        <f t="shared" si="18"/>
        <v>1249</v>
      </c>
    </row>
    <row r="27" spans="2:32" ht="23.1" customHeight="1" x14ac:dyDescent="0.25">
      <c r="B27" s="23" t="s">
        <v>54</v>
      </c>
      <c r="C27" s="50">
        <v>11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0</v>
      </c>
      <c r="J27" s="50">
        <v>5</v>
      </c>
      <c r="K27" s="50">
        <v>1</v>
      </c>
      <c r="L27" s="50">
        <v>0</v>
      </c>
      <c r="M27" s="50">
        <v>0</v>
      </c>
      <c r="N27" s="50">
        <v>56</v>
      </c>
      <c r="O27" s="15">
        <f t="shared" si="0"/>
        <v>75</v>
      </c>
      <c r="P27" s="15">
        <f t="shared" si="1"/>
        <v>75</v>
      </c>
      <c r="R27" s="29" t="s">
        <v>87</v>
      </c>
      <c r="S27" s="16">
        <f t="shared" ref="S27:AF27" si="19">SUM(S19:S21)</f>
        <v>179</v>
      </c>
      <c r="T27" s="16">
        <f t="shared" si="19"/>
        <v>40</v>
      </c>
      <c r="U27" s="16">
        <f t="shared" si="19"/>
        <v>39</v>
      </c>
      <c r="V27" s="16">
        <f t="shared" si="19"/>
        <v>55</v>
      </c>
      <c r="W27" s="16">
        <f t="shared" si="19"/>
        <v>3</v>
      </c>
      <c r="X27" s="16">
        <f t="shared" si="19"/>
        <v>0</v>
      </c>
      <c r="Y27" s="16">
        <f t="shared" si="19"/>
        <v>35</v>
      </c>
      <c r="Z27" s="16">
        <f t="shared" si="19"/>
        <v>4</v>
      </c>
      <c r="AA27" s="16">
        <f t="shared" si="19"/>
        <v>2</v>
      </c>
      <c r="AB27" s="16">
        <f t="shared" si="19"/>
        <v>2</v>
      </c>
      <c r="AC27" s="16">
        <f t="shared" si="19"/>
        <v>555</v>
      </c>
      <c r="AD27" s="16">
        <f t="shared" si="19"/>
        <v>0</v>
      </c>
      <c r="AE27" s="32">
        <f t="shared" si="19"/>
        <v>359</v>
      </c>
      <c r="AF27" s="32">
        <f t="shared" si="19"/>
        <v>914</v>
      </c>
    </row>
    <row r="28" spans="2:32" ht="23.1" customHeight="1" x14ac:dyDescent="0.25">
      <c r="B28" s="23" t="s">
        <v>55</v>
      </c>
      <c r="C28" s="50">
        <v>8</v>
      </c>
      <c r="D28" s="50">
        <v>2</v>
      </c>
      <c r="E28" s="50">
        <v>1</v>
      </c>
      <c r="F28" s="50">
        <v>2</v>
      </c>
      <c r="G28" s="50">
        <v>0</v>
      </c>
      <c r="H28" s="50">
        <v>0</v>
      </c>
      <c r="I28" s="50">
        <v>4</v>
      </c>
      <c r="J28" s="50">
        <v>1</v>
      </c>
      <c r="K28" s="50">
        <v>0</v>
      </c>
      <c r="L28" s="50">
        <v>0</v>
      </c>
      <c r="M28" s="50">
        <v>32</v>
      </c>
      <c r="N28" s="50">
        <v>0</v>
      </c>
      <c r="O28" s="15">
        <f t="shared" si="0"/>
        <v>18</v>
      </c>
      <c r="P28" s="15">
        <f t="shared" si="1"/>
        <v>50</v>
      </c>
      <c r="R28" s="5" t="s">
        <v>17</v>
      </c>
      <c r="S28" s="16">
        <f t="shared" ref="S28:AF28" si="20">SUM(S10:S21)</f>
        <v>621</v>
      </c>
      <c r="T28" s="16">
        <f t="shared" si="20"/>
        <v>102</v>
      </c>
      <c r="U28" s="16">
        <f t="shared" si="20"/>
        <v>117</v>
      </c>
      <c r="V28" s="16">
        <f t="shared" si="20"/>
        <v>129</v>
      </c>
      <c r="W28" s="16">
        <f t="shared" si="20"/>
        <v>6</v>
      </c>
      <c r="X28" s="16">
        <f t="shared" si="20"/>
        <v>0</v>
      </c>
      <c r="Y28" s="16">
        <f t="shared" si="20"/>
        <v>119</v>
      </c>
      <c r="Z28" s="16">
        <f t="shared" si="20"/>
        <v>28</v>
      </c>
      <c r="AA28" s="16">
        <f t="shared" si="20"/>
        <v>9</v>
      </c>
      <c r="AB28" s="16">
        <f t="shared" si="20"/>
        <v>4</v>
      </c>
      <c r="AC28" s="16">
        <f t="shared" si="20"/>
        <v>1884</v>
      </c>
      <c r="AD28" s="16">
        <f t="shared" si="20"/>
        <v>56</v>
      </c>
      <c r="AE28" s="32">
        <f t="shared" si="20"/>
        <v>1191</v>
      </c>
      <c r="AF28" s="32">
        <f t="shared" si="20"/>
        <v>3075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1</v>
      </c>
      <c r="F29" s="50">
        <v>5</v>
      </c>
      <c r="G29" s="50">
        <v>1</v>
      </c>
      <c r="H29" s="50">
        <v>0</v>
      </c>
      <c r="I29" s="50">
        <v>1</v>
      </c>
      <c r="J29" s="50">
        <v>0</v>
      </c>
      <c r="K29" s="50">
        <v>2</v>
      </c>
      <c r="L29" s="50">
        <v>0</v>
      </c>
      <c r="M29" s="50">
        <v>37</v>
      </c>
      <c r="N29" s="50">
        <v>0</v>
      </c>
      <c r="O29" s="15">
        <f t="shared" si="0"/>
        <v>15</v>
      </c>
      <c r="P29" s="15">
        <f t="shared" si="1"/>
        <v>52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3</v>
      </c>
      <c r="E30" s="50">
        <v>2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24</v>
      </c>
      <c r="N30" s="50">
        <v>0</v>
      </c>
      <c r="O30" s="15">
        <f t="shared" si="0"/>
        <v>15</v>
      </c>
      <c r="P30" s="15">
        <f t="shared" si="1"/>
        <v>39</v>
      </c>
    </row>
    <row r="31" spans="2:32" ht="23.1" customHeight="1" x14ac:dyDescent="0.25">
      <c r="B31" s="24" t="s">
        <v>58</v>
      </c>
      <c r="C31" s="50">
        <v>11</v>
      </c>
      <c r="D31" s="50">
        <v>0</v>
      </c>
      <c r="E31" s="50">
        <v>4</v>
      </c>
      <c r="F31" s="50">
        <v>1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34</v>
      </c>
      <c r="N31" s="50">
        <v>0</v>
      </c>
      <c r="O31" s="15">
        <f t="shared" si="0"/>
        <v>20</v>
      </c>
      <c r="P31" s="15">
        <f t="shared" si="1"/>
        <v>54</v>
      </c>
    </row>
    <row r="32" spans="2:32" ht="23.1" customHeight="1" x14ac:dyDescent="0.25">
      <c r="B32" s="24" t="s">
        <v>59</v>
      </c>
      <c r="C32" s="50">
        <v>7</v>
      </c>
      <c r="D32" s="50">
        <v>1</v>
      </c>
      <c r="E32" s="50">
        <v>2</v>
      </c>
      <c r="F32" s="50">
        <v>0</v>
      </c>
      <c r="G32" s="50">
        <v>0</v>
      </c>
      <c r="H32" s="50">
        <v>0</v>
      </c>
      <c r="I32" s="50">
        <v>4</v>
      </c>
      <c r="J32" s="50">
        <v>3</v>
      </c>
      <c r="K32" s="50">
        <v>0</v>
      </c>
      <c r="L32" s="50">
        <v>0</v>
      </c>
      <c r="M32" s="50">
        <v>50</v>
      </c>
      <c r="N32" s="50">
        <v>0</v>
      </c>
      <c r="O32" s="15">
        <f t="shared" si="0"/>
        <v>17</v>
      </c>
      <c r="P32" s="15">
        <f t="shared" si="1"/>
        <v>67</v>
      </c>
    </row>
    <row r="33" spans="2:20" ht="23.1" customHeight="1" x14ac:dyDescent="0.25">
      <c r="B33" s="23" t="s">
        <v>60</v>
      </c>
      <c r="C33" s="50">
        <v>15</v>
      </c>
      <c r="D33" s="50">
        <v>1</v>
      </c>
      <c r="E33" s="50">
        <v>0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0</v>
      </c>
      <c r="M33" s="50">
        <v>34</v>
      </c>
      <c r="N33" s="50">
        <v>0</v>
      </c>
      <c r="O33" s="15">
        <f t="shared" si="0"/>
        <v>20</v>
      </c>
      <c r="P33" s="15">
        <f t="shared" si="1"/>
        <v>54</v>
      </c>
    </row>
    <row r="34" spans="2:20" ht="23.1" customHeight="1" x14ac:dyDescent="0.25">
      <c r="B34" s="24" t="s">
        <v>61</v>
      </c>
      <c r="C34" s="50">
        <v>11</v>
      </c>
      <c r="D34" s="50">
        <v>3</v>
      </c>
      <c r="E34" s="50">
        <v>1</v>
      </c>
      <c r="F34" s="50">
        <v>2</v>
      </c>
      <c r="G34" s="50">
        <v>1</v>
      </c>
      <c r="H34" s="50">
        <v>0</v>
      </c>
      <c r="I34" s="50">
        <v>4</v>
      </c>
      <c r="J34" s="50">
        <v>1</v>
      </c>
      <c r="K34" s="50">
        <v>0</v>
      </c>
      <c r="L34" s="50">
        <v>0</v>
      </c>
      <c r="M34" s="50">
        <v>37</v>
      </c>
      <c r="N34" s="50">
        <v>0</v>
      </c>
      <c r="O34" s="15">
        <f t="shared" si="0"/>
        <v>23</v>
      </c>
      <c r="P34" s="15">
        <f t="shared" si="1"/>
        <v>60</v>
      </c>
    </row>
    <row r="35" spans="2:20" ht="23.1" customHeight="1" x14ac:dyDescent="0.25">
      <c r="B35" s="24" t="s">
        <v>62</v>
      </c>
      <c r="C35" s="50">
        <v>5</v>
      </c>
      <c r="D35" s="50">
        <v>1</v>
      </c>
      <c r="E35" s="50">
        <v>1</v>
      </c>
      <c r="F35" s="50">
        <v>2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18</v>
      </c>
      <c r="N35" s="50">
        <v>0</v>
      </c>
      <c r="O35" s="15">
        <f t="shared" si="0"/>
        <v>12</v>
      </c>
      <c r="P35" s="15">
        <f t="shared" si="1"/>
        <v>30</v>
      </c>
    </row>
    <row r="36" spans="2:20" ht="23.1" customHeight="1" x14ac:dyDescent="0.25">
      <c r="B36" s="24" t="s">
        <v>63</v>
      </c>
      <c r="C36" s="50">
        <v>15</v>
      </c>
      <c r="D36" s="50">
        <v>2</v>
      </c>
      <c r="E36" s="50">
        <v>5</v>
      </c>
      <c r="F36" s="50">
        <v>1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0</v>
      </c>
      <c r="M36" s="50">
        <v>2</v>
      </c>
      <c r="N36" s="50">
        <v>0</v>
      </c>
      <c r="O36" s="15">
        <f t="shared" si="0"/>
        <v>27</v>
      </c>
      <c r="P36" s="15">
        <f t="shared" si="1"/>
        <v>29</v>
      </c>
    </row>
    <row r="37" spans="2:20" ht="23.1" customHeight="1" x14ac:dyDescent="0.25">
      <c r="B37" s="23" t="s">
        <v>64</v>
      </c>
      <c r="C37" s="50">
        <v>0</v>
      </c>
      <c r="D37" s="50">
        <v>2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4</v>
      </c>
      <c r="P37" s="15">
        <f t="shared" si="1"/>
        <v>7</v>
      </c>
    </row>
    <row r="38" spans="2:20" ht="23.1" customHeight="1" x14ac:dyDescent="0.25">
      <c r="B38" s="24" t="s">
        <v>65</v>
      </c>
      <c r="C38" s="50">
        <v>10</v>
      </c>
      <c r="D38" s="50">
        <v>2</v>
      </c>
      <c r="E38" s="50">
        <v>0</v>
      </c>
      <c r="F38" s="50">
        <v>4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20</v>
      </c>
      <c r="P38" s="15">
        <f t="shared" si="1"/>
        <v>27</v>
      </c>
    </row>
    <row r="39" spans="2:20" ht="23.1" customHeight="1" x14ac:dyDescent="0.25">
      <c r="B39" s="24" t="s">
        <v>66</v>
      </c>
      <c r="C39" s="50">
        <v>5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16</v>
      </c>
      <c r="N39" s="50">
        <v>0</v>
      </c>
      <c r="O39" s="15">
        <f t="shared" si="0"/>
        <v>7</v>
      </c>
      <c r="P39" s="15">
        <f t="shared" si="1"/>
        <v>23</v>
      </c>
    </row>
    <row r="40" spans="2:20" ht="23.1" customHeight="1" x14ac:dyDescent="0.25">
      <c r="B40" s="24" t="s">
        <v>67</v>
      </c>
      <c r="C40" s="50">
        <v>14</v>
      </c>
      <c r="D40" s="50">
        <v>2</v>
      </c>
      <c r="E40" s="50">
        <v>2</v>
      </c>
      <c r="F40" s="50">
        <v>2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23</v>
      </c>
      <c r="P40" s="15">
        <f t="shared" si="1"/>
        <v>38</v>
      </c>
    </row>
    <row r="41" spans="2:20" ht="23.1" customHeight="1" x14ac:dyDescent="0.25">
      <c r="B41" s="23" t="s">
        <v>68</v>
      </c>
      <c r="C41" s="50">
        <v>13</v>
      </c>
      <c r="D41" s="50">
        <v>2</v>
      </c>
      <c r="E41" s="50">
        <v>7</v>
      </c>
      <c r="F41" s="50">
        <v>2</v>
      </c>
      <c r="G41" s="50">
        <v>1</v>
      </c>
      <c r="H41" s="50">
        <v>0</v>
      </c>
      <c r="I41" s="50">
        <v>2</v>
      </c>
      <c r="J41" s="50">
        <v>3</v>
      </c>
      <c r="K41" s="50">
        <v>1</v>
      </c>
      <c r="L41" s="50">
        <v>0</v>
      </c>
      <c r="M41" s="50">
        <v>28</v>
      </c>
      <c r="N41" s="50">
        <v>0</v>
      </c>
      <c r="O41" s="15">
        <f t="shared" si="0"/>
        <v>31</v>
      </c>
      <c r="P41" s="15">
        <f t="shared" si="1"/>
        <v>59</v>
      </c>
    </row>
    <row r="42" spans="2:20" ht="23.1" customHeight="1" x14ac:dyDescent="0.25">
      <c r="B42" s="24" t="s">
        <v>69</v>
      </c>
      <c r="C42" s="50">
        <v>16</v>
      </c>
      <c r="D42" s="50">
        <v>2</v>
      </c>
      <c r="E42" s="50">
        <v>3</v>
      </c>
      <c r="F42" s="50">
        <v>3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29</v>
      </c>
      <c r="N42" s="50">
        <v>0</v>
      </c>
      <c r="O42" s="15">
        <f t="shared" si="0"/>
        <v>27</v>
      </c>
      <c r="P42" s="15">
        <f t="shared" si="1"/>
        <v>56</v>
      </c>
    </row>
    <row r="43" spans="2:20" ht="23.1" customHeight="1" x14ac:dyDescent="0.25">
      <c r="B43" s="23" t="s">
        <v>70</v>
      </c>
      <c r="C43" s="50">
        <v>12</v>
      </c>
      <c r="D43" s="50">
        <v>2</v>
      </c>
      <c r="E43" s="50">
        <v>8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36</v>
      </c>
      <c r="N43" s="50">
        <v>0</v>
      </c>
      <c r="O43" s="15">
        <f t="shared" si="0"/>
        <v>24</v>
      </c>
      <c r="P43" s="15">
        <f t="shared" si="1"/>
        <v>60</v>
      </c>
    </row>
    <row r="44" spans="2:20" ht="23.1" customHeight="1" x14ac:dyDescent="0.25">
      <c r="B44" s="25" t="s">
        <v>71</v>
      </c>
      <c r="C44" s="50">
        <v>11</v>
      </c>
      <c r="D44" s="50">
        <v>5</v>
      </c>
      <c r="E44" s="50">
        <v>2</v>
      </c>
      <c r="F44" s="50">
        <v>2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56</v>
      </c>
      <c r="N44" s="50">
        <v>0</v>
      </c>
      <c r="O44" s="15">
        <f t="shared" si="0"/>
        <v>23</v>
      </c>
      <c r="P44" s="15">
        <f t="shared" si="1"/>
        <v>79</v>
      </c>
    </row>
    <row r="45" spans="2:20" ht="23.1" customHeight="1" x14ac:dyDescent="0.25">
      <c r="B45" s="23" t="s">
        <v>72</v>
      </c>
      <c r="C45" s="50">
        <v>12</v>
      </c>
      <c r="D45" s="50">
        <v>3</v>
      </c>
      <c r="E45" s="50">
        <v>3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21</v>
      </c>
      <c r="N45" s="50">
        <v>0</v>
      </c>
      <c r="O45" s="15">
        <f t="shared" si="0"/>
        <v>21</v>
      </c>
      <c r="P45" s="15">
        <f t="shared" si="1"/>
        <v>42</v>
      </c>
    </row>
    <row r="46" spans="2:20" ht="23.1" customHeight="1" x14ac:dyDescent="0.25">
      <c r="B46" s="24" t="s">
        <v>73</v>
      </c>
      <c r="C46" s="50">
        <v>16</v>
      </c>
      <c r="D46" s="50">
        <v>2</v>
      </c>
      <c r="E46" s="50">
        <v>1</v>
      </c>
      <c r="F46" s="50">
        <v>2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32</v>
      </c>
      <c r="N46" s="50">
        <v>0</v>
      </c>
      <c r="O46" s="15">
        <f t="shared" si="0"/>
        <v>23</v>
      </c>
      <c r="P46" s="15">
        <f t="shared" si="1"/>
        <v>55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4</v>
      </c>
      <c r="E47" s="50">
        <v>3</v>
      </c>
      <c r="F47" s="50">
        <v>3</v>
      </c>
      <c r="G47" s="50">
        <v>0</v>
      </c>
      <c r="H47" s="50">
        <v>0</v>
      </c>
      <c r="I47" s="50">
        <v>1</v>
      </c>
      <c r="J47" s="50">
        <v>0</v>
      </c>
      <c r="K47" s="50">
        <v>1</v>
      </c>
      <c r="L47" s="50">
        <v>1</v>
      </c>
      <c r="M47" s="50">
        <v>43</v>
      </c>
      <c r="N47" s="50">
        <v>0</v>
      </c>
      <c r="O47" s="15">
        <f t="shared" si="0"/>
        <v>25</v>
      </c>
      <c r="P47" s="15">
        <f t="shared" si="1"/>
        <v>68</v>
      </c>
      <c r="R47" s="8"/>
      <c r="T47"/>
    </row>
    <row r="48" spans="2:20" ht="23.1" customHeight="1" x14ac:dyDescent="0.25">
      <c r="B48" s="24" t="s">
        <v>75</v>
      </c>
      <c r="C48" s="50">
        <v>21</v>
      </c>
      <c r="D48" s="50">
        <v>4</v>
      </c>
      <c r="E48" s="50">
        <v>1</v>
      </c>
      <c r="F48" s="50">
        <v>2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1</v>
      </c>
      <c r="M48" s="50">
        <v>52</v>
      </c>
      <c r="N48" s="50">
        <v>0</v>
      </c>
      <c r="O48" s="15">
        <f t="shared" si="0"/>
        <v>32</v>
      </c>
      <c r="P48" s="15">
        <f t="shared" si="1"/>
        <v>84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2</v>
      </c>
      <c r="E49" s="50">
        <v>2</v>
      </c>
      <c r="F49" s="50">
        <v>2</v>
      </c>
      <c r="G49" s="50">
        <v>0</v>
      </c>
      <c r="H49" s="50">
        <v>0</v>
      </c>
      <c r="I49" s="50">
        <v>7</v>
      </c>
      <c r="J49" s="50">
        <v>1</v>
      </c>
      <c r="K49" s="50">
        <v>0</v>
      </c>
      <c r="L49" s="50">
        <v>0</v>
      </c>
      <c r="M49" s="50">
        <v>47</v>
      </c>
      <c r="N49" s="50">
        <v>0</v>
      </c>
      <c r="O49" s="15">
        <f t="shared" si="0"/>
        <v>30</v>
      </c>
      <c r="P49" s="15">
        <f t="shared" si="1"/>
        <v>77</v>
      </c>
      <c r="R49" s="8"/>
      <c r="T49"/>
    </row>
    <row r="50" spans="2:20" ht="23.1" customHeight="1" x14ac:dyDescent="0.25">
      <c r="B50" s="24" t="s">
        <v>77</v>
      </c>
      <c r="C50" s="50">
        <v>12</v>
      </c>
      <c r="D50" s="50">
        <v>4</v>
      </c>
      <c r="E50" s="50">
        <v>2</v>
      </c>
      <c r="F50" s="50">
        <v>11</v>
      </c>
      <c r="G50" s="50">
        <v>1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37</v>
      </c>
      <c r="N50" s="50">
        <v>0</v>
      </c>
      <c r="O50" s="15">
        <f t="shared" si="0"/>
        <v>35</v>
      </c>
      <c r="P50" s="15">
        <f t="shared" si="1"/>
        <v>72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2</v>
      </c>
      <c r="E51" s="50">
        <v>3</v>
      </c>
      <c r="F51" s="50">
        <v>4</v>
      </c>
      <c r="G51" s="50">
        <v>1</v>
      </c>
      <c r="H51" s="50">
        <v>0</v>
      </c>
      <c r="I51" s="50">
        <v>3</v>
      </c>
      <c r="J51" s="50">
        <v>1</v>
      </c>
      <c r="K51" s="50">
        <v>0</v>
      </c>
      <c r="L51" s="50">
        <v>0</v>
      </c>
      <c r="M51" s="50">
        <v>52</v>
      </c>
      <c r="N51" s="50">
        <v>0</v>
      </c>
      <c r="O51" s="15">
        <f t="shared" si="0"/>
        <v>28</v>
      </c>
      <c r="P51" s="15">
        <f t="shared" si="1"/>
        <v>80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4</v>
      </c>
      <c r="E52" s="50">
        <v>9</v>
      </c>
      <c r="F52" s="50">
        <v>6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39</v>
      </c>
      <c r="N52" s="50">
        <v>0</v>
      </c>
      <c r="O52" s="15">
        <f t="shared" si="0"/>
        <v>37</v>
      </c>
      <c r="P52" s="15">
        <f t="shared" si="1"/>
        <v>76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3</v>
      </c>
      <c r="E53" s="50">
        <v>2</v>
      </c>
      <c r="F53" s="50">
        <v>3</v>
      </c>
      <c r="G53" s="50">
        <v>1</v>
      </c>
      <c r="H53" s="50">
        <v>0</v>
      </c>
      <c r="I53" s="50">
        <v>4</v>
      </c>
      <c r="J53" s="50">
        <v>0</v>
      </c>
      <c r="K53" s="50">
        <v>0</v>
      </c>
      <c r="L53" s="50">
        <v>0</v>
      </c>
      <c r="M53" s="50">
        <v>51</v>
      </c>
      <c r="N53" s="50">
        <v>0</v>
      </c>
      <c r="O53" s="15">
        <f t="shared" si="0"/>
        <v>26</v>
      </c>
      <c r="P53" s="15">
        <f t="shared" si="1"/>
        <v>77</v>
      </c>
      <c r="R53" s="8"/>
      <c r="T53"/>
    </row>
    <row r="54" spans="2:20" ht="23.1" customHeight="1" x14ac:dyDescent="0.25">
      <c r="B54" s="23" t="s">
        <v>81</v>
      </c>
      <c r="C54" s="50">
        <v>17</v>
      </c>
      <c r="D54" s="50">
        <v>2</v>
      </c>
      <c r="E54" s="50">
        <v>3</v>
      </c>
      <c r="F54" s="50">
        <v>7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46</v>
      </c>
      <c r="N54" s="50">
        <v>0</v>
      </c>
      <c r="O54" s="15">
        <f t="shared" si="0"/>
        <v>32</v>
      </c>
      <c r="P54" s="15">
        <f t="shared" si="1"/>
        <v>78</v>
      </c>
      <c r="R54" s="8"/>
      <c r="T54"/>
    </row>
    <row r="55" spans="2:20" ht="23.1" customHeight="1" x14ac:dyDescent="0.25">
      <c r="B55" s="23" t="s">
        <v>82</v>
      </c>
      <c r="C55" s="50">
        <v>20</v>
      </c>
      <c r="D55" s="50">
        <v>10</v>
      </c>
      <c r="E55" s="50">
        <v>4</v>
      </c>
      <c r="F55" s="50">
        <v>7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54</v>
      </c>
      <c r="N55" s="50">
        <v>0</v>
      </c>
      <c r="O55" s="15">
        <f t="shared" si="0"/>
        <v>45</v>
      </c>
      <c r="P55" s="15">
        <f t="shared" si="1"/>
        <v>99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1</v>
      </c>
      <c r="E56" s="50">
        <v>5</v>
      </c>
      <c r="F56" s="50">
        <v>5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47</v>
      </c>
      <c r="N56" s="50">
        <v>0</v>
      </c>
      <c r="O56" s="15">
        <f t="shared" si="0"/>
        <v>20</v>
      </c>
      <c r="P56" s="15">
        <f t="shared" si="1"/>
        <v>67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2</v>
      </c>
      <c r="E57" s="50">
        <v>4</v>
      </c>
      <c r="F57" s="50">
        <v>3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0</v>
      </c>
      <c r="M57" s="50">
        <v>55</v>
      </c>
      <c r="N57" s="50">
        <v>0</v>
      </c>
      <c r="O57" s="15">
        <f t="shared" si="0"/>
        <v>26</v>
      </c>
      <c r="P57" s="15">
        <f t="shared" si="1"/>
        <v>81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621</v>
      </c>
      <c r="D58" s="16">
        <f t="shared" si="21"/>
        <v>102</v>
      </c>
      <c r="E58" s="16">
        <f t="shared" si="21"/>
        <v>117</v>
      </c>
      <c r="F58" s="16">
        <f t="shared" si="21"/>
        <v>129</v>
      </c>
      <c r="G58" s="16">
        <f t="shared" si="21"/>
        <v>6</v>
      </c>
      <c r="H58" s="16">
        <f t="shared" si="21"/>
        <v>0</v>
      </c>
      <c r="I58" s="16">
        <f t="shared" si="21"/>
        <v>119</v>
      </c>
      <c r="J58" s="16">
        <f t="shared" si="21"/>
        <v>28</v>
      </c>
      <c r="K58" s="16">
        <f t="shared" si="21"/>
        <v>9</v>
      </c>
      <c r="L58" s="16">
        <f t="shared" si="21"/>
        <v>4</v>
      </c>
      <c r="M58" s="16">
        <f t="shared" si="21"/>
        <v>1884</v>
      </c>
      <c r="N58" s="16">
        <f t="shared" si="21"/>
        <v>56</v>
      </c>
      <c r="O58" s="16">
        <f t="shared" si="21"/>
        <v>1191</v>
      </c>
      <c r="P58" s="16">
        <f t="shared" si="21"/>
        <v>3075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0.20195121951219513</v>
      </c>
      <c r="D59" s="43">
        <f t="shared" si="22"/>
        <v>3.3170731707317075E-2</v>
      </c>
      <c r="E59" s="43">
        <f t="shared" si="22"/>
        <v>3.8048780487804877E-2</v>
      </c>
      <c r="F59" s="43">
        <f t="shared" si="22"/>
        <v>4.1951219512195125E-2</v>
      </c>
      <c r="G59" s="43">
        <f t="shared" si="22"/>
        <v>1.9512195121951219E-3</v>
      </c>
      <c r="H59" s="43">
        <f t="shared" si="22"/>
        <v>0</v>
      </c>
      <c r="I59" s="43">
        <f t="shared" si="22"/>
        <v>3.8699186991869916E-2</v>
      </c>
      <c r="J59" s="43">
        <f t="shared" si="22"/>
        <v>9.1056910569105691E-3</v>
      </c>
      <c r="K59" s="43">
        <f t="shared" si="22"/>
        <v>2.9268292682926829E-3</v>
      </c>
      <c r="L59" s="43">
        <f t="shared" si="22"/>
        <v>1.3008130081300813E-3</v>
      </c>
      <c r="M59" s="43">
        <f t="shared" si="22"/>
        <v>0.61268292682926828</v>
      </c>
      <c r="N59" s="43">
        <f t="shared" si="22"/>
        <v>1.8211382113821138E-2</v>
      </c>
      <c r="R59" s="8"/>
      <c r="T59"/>
    </row>
    <row r="60" spans="2:20" ht="23.1" customHeight="1" x14ac:dyDescent="0.25">
      <c r="B60" s="42" t="s">
        <v>94</v>
      </c>
      <c r="C60" s="44">
        <f>C58/$O$58</f>
        <v>0.52141057934508817</v>
      </c>
      <c r="D60" s="44">
        <f t="shared" ref="D60:N60" si="23">D58/$O$58</f>
        <v>8.5642317380352648E-2</v>
      </c>
      <c r="E60" s="44">
        <f t="shared" si="23"/>
        <v>9.8236775818639793E-2</v>
      </c>
      <c r="F60" s="44">
        <f t="shared" si="23"/>
        <v>0.10831234256926953</v>
      </c>
      <c r="G60" s="44">
        <f t="shared" si="23"/>
        <v>5.0377833753148613E-3</v>
      </c>
      <c r="H60" s="44">
        <f t="shared" si="23"/>
        <v>0</v>
      </c>
      <c r="I60" s="44">
        <f t="shared" si="23"/>
        <v>9.9916036943744749E-2</v>
      </c>
      <c r="J60" s="44">
        <f t="shared" si="23"/>
        <v>2.3509655751469353E-2</v>
      </c>
      <c r="K60" s="44">
        <f t="shared" si="23"/>
        <v>7.556675062972292E-3</v>
      </c>
      <c r="L60" s="44">
        <f t="shared" si="23"/>
        <v>3.3585222502099076E-3</v>
      </c>
      <c r="M60" s="44"/>
      <c r="N60" s="44">
        <f t="shared" si="23"/>
        <v>4.7019311502938706E-2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22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'23.09- Kasangati-Matuga'!C3:G3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145" t="s">
        <v>173</v>
      </c>
      <c r="F5" s="41" t="s">
        <v>1</v>
      </c>
      <c r="G5" s="150" t="str">
        <f>'[1]26.07 Makindye-Kibuye-24h'!G5:H5</f>
        <v>Kiiza-besigye road</v>
      </c>
      <c r="H5" s="151"/>
      <c r="I5" s="14"/>
      <c r="J5" s="2" t="s">
        <v>5</v>
      </c>
      <c r="K5" s="150" t="str">
        <f>'[1]26.07 Makindye-Kibuye-24h'!K5:L5</f>
        <v>Nakiwugwe. Allen</v>
      </c>
      <c r="L5" s="15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150" t="str">
        <f>'[1]23.09- Kasangati-Matuga'!D6:E6</f>
        <v>Kasangati</v>
      </c>
      <c r="E6" s="151"/>
      <c r="F6" s="2" t="s">
        <v>2</v>
      </c>
      <c r="G6" s="150" t="str">
        <f>'[1]23.09- Kasangati-Matuga'!G6:H6</f>
        <v>matugga</v>
      </c>
      <c r="H6" s="151"/>
      <c r="J6" s="2" t="s">
        <v>21</v>
      </c>
      <c r="K6" s="150" t="str">
        <f>'[1]26.07 Makindye-Kibuye-24h'!K6:L6</f>
        <v>lawrence</v>
      </c>
      <c r="L6" s="15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6" t="s">
        <v>88</v>
      </c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</v>
      </c>
      <c r="D10" s="50">
        <v>1</v>
      </c>
      <c r="E10" s="50">
        <v>1</v>
      </c>
      <c r="F10" s="50">
        <v>1</v>
      </c>
      <c r="G10" s="50">
        <v>1</v>
      </c>
      <c r="H10" s="50">
        <v>0</v>
      </c>
      <c r="I10" s="50">
        <v>0</v>
      </c>
      <c r="J10" s="50">
        <v>0</v>
      </c>
      <c r="K10" s="50">
        <v>2</v>
      </c>
      <c r="L10" s="50">
        <v>0</v>
      </c>
      <c r="M10" s="50">
        <v>39</v>
      </c>
      <c r="N10" s="50">
        <v>0</v>
      </c>
      <c r="O10" s="17">
        <f t="shared" ref="O10:O22" si="0">SUM(C10:L10,N10)</f>
        <v>12</v>
      </c>
      <c r="P10" s="17">
        <f t="shared" ref="P10:P22" si="1">SUM(C10:N10)</f>
        <v>51</v>
      </c>
      <c r="R10" s="1" t="s">
        <v>6</v>
      </c>
      <c r="S10" s="17">
        <f t="shared" ref="S10:AF10" si="2">SUM(C10:C13)</f>
        <v>26</v>
      </c>
      <c r="T10" s="17">
        <f t="shared" si="2"/>
        <v>7</v>
      </c>
      <c r="U10" s="17">
        <f t="shared" si="2"/>
        <v>5</v>
      </c>
      <c r="V10" s="17">
        <f t="shared" si="2"/>
        <v>9</v>
      </c>
      <c r="W10" s="17">
        <f t="shared" si="2"/>
        <v>1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3</v>
      </c>
      <c r="AB10" s="17">
        <f t="shared" si="2"/>
        <v>1</v>
      </c>
      <c r="AC10" s="17">
        <f t="shared" si="2"/>
        <v>133</v>
      </c>
      <c r="AD10" s="17">
        <f t="shared" si="2"/>
        <v>0</v>
      </c>
      <c r="AE10" s="31">
        <f t="shared" si="2"/>
        <v>58</v>
      </c>
      <c r="AF10" s="31">
        <f t="shared" si="2"/>
        <v>191</v>
      </c>
    </row>
    <row r="11" spans="2:32" s="6" customFormat="1" ht="23.1" customHeight="1" x14ac:dyDescent="0.25">
      <c r="B11" s="45" t="s">
        <v>38</v>
      </c>
      <c r="C11" s="50">
        <v>8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25</v>
      </c>
      <c r="N11" s="50">
        <v>0</v>
      </c>
      <c r="O11" s="17">
        <f t="shared" si="0"/>
        <v>10</v>
      </c>
      <c r="P11" s="17">
        <f t="shared" si="1"/>
        <v>35</v>
      </c>
      <c r="R11" s="1" t="s">
        <v>7</v>
      </c>
      <c r="S11" s="17">
        <f t="shared" ref="S11:AF11" si="3">SUM(C14:C17)</f>
        <v>44</v>
      </c>
      <c r="T11" s="17">
        <f t="shared" si="3"/>
        <v>18</v>
      </c>
      <c r="U11" s="17">
        <f t="shared" si="3"/>
        <v>7</v>
      </c>
      <c r="V11" s="17">
        <f t="shared" si="3"/>
        <v>13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154</v>
      </c>
      <c r="AD11" s="17">
        <f t="shared" si="3"/>
        <v>0</v>
      </c>
      <c r="AE11" s="31">
        <f t="shared" si="3"/>
        <v>87</v>
      </c>
      <c r="AF11" s="31">
        <f t="shared" si="3"/>
        <v>241</v>
      </c>
    </row>
    <row r="12" spans="2:32" ht="23.1" customHeight="1" x14ac:dyDescent="0.25">
      <c r="B12" s="45" t="s">
        <v>39</v>
      </c>
      <c r="C12" s="50">
        <v>4</v>
      </c>
      <c r="D12" s="50">
        <v>1</v>
      </c>
      <c r="E12" s="50">
        <v>0</v>
      </c>
      <c r="F12" s="50">
        <v>4</v>
      </c>
      <c r="G12" s="50">
        <v>0</v>
      </c>
      <c r="H12" s="50">
        <v>0</v>
      </c>
      <c r="I12" s="50">
        <v>3</v>
      </c>
      <c r="J12" s="50">
        <v>0</v>
      </c>
      <c r="K12" s="50">
        <v>1</v>
      </c>
      <c r="L12" s="50">
        <v>1</v>
      </c>
      <c r="M12" s="50">
        <v>32</v>
      </c>
      <c r="N12" s="50">
        <v>0</v>
      </c>
      <c r="O12" s="17">
        <f t="shared" si="0"/>
        <v>14</v>
      </c>
      <c r="P12" s="17">
        <f t="shared" si="1"/>
        <v>46</v>
      </c>
      <c r="R12" s="1" t="s">
        <v>8</v>
      </c>
      <c r="S12" s="17">
        <f t="shared" ref="S12:AF12" si="4">SUM(C18:C21)</f>
        <v>54</v>
      </c>
      <c r="T12" s="17">
        <f t="shared" si="4"/>
        <v>29</v>
      </c>
      <c r="U12" s="17">
        <f t="shared" si="4"/>
        <v>16</v>
      </c>
      <c r="V12" s="17">
        <f t="shared" si="4"/>
        <v>16</v>
      </c>
      <c r="W12" s="17">
        <f t="shared" si="4"/>
        <v>0</v>
      </c>
      <c r="X12" s="17">
        <f t="shared" si="4"/>
        <v>1</v>
      </c>
      <c r="Y12" s="17">
        <f t="shared" si="4"/>
        <v>10</v>
      </c>
      <c r="Z12" s="17">
        <f t="shared" si="4"/>
        <v>3</v>
      </c>
      <c r="AA12" s="17">
        <f t="shared" si="4"/>
        <v>0</v>
      </c>
      <c r="AB12" s="17">
        <f t="shared" si="4"/>
        <v>1</v>
      </c>
      <c r="AC12" s="17">
        <f t="shared" si="4"/>
        <v>177</v>
      </c>
      <c r="AD12" s="17">
        <f t="shared" si="4"/>
        <v>0</v>
      </c>
      <c r="AE12" s="31">
        <f t="shared" si="4"/>
        <v>130</v>
      </c>
      <c r="AF12" s="31">
        <f t="shared" si="4"/>
        <v>307</v>
      </c>
    </row>
    <row r="13" spans="2:32" ht="23.1" customHeight="1" x14ac:dyDescent="0.25">
      <c r="B13" s="45" t="s">
        <v>40</v>
      </c>
      <c r="C13" s="50">
        <v>8</v>
      </c>
      <c r="D13" s="50">
        <v>5</v>
      </c>
      <c r="E13" s="50">
        <v>4</v>
      </c>
      <c r="F13" s="50">
        <v>2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37</v>
      </c>
      <c r="N13" s="50">
        <v>0</v>
      </c>
      <c r="O13" s="17">
        <f t="shared" si="0"/>
        <v>22</v>
      </c>
      <c r="P13" s="17">
        <f t="shared" si="1"/>
        <v>59</v>
      </c>
      <c r="R13" s="1" t="s">
        <v>9</v>
      </c>
      <c r="S13" s="17">
        <f t="shared" ref="S13:AF13" si="5">SUM(C22:C25)</f>
        <v>56</v>
      </c>
      <c r="T13" s="17">
        <f t="shared" si="5"/>
        <v>28</v>
      </c>
      <c r="U13" s="17">
        <f t="shared" si="5"/>
        <v>7</v>
      </c>
      <c r="V13" s="17">
        <f t="shared" si="5"/>
        <v>7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181</v>
      </c>
      <c r="AD13" s="17">
        <f t="shared" si="5"/>
        <v>0</v>
      </c>
      <c r="AE13" s="31">
        <f t="shared" si="5"/>
        <v>114</v>
      </c>
      <c r="AF13" s="31">
        <f t="shared" si="5"/>
        <v>295</v>
      </c>
    </row>
    <row r="14" spans="2:32" ht="23.1" customHeight="1" x14ac:dyDescent="0.25">
      <c r="B14" s="45" t="s">
        <v>41</v>
      </c>
      <c r="C14" s="50">
        <v>13</v>
      </c>
      <c r="D14" s="50">
        <v>6</v>
      </c>
      <c r="E14" s="50">
        <v>2</v>
      </c>
      <c r="F14" s="50">
        <v>2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35</v>
      </c>
      <c r="N14" s="50">
        <v>0</v>
      </c>
      <c r="O14" s="17">
        <f t="shared" si="0"/>
        <v>25</v>
      </c>
      <c r="P14" s="17">
        <f t="shared" si="1"/>
        <v>60</v>
      </c>
      <c r="R14" s="1" t="s">
        <v>10</v>
      </c>
      <c r="S14" s="17">
        <f t="shared" ref="S14:AF14" si="6">SUM(C26:C29)</f>
        <v>48</v>
      </c>
      <c r="T14" s="17">
        <f t="shared" si="6"/>
        <v>37</v>
      </c>
      <c r="U14" s="17">
        <f t="shared" si="6"/>
        <v>18</v>
      </c>
      <c r="V14" s="17">
        <f t="shared" si="6"/>
        <v>8</v>
      </c>
      <c r="W14" s="17">
        <f t="shared" si="6"/>
        <v>2</v>
      </c>
      <c r="X14" s="17">
        <f t="shared" si="6"/>
        <v>0</v>
      </c>
      <c r="Y14" s="17">
        <f t="shared" si="6"/>
        <v>17</v>
      </c>
      <c r="Z14" s="17">
        <f t="shared" si="6"/>
        <v>5</v>
      </c>
      <c r="AA14" s="17">
        <f t="shared" si="6"/>
        <v>1</v>
      </c>
      <c r="AB14" s="17">
        <f t="shared" si="6"/>
        <v>0</v>
      </c>
      <c r="AC14" s="17">
        <f t="shared" si="6"/>
        <v>195</v>
      </c>
      <c r="AD14" s="17">
        <f t="shared" si="6"/>
        <v>0</v>
      </c>
      <c r="AE14" s="31">
        <f t="shared" si="6"/>
        <v>136</v>
      </c>
      <c r="AF14" s="31">
        <f t="shared" si="6"/>
        <v>331</v>
      </c>
    </row>
    <row r="15" spans="2:32" ht="23.1" customHeight="1" x14ac:dyDescent="0.25">
      <c r="B15" s="45" t="s">
        <v>42</v>
      </c>
      <c r="C15" s="50">
        <v>12</v>
      </c>
      <c r="D15" s="50">
        <v>4</v>
      </c>
      <c r="E15" s="50">
        <v>1</v>
      </c>
      <c r="F15" s="50">
        <v>3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49</v>
      </c>
      <c r="N15" s="50">
        <v>0</v>
      </c>
      <c r="O15" s="17">
        <f t="shared" si="0"/>
        <v>21</v>
      </c>
      <c r="P15" s="17">
        <f t="shared" si="1"/>
        <v>70</v>
      </c>
      <c r="R15" s="1" t="s">
        <v>11</v>
      </c>
      <c r="S15" s="17">
        <f t="shared" ref="S15:AF15" si="7">SUM(C30:C33)</f>
        <v>49</v>
      </c>
      <c r="T15" s="17">
        <f t="shared" si="7"/>
        <v>19</v>
      </c>
      <c r="U15" s="17">
        <f t="shared" si="7"/>
        <v>20</v>
      </c>
      <c r="V15" s="17">
        <f t="shared" si="7"/>
        <v>12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4</v>
      </c>
      <c r="AA15" s="17">
        <f t="shared" si="7"/>
        <v>2</v>
      </c>
      <c r="AB15" s="17">
        <f t="shared" si="7"/>
        <v>4</v>
      </c>
      <c r="AC15" s="17">
        <f t="shared" si="7"/>
        <v>138</v>
      </c>
      <c r="AD15" s="17">
        <f t="shared" si="7"/>
        <v>0</v>
      </c>
      <c r="AE15" s="31">
        <f t="shared" si="7"/>
        <v>120</v>
      </c>
      <c r="AF15" s="31">
        <f t="shared" si="7"/>
        <v>258</v>
      </c>
    </row>
    <row r="16" spans="2:32" ht="23.1" customHeight="1" x14ac:dyDescent="0.25">
      <c r="B16" s="45" t="s">
        <v>43</v>
      </c>
      <c r="C16" s="50">
        <v>8</v>
      </c>
      <c r="D16" s="50">
        <v>1</v>
      </c>
      <c r="E16" s="50">
        <v>2</v>
      </c>
      <c r="F16" s="50">
        <v>5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37</v>
      </c>
      <c r="N16" s="50">
        <v>0</v>
      </c>
      <c r="O16" s="17">
        <f t="shared" si="0"/>
        <v>16</v>
      </c>
      <c r="P16" s="17">
        <f t="shared" si="1"/>
        <v>53</v>
      </c>
      <c r="R16" s="1" t="s">
        <v>12</v>
      </c>
      <c r="S16" s="17">
        <f t="shared" ref="S16:AF16" si="8">SUM(C34:C37)</f>
        <v>52</v>
      </c>
      <c r="T16" s="17">
        <f t="shared" si="8"/>
        <v>26</v>
      </c>
      <c r="U16" s="17">
        <f t="shared" si="8"/>
        <v>17</v>
      </c>
      <c r="V16" s="17">
        <f t="shared" si="8"/>
        <v>12</v>
      </c>
      <c r="W16" s="17">
        <f t="shared" si="8"/>
        <v>1</v>
      </c>
      <c r="X16" s="17">
        <f t="shared" si="8"/>
        <v>0</v>
      </c>
      <c r="Y16" s="17">
        <f t="shared" si="8"/>
        <v>13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118</v>
      </c>
      <c r="AD16" s="17">
        <f t="shared" si="8"/>
        <v>0</v>
      </c>
      <c r="AE16" s="31">
        <f t="shared" si="8"/>
        <v>122</v>
      </c>
      <c r="AF16" s="31">
        <f t="shared" si="8"/>
        <v>240</v>
      </c>
    </row>
    <row r="17" spans="2:32" ht="23.1" customHeight="1" x14ac:dyDescent="0.25">
      <c r="B17" s="45" t="s">
        <v>44</v>
      </c>
      <c r="C17" s="50">
        <v>11</v>
      </c>
      <c r="D17" s="50">
        <v>7</v>
      </c>
      <c r="E17" s="50">
        <v>2</v>
      </c>
      <c r="F17" s="50">
        <v>3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33</v>
      </c>
      <c r="N17" s="50">
        <v>0</v>
      </c>
      <c r="O17" s="17">
        <f t="shared" si="0"/>
        <v>25</v>
      </c>
      <c r="P17" s="17">
        <f t="shared" si="1"/>
        <v>58</v>
      </c>
      <c r="R17" s="1" t="s">
        <v>13</v>
      </c>
      <c r="S17" s="17">
        <f t="shared" ref="S17:AF17" si="9">SUM(C38:C41)</f>
        <v>48</v>
      </c>
      <c r="T17" s="17">
        <f t="shared" si="9"/>
        <v>13</v>
      </c>
      <c r="U17" s="17">
        <f t="shared" si="9"/>
        <v>13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14</v>
      </c>
      <c r="Z17" s="17">
        <f t="shared" si="9"/>
        <v>1</v>
      </c>
      <c r="AA17" s="17">
        <f t="shared" si="9"/>
        <v>1</v>
      </c>
      <c r="AB17" s="17">
        <f t="shared" si="9"/>
        <v>1</v>
      </c>
      <c r="AC17" s="17">
        <f t="shared" si="9"/>
        <v>157</v>
      </c>
      <c r="AD17" s="17">
        <f t="shared" si="9"/>
        <v>0</v>
      </c>
      <c r="AE17" s="31">
        <f t="shared" si="9"/>
        <v>100</v>
      </c>
      <c r="AF17" s="31">
        <f t="shared" si="9"/>
        <v>257</v>
      </c>
    </row>
    <row r="18" spans="2:32" ht="23.1" customHeight="1" x14ac:dyDescent="0.25">
      <c r="B18" s="45" t="s">
        <v>45</v>
      </c>
      <c r="C18" s="50">
        <v>17</v>
      </c>
      <c r="D18" s="50">
        <v>7</v>
      </c>
      <c r="E18" s="50">
        <v>1</v>
      </c>
      <c r="F18" s="50">
        <v>4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46</v>
      </c>
      <c r="N18" s="50">
        <v>0</v>
      </c>
      <c r="O18" s="17">
        <f t="shared" si="0"/>
        <v>31</v>
      </c>
      <c r="P18" s="17">
        <f t="shared" si="1"/>
        <v>77</v>
      </c>
      <c r="R18" s="1" t="s">
        <v>14</v>
      </c>
      <c r="S18" s="17">
        <f t="shared" ref="S18:AF18" si="10">SUM(C42:C45)</f>
        <v>66</v>
      </c>
      <c r="T18" s="17">
        <f t="shared" si="10"/>
        <v>12</v>
      </c>
      <c r="U18" s="17">
        <f t="shared" si="10"/>
        <v>14</v>
      </c>
      <c r="V18" s="17">
        <f t="shared" si="10"/>
        <v>11</v>
      </c>
      <c r="W18" s="17">
        <f t="shared" si="10"/>
        <v>0</v>
      </c>
      <c r="X18" s="17">
        <f t="shared" si="10"/>
        <v>0</v>
      </c>
      <c r="Y18" s="17">
        <f t="shared" si="10"/>
        <v>14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143</v>
      </c>
      <c r="AD18" s="17">
        <f t="shared" si="10"/>
        <v>0</v>
      </c>
      <c r="AE18" s="31">
        <f t="shared" si="10"/>
        <v>118</v>
      </c>
      <c r="AF18" s="31">
        <f t="shared" si="10"/>
        <v>261</v>
      </c>
    </row>
    <row r="19" spans="2:32" ht="23.1" customHeight="1" x14ac:dyDescent="0.25">
      <c r="B19" s="45" t="s">
        <v>46</v>
      </c>
      <c r="C19" s="50">
        <v>11</v>
      </c>
      <c r="D19" s="50">
        <v>14</v>
      </c>
      <c r="E19" s="50">
        <v>4</v>
      </c>
      <c r="F19" s="50">
        <v>3</v>
      </c>
      <c r="G19" s="50">
        <v>0</v>
      </c>
      <c r="H19" s="50">
        <v>1</v>
      </c>
      <c r="I19" s="50">
        <v>5</v>
      </c>
      <c r="J19" s="50">
        <v>1</v>
      </c>
      <c r="K19" s="50">
        <v>0</v>
      </c>
      <c r="L19" s="50">
        <v>0</v>
      </c>
      <c r="M19" s="50">
        <v>42</v>
      </c>
      <c r="N19" s="50">
        <v>0</v>
      </c>
      <c r="O19" s="17">
        <f t="shared" si="0"/>
        <v>39</v>
      </c>
      <c r="P19" s="17">
        <f t="shared" si="1"/>
        <v>81</v>
      </c>
      <c r="R19" s="1" t="s">
        <v>15</v>
      </c>
      <c r="S19" s="17">
        <f t="shared" ref="S19:AF19" si="11">SUM(C46:C49)</f>
        <v>90</v>
      </c>
      <c r="T19" s="17">
        <f t="shared" si="11"/>
        <v>25</v>
      </c>
      <c r="U19" s="17">
        <f t="shared" si="11"/>
        <v>22</v>
      </c>
      <c r="V19" s="17">
        <f t="shared" si="11"/>
        <v>11</v>
      </c>
      <c r="W19" s="17">
        <f t="shared" si="11"/>
        <v>0</v>
      </c>
      <c r="X19" s="17">
        <f t="shared" si="11"/>
        <v>0</v>
      </c>
      <c r="Y19" s="17">
        <f t="shared" si="11"/>
        <v>16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123</v>
      </c>
      <c r="AD19" s="17">
        <f t="shared" si="11"/>
        <v>0</v>
      </c>
      <c r="AE19" s="31">
        <f t="shared" si="11"/>
        <v>165</v>
      </c>
      <c r="AF19" s="31">
        <f t="shared" si="11"/>
        <v>288</v>
      </c>
    </row>
    <row r="20" spans="2:32" ht="23.1" customHeight="1" x14ac:dyDescent="0.25">
      <c r="B20" s="45" t="s">
        <v>47</v>
      </c>
      <c r="C20" s="50">
        <v>14</v>
      </c>
      <c r="D20" s="50">
        <v>6</v>
      </c>
      <c r="E20" s="50">
        <v>6</v>
      </c>
      <c r="F20" s="50">
        <v>4</v>
      </c>
      <c r="G20" s="50">
        <v>0</v>
      </c>
      <c r="H20" s="50">
        <v>0</v>
      </c>
      <c r="I20" s="50">
        <v>2</v>
      </c>
      <c r="J20" s="50">
        <v>2</v>
      </c>
      <c r="K20" s="50">
        <v>0</v>
      </c>
      <c r="L20" s="50">
        <v>0</v>
      </c>
      <c r="M20" s="50">
        <v>54</v>
      </c>
      <c r="N20" s="50">
        <v>0</v>
      </c>
      <c r="O20" s="17">
        <f t="shared" si="0"/>
        <v>34</v>
      </c>
      <c r="P20" s="17">
        <f t="shared" si="1"/>
        <v>88</v>
      </c>
      <c r="R20" s="1" t="s">
        <v>16</v>
      </c>
      <c r="S20" s="17">
        <f t="shared" ref="S20:AF20" si="12">SUM(C50:C53)</f>
        <v>58</v>
      </c>
      <c r="T20" s="17">
        <f t="shared" si="12"/>
        <v>29</v>
      </c>
      <c r="U20" s="17">
        <f t="shared" si="12"/>
        <v>14</v>
      </c>
      <c r="V20" s="17">
        <f t="shared" si="12"/>
        <v>11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1</v>
      </c>
      <c r="AA20" s="17">
        <f t="shared" si="12"/>
        <v>2</v>
      </c>
      <c r="AB20" s="17">
        <f t="shared" si="12"/>
        <v>1</v>
      </c>
      <c r="AC20" s="17">
        <f t="shared" si="12"/>
        <v>161</v>
      </c>
      <c r="AD20" s="17">
        <f t="shared" si="12"/>
        <v>0</v>
      </c>
      <c r="AE20" s="31">
        <f t="shared" si="12"/>
        <v>127</v>
      </c>
      <c r="AF20" s="31">
        <f t="shared" si="12"/>
        <v>288</v>
      </c>
    </row>
    <row r="21" spans="2:32" ht="23.1" customHeight="1" x14ac:dyDescent="0.25">
      <c r="B21" s="45" t="s">
        <v>48</v>
      </c>
      <c r="C21" s="50">
        <v>12</v>
      </c>
      <c r="D21" s="50">
        <v>2</v>
      </c>
      <c r="E21" s="50">
        <v>5</v>
      </c>
      <c r="F21" s="50">
        <v>5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35</v>
      </c>
      <c r="N21" s="50">
        <v>0</v>
      </c>
      <c r="O21" s="17">
        <f t="shared" si="0"/>
        <v>26</v>
      </c>
      <c r="P21" s="17">
        <f t="shared" si="1"/>
        <v>61</v>
      </c>
      <c r="R21" s="36" t="s">
        <v>20</v>
      </c>
      <c r="S21" s="34">
        <f t="shared" ref="S21:AF21" si="13">SUM(C54:C57)</f>
        <v>51</v>
      </c>
      <c r="T21" s="17">
        <f t="shared" si="13"/>
        <v>22</v>
      </c>
      <c r="U21" s="17">
        <f t="shared" si="13"/>
        <v>6</v>
      </c>
      <c r="V21" s="17">
        <f t="shared" si="13"/>
        <v>22</v>
      </c>
      <c r="W21" s="17">
        <f t="shared" si="13"/>
        <v>0</v>
      </c>
      <c r="X21" s="17">
        <f t="shared" si="13"/>
        <v>0</v>
      </c>
      <c r="Y21" s="17">
        <f t="shared" si="13"/>
        <v>10</v>
      </c>
      <c r="Z21" s="17">
        <f t="shared" si="13"/>
        <v>1</v>
      </c>
      <c r="AA21" s="17">
        <f t="shared" si="13"/>
        <v>0</v>
      </c>
      <c r="AB21" s="17">
        <f t="shared" si="13"/>
        <v>2</v>
      </c>
      <c r="AC21" s="17">
        <f t="shared" si="13"/>
        <v>178</v>
      </c>
      <c r="AD21" s="17">
        <f t="shared" si="13"/>
        <v>0</v>
      </c>
      <c r="AE21" s="31">
        <f t="shared" si="13"/>
        <v>114</v>
      </c>
      <c r="AF21" s="31">
        <f t="shared" si="13"/>
        <v>292</v>
      </c>
    </row>
    <row r="22" spans="2:32" ht="23.1" customHeight="1" x14ac:dyDescent="0.25">
      <c r="B22" s="45" t="s">
        <v>49</v>
      </c>
      <c r="C22" s="50">
        <v>22</v>
      </c>
      <c r="D22" s="50">
        <v>10</v>
      </c>
      <c r="E22" s="50">
        <v>2</v>
      </c>
      <c r="F22" s="50">
        <v>3</v>
      </c>
      <c r="G22" s="50">
        <v>0</v>
      </c>
      <c r="H22" s="50">
        <v>0</v>
      </c>
      <c r="I22" s="50">
        <v>6</v>
      </c>
      <c r="J22" s="50">
        <v>0</v>
      </c>
      <c r="K22" s="50">
        <v>0</v>
      </c>
      <c r="L22" s="50">
        <v>0</v>
      </c>
      <c r="M22" s="50">
        <v>40</v>
      </c>
      <c r="N22" s="50">
        <v>0</v>
      </c>
      <c r="O22" s="17">
        <f t="shared" si="0"/>
        <v>43</v>
      </c>
      <c r="P22" s="17">
        <f t="shared" si="1"/>
        <v>83</v>
      </c>
      <c r="R22" s="36" t="s">
        <v>146</v>
      </c>
      <c r="S22" s="34">
        <f>SUM(C58:C61)</f>
        <v>61</v>
      </c>
      <c r="T22" s="34">
        <f t="shared" ref="T22:AF22" si="14">SUM(D58:D61)</f>
        <v>5</v>
      </c>
      <c r="U22" s="34">
        <f t="shared" si="14"/>
        <v>9</v>
      </c>
      <c r="V22" s="34">
        <f t="shared" si="14"/>
        <v>14</v>
      </c>
      <c r="W22" s="34">
        <f t="shared" si="14"/>
        <v>3</v>
      </c>
      <c r="X22" s="34">
        <f t="shared" si="14"/>
        <v>0</v>
      </c>
      <c r="Y22" s="34">
        <f t="shared" si="14"/>
        <v>4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226</v>
      </c>
      <c r="AD22" s="34">
        <f t="shared" si="14"/>
        <v>0</v>
      </c>
      <c r="AE22" s="31">
        <f t="shared" si="14"/>
        <v>96</v>
      </c>
      <c r="AF22" s="31">
        <f t="shared" si="14"/>
        <v>322</v>
      </c>
    </row>
    <row r="23" spans="2:32" ht="23.1" customHeight="1" x14ac:dyDescent="0.25">
      <c r="B23" s="45" t="s">
        <v>50</v>
      </c>
      <c r="C23" s="50">
        <v>9</v>
      </c>
      <c r="D23" s="50">
        <v>5</v>
      </c>
      <c r="E23" s="50">
        <v>2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51</v>
      </c>
      <c r="N23" s="50">
        <v>0</v>
      </c>
      <c r="O23" s="15">
        <f t="shared" ref="O23:O73" si="15">SUM(C23:L23,N23)</f>
        <v>19</v>
      </c>
      <c r="P23" s="15">
        <f t="shared" ref="P23:P73" si="16">SUM(C23:N23)</f>
        <v>70</v>
      </c>
      <c r="R23" s="36" t="s">
        <v>147</v>
      </c>
      <c r="S23" s="34">
        <f>SUM(C62:C65)</f>
        <v>92</v>
      </c>
      <c r="T23" s="34">
        <f t="shared" ref="T23:AF23" si="17">SUM(D62:D65)</f>
        <v>11</v>
      </c>
      <c r="U23" s="34">
        <f t="shared" si="17"/>
        <v>10</v>
      </c>
      <c r="V23" s="34">
        <f t="shared" si="17"/>
        <v>14</v>
      </c>
      <c r="W23" s="34">
        <f t="shared" si="17"/>
        <v>1</v>
      </c>
      <c r="X23" s="34">
        <f t="shared" si="17"/>
        <v>1</v>
      </c>
      <c r="Y23" s="34">
        <f t="shared" si="17"/>
        <v>9</v>
      </c>
      <c r="Z23" s="34">
        <f t="shared" si="17"/>
        <v>2</v>
      </c>
      <c r="AA23" s="34">
        <f t="shared" si="17"/>
        <v>0</v>
      </c>
      <c r="AB23" s="34">
        <f t="shared" si="17"/>
        <v>0</v>
      </c>
      <c r="AC23" s="34">
        <f t="shared" si="17"/>
        <v>242</v>
      </c>
      <c r="AD23" s="34">
        <f t="shared" si="17"/>
        <v>0</v>
      </c>
      <c r="AE23" s="31">
        <f t="shared" si="17"/>
        <v>140</v>
      </c>
      <c r="AF23" s="31">
        <f t="shared" si="17"/>
        <v>382</v>
      </c>
    </row>
    <row r="24" spans="2:32" ht="23.1" customHeight="1" x14ac:dyDescent="0.25">
      <c r="B24" s="45" t="s">
        <v>51</v>
      </c>
      <c r="C24" s="50">
        <v>16</v>
      </c>
      <c r="D24" s="50">
        <v>5</v>
      </c>
      <c r="E24" s="50">
        <v>0</v>
      </c>
      <c r="F24" s="50">
        <v>2</v>
      </c>
      <c r="G24" s="50">
        <v>0</v>
      </c>
      <c r="H24" s="50">
        <v>0</v>
      </c>
      <c r="I24" s="50">
        <v>0</v>
      </c>
      <c r="J24" s="50">
        <v>3</v>
      </c>
      <c r="K24" s="50">
        <v>1</v>
      </c>
      <c r="L24" s="50">
        <v>0</v>
      </c>
      <c r="M24" s="50">
        <v>43</v>
      </c>
      <c r="N24" s="50">
        <v>0</v>
      </c>
      <c r="O24" s="15">
        <f t="shared" si="15"/>
        <v>27</v>
      </c>
      <c r="P24" s="15">
        <f t="shared" si="16"/>
        <v>70</v>
      </c>
      <c r="R24" s="36" t="s">
        <v>148</v>
      </c>
      <c r="S24" s="34">
        <f>SUM(C66:C69)</f>
        <v>106</v>
      </c>
      <c r="T24" s="34">
        <f t="shared" ref="T24:AF24" si="18">SUM(D66:D69)</f>
        <v>13</v>
      </c>
      <c r="U24" s="34">
        <f t="shared" si="18"/>
        <v>8</v>
      </c>
      <c r="V24" s="34">
        <f t="shared" si="18"/>
        <v>15</v>
      </c>
      <c r="W24" s="34">
        <f t="shared" si="18"/>
        <v>0</v>
      </c>
      <c r="X24" s="34">
        <f t="shared" si="18"/>
        <v>0</v>
      </c>
      <c r="Y24" s="34">
        <f t="shared" si="18"/>
        <v>11</v>
      </c>
      <c r="Z24" s="34">
        <f t="shared" si="18"/>
        <v>3</v>
      </c>
      <c r="AA24" s="34">
        <f t="shared" si="18"/>
        <v>0</v>
      </c>
      <c r="AB24" s="34">
        <f t="shared" si="18"/>
        <v>0</v>
      </c>
      <c r="AC24" s="34">
        <f t="shared" si="18"/>
        <v>244</v>
      </c>
      <c r="AD24" s="34">
        <f t="shared" si="18"/>
        <v>0</v>
      </c>
      <c r="AE24" s="31">
        <f t="shared" si="18"/>
        <v>156</v>
      </c>
      <c r="AF24" s="31">
        <f t="shared" si="18"/>
        <v>400</v>
      </c>
    </row>
    <row r="25" spans="2:32" ht="23.1" customHeight="1" x14ac:dyDescent="0.25">
      <c r="B25" s="45" t="s">
        <v>52</v>
      </c>
      <c r="C25" s="50">
        <v>9</v>
      </c>
      <c r="D25" s="50">
        <v>8</v>
      </c>
      <c r="E25" s="50">
        <v>3</v>
      </c>
      <c r="F25" s="50">
        <v>1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47</v>
      </c>
      <c r="N25" s="50">
        <v>0</v>
      </c>
      <c r="O25" s="15">
        <f t="shared" si="15"/>
        <v>25</v>
      </c>
      <c r="P25" s="15">
        <f t="shared" si="16"/>
        <v>72</v>
      </c>
      <c r="R25" s="36" t="s">
        <v>149</v>
      </c>
      <c r="S25" s="34">
        <f>SUM(C70:C73)</f>
        <v>79</v>
      </c>
      <c r="T25" s="34">
        <f t="shared" ref="T25:AF25" si="19">SUM(D70:D73)</f>
        <v>17</v>
      </c>
      <c r="U25" s="34">
        <f t="shared" si="19"/>
        <v>6</v>
      </c>
      <c r="V25" s="34">
        <f t="shared" si="19"/>
        <v>12</v>
      </c>
      <c r="W25" s="34">
        <f t="shared" si="19"/>
        <v>0</v>
      </c>
      <c r="X25" s="34">
        <f t="shared" si="19"/>
        <v>0</v>
      </c>
      <c r="Y25" s="34">
        <f t="shared" si="19"/>
        <v>9</v>
      </c>
      <c r="Z25" s="34">
        <f t="shared" si="19"/>
        <v>0</v>
      </c>
      <c r="AA25" s="34">
        <f t="shared" si="19"/>
        <v>0</v>
      </c>
      <c r="AB25" s="34">
        <f t="shared" si="19"/>
        <v>0</v>
      </c>
      <c r="AC25" s="34">
        <f t="shared" si="19"/>
        <v>176</v>
      </c>
      <c r="AD25" s="34">
        <f t="shared" si="19"/>
        <v>0</v>
      </c>
      <c r="AE25" s="31">
        <f t="shared" si="19"/>
        <v>123</v>
      </c>
      <c r="AF25" s="31">
        <f t="shared" si="19"/>
        <v>299</v>
      </c>
    </row>
    <row r="26" spans="2:32" ht="23.1" customHeight="1" x14ac:dyDescent="0.25">
      <c r="B26" s="45" t="s">
        <v>53</v>
      </c>
      <c r="C26" s="50">
        <v>16</v>
      </c>
      <c r="D26" s="50">
        <v>14</v>
      </c>
      <c r="E26" s="50">
        <v>8</v>
      </c>
      <c r="F26" s="50">
        <v>2</v>
      </c>
      <c r="G26" s="50">
        <v>0</v>
      </c>
      <c r="H26" s="50">
        <v>0</v>
      </c>
      <c r="I26" s="50">
        <v>0</v>
      </c>
      <c r="J26" s="50">
        <v>5</v>
      </c>
      <c r="K26" s="50">
        <v>1</v>
      </c>
      <c r="L26" s="50">
        <v>0</v>
      </c>
      <c r="M26" s="50">
        <v>50</v>
      </c>
      <c r="N26" s="50">
        <v>0</v>
      </c>
      <c r="O26" s="15">
        <f t="shared" si="15"/>
        <v>46</v>
      </c>
      <c r="P26" s="15">
        <f t="shared" si="16"/>
        <v>96</v>
      </c>
      <c r="R26" s="36" t="s">
        <v>150</v>
      </c>
      <c r="S26" s="34">
        <f>SUM(C74:C77)</f>
        <v>42</v>
      </c>
      <c r="T26" s="34">
        <f t="shared" ref="T26:AF26" si="20">SUM(D74:D77)</f>
        <v>3</v>
      </c>
      <c r="U26" s="34">
        <f t="shared" si="20"/>
        <v>5</v>
      </c>
      <c r="V26" s="34">
        <f t="shared" si="20"/>
        <v>3</v>
      </c>
      <c r="W26" s="34">
        <f t="shared" si="20"/>
        <v>0</v>
      </c>
      <c r="X26" s="34">
        <f t="shared" si="20"/>
        <v>0</v>
      </c>
      <c r="Y26" s="34">
        <f t="shared" si="20"/>
        <v>6</v>
      </c>
      <c r="Z26" s="34">
        <f t="shared" si="20"/>
        <v>0</v>
      </c>
      <c r="AA26" s="34">
        <f t="shared" si="20"/>
        <v>0</v>
      </c>
      <c r="AB26" s="34">
        <f t="shared" si="20"/>
        <v>0</v>
      </c>
      <c r="AC26" s="34">
        <f t="shared" si="20"/>
        <v>109</v>
      </c>
      <c r="AD26" s="34">
        <f t="shared" si="20"/>
        <v>0</v>
      </c>
      <c r="AE26" s="31">
        <f t="shared" si="20"/>
        <v>59</v>
      </c>
      <c r="AF26" s="31">
        <f t="shared" si="20"/>
        <v>168</v>
      </c>
    </row>
    <row r="27" spans="2:32" ht="23.1" customHeight="1" x14ac:dyDescent="0.25">
      <c r="B27" s="45" t="s">
        <v>54</v>
      </c>
      <c r="C27" s="50">
        <v>11</v>
      </c>
      <c r="D27" s="50">
        <v>5</v>
      </c>
      <c r="E27" s="50">
        <v>0</v>
      </c>
      <c r="F27" s="50">
        <v>2</v>
      </c>
      <c r="G27" s="50">
        <v>1</v>
      </c>
      <c r="H27" s="50">
        <v>0</v>
      </c>
      <c r="I27" s="50">
        <v>6</v>
      </c>
      <c r="J27" s="50">
        <v>0</v>
      </c>
      <c r="K27" s="50">
        <v>0</v>
      </c>
      <c r="L27" s="50">
        <v>0</v>
      </c>
      <c r="M27" s="50">
        <v>57</v>
      </c>
      <c r="N27" s="50">
        <v>0</v>
      </c>
      <c r="O27" s="15">
        <f t="shared" si="15"/>
        <v>25</v>
      </c>
      <c r="P27" s="15">
        <f t="shared" si="16"/>
        <v>82</v>
      </c>
      <c r="R27" s="36" t="s">
        <v>151</v>
      </c>
      <c r="S27" s="34">
        <f>SUM(C78:C81)</f>
        <v>27</v>
      </c>
      <c r="T27" s="34">
        <f t="shared" ref="T27:AF27" si="21">SUM(D78:D81)</f>
        <v>5</v>
      </c>
      <c r="U27" s="34">
        <f t="shared" si="21"/>
        <v>5</v>
      </c>
      <c r="V27" s="34">
        <f t="shared" si="21"/>
        <v>2</v>
      </c>
      <c r="W27" s="34">
        <f t="shared" si="21"/>
        <v>0</v>
      </c>
      <c r="X27" s="34">
        <f t="shared" si="21"/>
        <v>0</v>
      </c>
      <c r="Y27" s="34">
        <f t="shared" si="21"/>
        <v>1</v>
      </c>
      <c r="Z27" s="34">
        <f t="shared" si="21"/>
        <v>0</v>
      </c>
      <c r="AA27" s="34">
        <f t="shared" si="21"/>
        <v>1</v>
      </c>
      <c r="AB27" s="34">
        <f t="shared" si="21"/>
        <v>0</v>
      </c>
      <c r="AC27" s="34">
        <f t="shared" si="21"/>
        <v>44</v>
      </c>
      <c r="AD27" s="34">
        <f t="shared" si="21"/>
        <v>0</v>
      </c>
      <c r="AE27" s="31">
        <f t="shared" si="21"/>
        <v>41</v>
      </c>
      <c r="AF27" s="31">
        <f t="shared" si="21"/>
        <v>85</v>
      </c>
    </row>
    <row r="28" spans="2:32" ht="23.1" customHeight="1" x14ac:dyDescent="0.25">
      <c r="B28" s="45" t="s">
        <v>55</v>
      </c>
      <c r="C28" s="50">
        <v>9</v>
      </c>
      <c r="D28" s="50">
        <v>10</v>
      </c>
      <c r="E28" s="50">
        <v>8</v>
      </c>
      <c r="F28" s="50">
        <v>2</v>
      </c>
      <c r="G28" s="50">
        <v>0</v>
      </c>
      <c r="H28" s="50">
        <v>0</v>
      </c>
      <c r="I28" s="50">
        <v>8</v>
      </c>
      <c r="J28" s="50">
        <v>0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15"/>
        <v>37</v>
      </c>
      <c r="P28" s="15">
        <f t="shared" si="16"/>
        <v>79</v>
      </c>
      <c r="R28" s="36" t="s">
        <v>152</v>
      </c>
      <c r="S28" s="34">
        <f>SUM(C82:C85)</f>
        <v>13</v>
      </c>
      <c r="T28" s="34">
        <f t="shared" ref="T28:AF28" si="22">SUM(D82:D85)</f>
        <v>2</v>
      </c>
      <c r="U28" s="34">
        <f t="shared" si="22"/>
        <v>3</v>
      </c>
      <c r="V28" s="34">
        <f t="shared" si="22"/>
        <v>3</v>
      </c>
      <c r="W28" s="34">
        <f t="shared" si="22"/>
        <v>0</v>
      </c>
      <c r="X28" s="34">
        <f t="shared" si="22"/>
        <v>0</v>
      </c>
      <c r="Y28" s="34">
        <f t="shared" si="22"/>
        <v>0</v>
      </c>
      <c r="Z28" s="34">
        <f t="shared" si="22"/>
        <v>0</v>
      </c>
      <c r="AA28" s="34">
        <f t="shared" si="22"/>
        <v>0</v>
      </c>
      <c r="AB28" s="34">
        <f t="shared" si="22"/>
        <v>0</v>
      </c>
      <c r="AC28" s="34">
        <f t="shared" si="22"/>
        <v>35</v>
      </c>
      <c r="AD28" s="34">
        <f t="shared" si="22"/>
        <v>0</v>
      </c>
      <c r="AE28" s="31">
        <f t="shared" si="22"/>
        <v>21</v>
      </c>
      <c r="AF28" s="31">
        <f t="shared" si="22"/>
        <v>56</v>
      </c>
    </row>
    <row r="29" spans="2:32" ht="23.1" customHeight="1" x14ac:dyDescent="0.25">
      <c r="B29" s="45" t="s">
        <v>56</v>
      </c>
      <c r="C29" s="50">
        <v>12</v>
      </c>
      <c r="D29" s="50">
        <v>8</v>
      </c>
      <c r="E29" s="50">
        <v>2</v>
      </c>
      <c r="F29" s="50">
        <v>2</v>
      </c>
      <c r="G29" s="50">
        <v>1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46</v>
      </c>
      <c r="N29" s="50">
        <v>0</v>
      </c>
      <c r="O29" s="15">
        <f t="shared" si="15"/>
        <v>28</v>
      </c>
      <c r="P29" s="15">
        <f t="shared" si="16"/>
        <v>74</v>
      </c>
      <c r="R29" s="36" t="s">
        <v>153</v>
      </c>
      <c r="S29" s="34">
        <f>SUM(C86:C89)</f>
        <v>6</v>
      </c>
      <c r="T29" s="34">
        <f t="shared" ref="T29:AF29" si="23">SUM(D86:D89)</f>
        <v>0</v>
      </c>
      <c r="U29" s="34">
        <f t="shared" si="23"/>
        <v>2</v>
      </c>
      <c r="V29" s="34">
        <f t="shared" si="23"/>
        <v>1</v>
      </c>
      <c r="W29" s="34">
        <f t="shared" si="23"/>
        <v>0</v>
      </c>
      <c r="X29" s="34">
        <f t="shared" si="23"/>
        <v>0</v>
      </c>
      <c r="Y29" s="34">
        <f t="shared" si="23"/>
        <v>2</v>
      </c>
      <c r="Z29" s="34">
        <f t="shared" si="23"/>
        <v>0</v>
      </c>
      <c r="AA29" s="34">
        <f t="shared" si="23"/>
        <v>0</v>
      </c>
      <c r="AB29" s="34">
        <f t="shared" si="23"/>
        <v>0</v>
      </c>
      <c r="AC29" s="34">
        <f t="shared" si="23"/>
        <v>21</v>
      </c>
      <c r="AD29" s="34">
        <f t="shared" si="23"/>
        <v>0</v>
      </c>
      <c r="AE29" s="31">
        <f t="shared" si="23"/>
        <v>11</v>
      </c>
      <c r="AF29" s="31">
        <f t="shared" si="23"/>
        <v>32</v>
      </c>
    </row>
    <row r="30" spans="2:32" ht="23.1" customHeight="1" x14ac:dyDescent="0.25">
      <c r="B30" s="45" t="s">
        <v>57</v>
      </c>
      <c r="C30" s="50">
        <v>11</v>
      </c>
      <c r="D30" s="50">
        <v>7</v>
      </c>
      <c r="E30" s="50">
        <v>4</v>
      </c>
      <c r="F30" s="50">
        <v>2</v>
      </c>
      <c r="G30" s="50">
        <v>0</v>
      </c>
      <c r="H30" s="50">
        <v>0</v>
      </c>
      <c r="I30" s="50">
        <v>0</v>
      </c>
      <c r="J30" s="50">
        <v>3</v>
      </c>
      <c r="K30" s="50">
        <v>0</v>
      </c>
      <c r="L30" s="50">
        <v>2</v>
      </c>
      <c r="M30" s="50">
        <v>32</v>
      </c>
      <c r="N30" s="50">
        <v>0</v>
      </c>
      <c r="O30" s="15">
        <f t="shared" si="15"/>
        <v>29</v>
      </c>
      <c r="P30" s="15">
        <f t="shared" si="16"/>
        <v>61</v>
      </c>
      <c r="R30" s="36" t="s">
        <v>154</v>
      </c>
      <c r="S30" s="34">
        <f>SUM(C90:C93)</f>
        <v>10</v>
      </c>
      <c r="T30" s="34">
        <f t="shared" ref="T30:AF30" si="24">SUM(D90:D93)</f>
        <v>0</v>
      </c>
      <c r="U30" s="34">
        <f t="shared" si="24"/>
        <v>1</v>
      </c>
      <c r="V30" s="34">
        <f t="shared" si="24"/>
        <v>0</v>
      </c>
      <c r="W30" s="34">
        <f t="shared" si="24"/>
        <v>0</v>
      </c>
      <c r="X30" s="34">
        <f t="shared" si="24"/>
        <v>0</v>
      </c>
      <c r="Y30" s="34">
        <f t="shared" si="24"/>
        <v>0</v>
      </c>
      <c r="Z30" s="34">
        <f t="shared" si="24"/>
        <v>0</v>
      </c>
      <c r="AA30" s="34">
        <f t="shared" si="24"/>
        <v>0</v>
      </c>
      <c r="AB30" s="34">
        <f t="shared" si="24"/>
        <v>0</v>
      </c>
      <c r="AC30" s="34">
        <f t="shared" si="24"/>
        <v>15</v>
      </c>
      <c r="AD30" s="34">
        <f t="shared" si="24"/>
        <v>1</v>
      </c>
      <c r="AE30" s="31">
        <f t="shared" si="24"/>
        <v>12</v>
      </c>
      <c r="AF30" s="31">
        <f t="shared" si="24"/>
        <v>27</v>
      </c>
    </row>
    <row r="31" spans="2:32" ht="23.1" customHeight="1" x14ac:dyDescent="0.25">
      <c r="B31" s="46" t="s">
        <v>58</v>
      </c>
      <c r="C31" s="50">
        <v>9</v>
      </c>
      <c r="D31" s="50">
        <v>6</v>
      </c>
      <c r="E31" s="50">
        <v>4</v>
      </c>
      <c r="F31" s="50">
        <v>2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41</v>
      </c>
      <c r="N31" s="50">
        <v>0</v>
      </c>
      <c r="O31" s="15">
        <f t="shared" si="15"/>
        <v>25</v>
      </c>
      <c r="P31" s="15">
        <f t="shared" si="16"/>
        <v>66</v>
      </c>
      <c r="R31" s="36" t="s">
        <v>155</v>
      </c>
      <c r="S31" s="34">
        <f>SUM(C94:C97)</f>
        <v>5</v>
      </c>
      <c r="T31" s="34">
        <f t="shared" ref="T31:AF31" si="25">SUM(D94:D97)</f>
        <v>0</v>
      </c>
      <c r="U31" s="34">
        <f t="shared" si="25"/>
        <v>2</v>
      </c>
      <c r="V31" s="34">
        <f t="shared" si="25"/>
        <v>1</v>
      </c>
      <c r="W31" s="34">
        <f t="shared" si="25"/>
        <v>0</v>
      </c>
      <c r="X31" s="34">
        <f t="shared" si="25"/>
        <v>0</v>
      </c>
      <c r="Y31" s="34">
        <f t="shared" si="25"/>
        <v>1</v>
      </c>
      <c r="Z31" s="34">
        <f t="shared" si="25"/>
        <v>0</v>
      </c>
      <c r="AA31" s="34">
        <f t="shared" si="25"/>
        <v>0</v>
      </c>
      <c r="AB31" s="34">
        <f t="shared" si="25"/>
        <v>0</v>
      </c>
      <c r="AC31" s="34">
        <f t="shared" si="25"/>
        <v>14</v>
      </c>
      <c r="AD31" s="34">
        <f t="shared" si="25"/>
        <v>0</v>
      </c>
      <c r="AE31" s="31">
        <f t="shared" si="25"/>
        <v>9</v>
      </c>
      <c r="AF31" s="31">
        <f t="shared" si="25"/>
        <v>23</v>
      </c>
    </row>
    <row r="32" spans="2:32" ht="23.1" customHeight="1" x14ac:dyDescent="0.25">
      <c r="B32" s="46" t="s">
        <v>59</v>
      </c>
      <c r="C32" s="50">
        <v>18</v>
      </c>
      <c r="D32" s="50">
        <v>2</v>
      </c>
      <c r="E32" s="50">
        <v>4</v>
      </c>
      <c r="F32" s="50">
        <v>3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2</v>
      </c>
      <c r="M32" s="50">
        <v>33</v>
      </c>
      <c r="N32" s="50">
        <v>0</v>
      </c>
      <c r="O32" s="15">
        <f t="shared" si="15"/>
        <v>32</v>
      </c>
      <c r="P32" s="15">
        <f t="shared" si="16"/>
        <v>65</v>
      </c>
      <c r="R32" s="33" t="s">
        <v>156</v>
      </c>
      <c r="S32" s="34">
        <f>SUM(C98:C101)</f>
        <v>5</v>
      </c>
      <c r="T32" s="34">
        <f t="shared" ref="T32:AF32" si="26">SUM(D98:D101)</f>
        <v>1</v>
      </c>
      <c r="U32" s="34">
        <f t="shared" si="26"/>
        <v>1</v>
      </c>
      <c r="V32" s="34">
        <f t="shared" si="26"/>
        <v>1</v>
      </c>
      <c r="W32" s="34">
        <f t="shared" si="26"/>
        <v>1</v>
      </c>
      <c r="X32" s="34">
        <f t="shared" si="26"/>
        <v>0</v>
      </c>
      <c r="Y32" s="34">
        <f t="shared" si="26"/>
        <v>0</v>
      </c>
      <c r="Z32" s="34">
        <f t="shared" si="26"/>
        <v>1</v>
      </c>
      <c r="AA32" s="34">
        <f t="shared" si="26"/>
        <v>0</v>
      </c>
      <c r="AB32" s="34">
        <f t="shared" si="26"/>
        <v>0</v>
      </c>
      <c r="AC32" s="34">
        <f t="shared" si="26"/>
        <v>22</v>
      </c>
      <c r="AD32" s="34">
        <f t="shared" si="26"/>
        <v>0</v>
      </c>
      <c r="AE32" s="31">
        <f t="shared" si="26"/>
        <v>10</v>
      </c>
      <c r="AF32" s="31">
        <f t="shared" si="26"/>
        <v>32</v>
      </c>
    </row>
    <row r="33" spans="2:32" ht="23.1" customHeight="1" x14ac:dyDescent="0.25">
      <c r="B33" s="45" t="s">
        <v>60</v>
      </c>
      <c r="C33" s="50">
        <v>11</v>
      </c>
      <c r="D33" s="50">
        <v>4</v>
      </c>
      <c r="E33" s="50">
        <v>8</v>
      </c>
      <c r="F33" s="50">
        <v>5</v>
      </c>
      <c r="G33" s="50">
        <v>0</v>
      </c>
      <c r="H33" s="50">
        <v>0</v>
      </c>
      <c r="I33" s="50">
        <v>3</v>
      </c>
      <c r="J33" s="50">
        <v>1</v>
      </c>
      <c r="K33" s="50">
        <v>2</v>
      </c>
      <c r="L33" s="50">
        <v>0</v>
      </c>
      <c r="M33" s="50">
        <v>32</v>
      </c>
      <c r="N33" s="50">
        <v>0</v>
      </c>
      <c r="O33" s="15">
        <f t="shared" si="15"/>
        <v>34</v>
      </c>
      <c r="P33" s="15">
        <f t="shared" si="16"/>
        <v>66</v>
      </c>
      <c r="R33" s="33" t="s">
        <v>157</v>
      </c>
      <c r="S33" s="34">
        <f>SUM(C102:C105)</f>
        <v>13</v>
      </c>
      <c r="T33" s="34">
        <f t="shared" ref="T33:AF33" si="27">SUM(D102:D105)</f>
        <v>1</v>
      </c>
      <c r="U33" s="34">
        <f t="shared" si="27"/>
        <v>1</v>
      </c>
      <c r="V33" s="34">
        <f t="shared" si="27"/>
        <v>3</v>
      </c>
      <c r="W33" s="34">
        <f t="shared" si="27"/>
        <v>0</v>
      </c>
      <c r="X33" s="34">
        <f t="shared" si="27"/>
        <v>0</v>
      </c>
      <c r="Y33" s="34">
        <f t="shared" si="27"/>
        <v>12</v>
      </c>
      <c r="Z33" s="34">
        <f t="shared" si="27"/>
        <v>0</v>
      </c>
      <c r="AA33" s="34">
        <f t="shared" si="27"/>
        <v>1</v>
      </c>
      <c r="AB33" s="34">
        <f t="shared" si="27"/>
        <v>0</v>
      </c>
      <c r="AC33" s="34">
        <f t="shared" si="27"/>
        <v>58</v>
      </c>
      <c r="AD33" s="34">
        <f t="shared" si="27"/>
        <v>0</v>
      </c>
      <c r="AE33" s="31">
        <f t="shared" si="27"/>
        <v>31</v>
      </c>
      <c r="AF33" s="31">
        <f t="shared" si="27"/>
        <v>89</v>
      </c>
    </row>
    <row r="34" spans="2:32" ht="23.1" customHeight="1" x14ac:dyDescent="0.25">
      <c r="B34" s="46" t="s">
        <v>61</v>
      </c>
      <c r="C34" s="50">
        <v>9</v>
      </c>
      <c r="D34" s="50">
        <v>4</v>
      </c>
      <c r="E34" s="50">
        <v>4</v>
      </c>
      <c r="F34" s="50">
        <v>4</v>
      </c>
      <c r="G34" s="50">
        <v>1</v>
      </c>
      <c r="H34" s="50">
        <v>0</v>
      </c>
      <c r="I34" s="50">
        <v>5</v>
      </c>
      <c r="J34" s="50">
        <v>0</v>
      </c>
      <c r="K34" s="50">
        <v>0</v>
      </c>
      <c r="L34" s="50">
        <v>0</v>
      </c>
      <c r="M34" s="50">
        <v>28</v>
      </c>
      <c r="N34" s="50">
        <v>0</v>
      </c>
      <c r="O34" s="15">
        <f t="shared" si="15"/>
        <v>27</v>
      </c>
      <c r="P34" s="15">
        <f t="shared" si="16"/>
        <v>55</v>
      </c>
      <c r="R34" s="38" t="s">
        <v>90</v>
      </c>
      <c r="S34" s="39">
        <f t="shared" ref="S34:AF34" si="28">MAX(S10:S12)</f>
        <v>54</v>
      </c>
      <c r="T34" s="39">
        <f t="shared" si="28"/>
        <v>29</v>
      </c>
      <c r="U34" s="39">
        <f t="shared" si="28"/>
        <v>16</v>
      </c>
      <c r="V34" s="39">
        <f t="shared" si="28"/>
        <v>16</v>
      </c>
      <c r="W34" s="39">
        <f t="shared" si="28"/>
        <v>1</v>
      </c>
      <c r="X34" s="39">
        <f t="shared" si="28"/>
        <v>1</v>
      </c>
      <c r="Y34" s="39">
        <f t="shared" si="28"/>
        <v>10</v>
      </c>
      <c r="Z34" s="39">
        <f t="shared" si="28"/>
        <v>3</v>
      </c>
      <c r="AA34" s="39">
        <f t="shared" si="28"/>
        <v>3</v>
      </c>
      <c r="AB34" s="39">
        <f t="shared" si="28"/>
        <v>1</v>
      </c>
      <c r="AC34" s="39">
        <f t="shared" si="28"/>
        <v>177</v>
      </c>
      <c r="AD34" s="39">
        <f t="shared" si="28"/>
        <v>0</v>
      </c>
      <c r="AE34" s="40">
        <f t="shared" si="28"/>
        <v>130</v>
      </c>
      <c r="AF34" s="40">
        <f t="shared" si="28"/>
        <v>307</v>
      </c>
    </row>
    <row r="35" spans="2:32" ht="23.1" customHeight="1" x14ac:dyDescent="0.25">
      <c r="B35" s="46" t="s">
        <v>62</v>
      </c>
      <c r="C35" s="50">
        <v>13</v>
      </c>
      <c r="D35" s="50">
        <v>6</v>
      </c>
      <c r="E35" s="50">
        <v>1</v>
      </c>
      <c r="F35" s="50">
        <v>3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30</v>
      </c>
      <c r="N35" s="50">
        <v>0</v>
      </c>
      <c r="O35" s="15">
        <f t="shared" si="15"/>
        <v>25</v>
      </c>
      <c r="P35" s="15">
        <f t="shared" si="16"/>
        <v>55</v>
      </c>
      <c r="R35" s="38" t="s">
        <v>91</v>
      </c>
      <c r="S35" s="39">
        <f t="shared" ref="S35:AF35" si="29">MAX(S13:S18)</f>
        <v>66</v>
      </c>
      <c r="T35" s="39">
        <f t="shared" si="29"/>
        <v>37</v>
      </c>
      <c r="U35" s="39">
        <f t="shared" si="29"/>
        <v>20</v>
      </c>
      <c r="V35" s="39">
        <f t="shared" si="29"/>
        <v>12</v>
      </c>
      <c r="W35" s="39">
        <f t="shared" si="29"/>
        <v>2</v>
      </c>
      <c r="X35" s="39">
        <f t="shared" si="29"/>
        <v>0</v>
      </c>
      <c r="Y35" s="39">
        <f t="shared" si="29"/>
        <v>17</v>
      </c>
      <c r="Z35" s="39">
        <f t="shared" si="29"/>
        <v>5</v>
      </c>
      <c r="AA35" s="39">
        <f t="shared" si="29"/>
        <v>2</v>
      </c>
      <c r="AB35" s="39">
        <f t="shared" si="29"/>
        <v>4</v>
      </c>
      <c r="AC35" s="39">
        <f t="shared" si="29"/>
        <v>195</v>
      </c>
      <c r="AD35" s="39">
        <f t="shared" si="29"/>
        <v>0</v>
      </c>
      <c r="AE35" s="40">
        <f t="shared" si="29"/>
        <v>136</v>
      </c>
      <c r="AF35" s="40">
        <f t="shared" si="29"/>
        <v>331</v>
      </c>
    </row>
    <row r="36" spans="2:32" ht="23.1" customHeight="1" x14ac:dyDescent="0.25">
      <c r="B36" s="46" t="s">
        <v>63</v>
      </c>
      <c r="C36" s="50">
        <v>15</v>
      </c>
      <c r="D36" s="50">
        <v>5</v>
      </c>
      <c r="E36" s="50">
        <v>5</v>
      </c>
      <c r="F36" s="50">
        <v>1</v>
      </c>
      <c r="G36" s="50">
        <v>0</v>
      </c>
      <c r="H36" s="50">
        <v>0</v>
      </c>
      <c r="I36" s="50">
        <v>4</v>
      </c>
      <c r="J36" s="50">
        <v>1</v>
      </c>
      <c r="K36" s="50">
        <v>0</v>
      </c>
      <c r="L36" s="50">
        <v>0</v>
      </c>
      <c r="M36" s="50">
        <v>24</v>
      </c>
      <c r="N36" s="50">
        <v>0</v>
      </c>
      <c r="O36" s="15">
        <f t="shared" si="15"/>
        <v>31</v>
      </c>
      <c r="P36" s="15">
        <f t="shared" si="16"/>
        <v>55</v>
      </c>
      <c r="R36" s="38" t="s">
        <v>92</v>
      </c>
      <c r="S36" s="39">
        <f t="shared" ref="S36:AF36" si="30">MAX(S19:S21)</f>
        <v>90</v>
      </c>
      <c r="T36" s="39">
        <f t="shared" si="30"/>
        <v>29</v>
      </c>
      <c r="U36" s="39">
        <f t="shared" si="30"/>
        <v>22</v>
      </c>
      <c r="V36" s="39">
        <f t="shared" si="30"/>
        <v>22</v>
      </c>
      <c r="W36" s="39">
        <f t="shared" si="30"/>
        <v>0</v>
      </c>
      <c r="X36" s="39">
        <f t="shared" si="30"/>
        <v>0</v>
      </c>
      <c r="Y36" s="39">
        <f t="shared" si="30"/>
        <v>16</v>
      </c>
      <c r="Z36" s="39">
        <f t="shared" si="30"/>
        <v>1</v>
      </c>
      <c r="AA36" s="39">
        <f t="shared" si="30"/>
        <v>2</v>
      </c>
      <c r="AB36" s="39">
        <f t="shared" si="30"/>
        <v>2</v>
      </c>
      <c r="AC36" s="39">
        <f t="shared" si="30"/>
        <v>178</v>
      </c>
      <c r="AD36" s="39">
        <f t="shared" si="30"/>
        <v>0</v>
      </c>
      <c r="AE36" s="40">
        <f t="shared" si="30"/>
        <v>165</v>
      </c>
      <c r="AF36" s="40">
        <f t="shared" si="30"/>
        <v>292</v>
      </c>
    </row>
    <row r="37" spans="2:32" ht="23.1" customHeight="1" x14ac:dyDescent="0.25">
      <c r="B37" s="45" t="s">
        <v>64</v>
      </c>
      <c r="C37" s="50">
        <v>15</v>
      </c>
      <c r="D37" s="50">
        <v>11</v>
      </c>
      <c r="E37" s="50">
        <v>7</v>
      </c>
      <c r="F37" s="50">
        <v>4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36</v>
      </c>
      <c r="N37" s="50">
        <v>0</v>
      </c>
      <c r="O37" s="15">
        <f t="shared" si="15"/>
        <v>39</v>
      </c>
      <c r="P37" s="15">
        <f t="shared" si="16"/>
        <v>75</v>
      </c>
      <c r="R37" s="37" t="s">
        <v>85</v>
      </c>
      <c r="S37" s="35">
        <f t="shared" ref="S37:AF37" si="31">SUM(S10:S12)</f>
        <v>124</v>
      </c>
      <c r="T37" s="16">
        <f t="shared" si="31"/>
        <v>54</v>
      </c>
      <c r="U37" s="16">
        <f t="shared" si="31"/>
        <v>28</v>
      </c>
      <c r="V37" s="16">
        <f t="shared" si="31"/>
        <v>38</v>
      </c>
      <c r="W37" s="16">
        <f t="shared" si="31"/>
        <v>1</v>
      </c>
      <c r="X37" s="16">
        <f t="shared" si="31"/>
        <v>1</v>
      </c>
      <c r="Y37" s="16">
        <f t="shared" si="31"/>
        <v>20</v>
      </c>
      <c r="Z37" s="16">
        <f t="shared" si="31"/>
        <v>3</v>
      </c>
      <c r="AA37" s="16">
        <f t="shared" si="31"/>
        <v>3</v>
      </c>
      <c r="AB37" s="16">
        <f t="shared" si="31"/>
        <v>3</v>
      </c>
      <c r="AC37" s="16">
        <f t="shared" si="31"/>
        <v>464</v>
      </c>
      <c r="AD37" s="16">
        <f t="shared" si="31"/>
        <v>0</v>
      </c>
      <c r="AE37" s="32">
        <f t="shared" si="31"/>
        <v>275</v>
      </c>
      <c r="AF37" s="32">
        <f t="shared" si="31"/>
        <v>739</v>
      </c>
    </row>
    <row r="38" spans="2:32" ht="23.1" customHeight="1" x14ac:dyDescent="0.25">
      <c r="B38" s="46" t="s">
        <v>65</v>
      </c>
      <c r="C38" s="50">
        <v>10</v>
      </c>
      <c r="D38" s="50">
        <v>8</v>
      </c>
      <c r="E38" s="50">
        <v>3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1</v>
      </c>
      <c r="M38" s="50">
        <v>32</v>
      </c>
      <c r="N38" s="50">
        <v>0</v>
      </c>
      <c r="O38" s="15">
        <f t="shared" si="15"/>
        <v>26</v>
      </c>
      <c r="P38" s="15">
        <f t="shared" si="16"/>
        <v>58</v>
      </c>
      <c r="R38" s="28" t="s">
        <v>86</v>
      </c>
      <c r="S38" s="16">
        <f t="shared" ref="S38:AF38" si="32">SUM(S13:S18)</f>
        <v>319</v>
      </c>
      <c r="T38" s="16">
        <f t="shared" si="32"/>
        <v>135</v>
      </c>
      <c r="U38" s="16">
        <f t="shared" si="32"/>
        <v>89</v>
      </c>
      <c r="V38" s="16">
        <f t="shared" si="32"/>
        <v>59</v>
      </c>
      <c r="W38" s="16">
        <f t="shared" si="32"/>
        <v>3</v>
      </c>
      <c r="X38" s="16">
        <f t="shared" si="32"/>
        <v>0</v>
      </c>
      <c r="Y38" s="16">
        <f t="shared" si="32"/>
        <v>78</v>
      </c>
      <c r="Z38" s="16">
        <f t="shared" si="32"/>
        <v>17</v>
      </c>
      <c r="AA38" s="16">
        <f t="shared" si="32"/>
        <v>5</v>
      </c>
      <c r="AB38" s="16">
        <f t="shared" si="32"/>
        <v>5</v>
      </c>
      <c r="AC38" s="16">
        <f t="shared" si="32"/>
        <v>932</v>
      </c>
      <c r="AD38" s="16">
        <f t="shared" si="32"/>
        <v>0</v>
      </c>
      <c r="AE38" s="32">
        <f t="shared" si="32"/>
        <v>710</v>
      </c>
      <c r="AF38" s="32">
        <f t="shared" si="32"/>
        <v>1642</v>
      </c>
    </row>
    <row r="39" spans="2:32" ht="23.1" customHeight="1" x14ac:dyDescent="0.25">
      <c r="B39" s="46" t="s">
        <v>66</v>
      </c>
      <c r="C39" s="50">
        <v>12</v>
      </c>
      <c r="D39" s="50">
        <v>1</v>
      </c>
      <c r="E39" s="50">
        <v>2</v>
      </c>
      <c r="F39" s="50">
        <v>1</v>
      </c>
      <c r="G39" s="50">
        <v>0</v>
      </c>
      <c r="H39" s="50">
        <v>0</v>
      </c>
      <c r="I39" s="50">
        <v>5</v>
      </c>
      <c r="J39" s="50">
        <v>1</v>
      </c>
      <c r="K39" s="50">
        <v>0</v>
      </c>
      <c r="L39" s="50">
        <v>0</v>
      </c>
      <c r="M39" s="50">
        <v>39</v>
      </c>
      <c r="N39" s="50">
        <v>0</v>
      </c>
      <c r="O39" s="15">
        <f t="shared" si="15"/>
        <v>22</v>
      </c>
      <c r="P39" s="15">
        <f t="shared" si="16"/>
        <v>61</v>
      </c>
      <c r="R39" s="29" t="s">
        <v>87</v>
      </c>
      <c r="S39" s="16">
        <f t="shared" ref="S39:AF39" si="33">SUM(S19:S21)</f>
        <v>199</v>
      </c>
      <c r="T39" s="16">
        <f t="shared" si="33"/>
        <v>76</v>
      </c>
      <c r="U39" s="16">
        <f t="shared" si="33"/>
        <v>42</v>
      </c>
      <c r="V39" s="16">
        <f t="shared" si="33"/>
        <v>44</v>
      </c>
      <c r="W39" s="16">
        <f t="shared" si="33"/>
        <v>0</v>
      </c>
      <c r="X39" s="16">
        <f t="shared" si="33"/>
        <v>0</v>
      </c>
      <c r="Y39" s="16">
        <f t="shared" si="33"/>
        <v>37</v>
      </c>
      <c r="Z39" s="16">
        <f t="shared" si="33"/>
        <v>2</v>
      </c>
      <c r="AA39" s="16">
        <f t="shared" si="33"/>
        <v>3</v>
      </c>
      <c r="AB39" s="16">
        <f t="shared" si="33"/>
        <v>3</v>
      </c>
      <c r="AC39" s="16">
        <f t="shared" si="33"/>
        <v>462</v>
      </c>
      <c r="AD39" s="16">
        <f t="shared" si="33"/>
        <v>0</v>
      </c>
      <c r="AE39" s="32">
        <f t="shared" si="33"/>
        <v>406</v>
      </c>
      <c r="AF39" s="32">
        <f t="shared" si="33"/>
        <v>868</v>
      </c>
    </row>
    <row r="40" spans="2:32" ht="23.1" customHeight="1" x14ac:dyDescent="0.25">
      <c r="B40" s="46" t="s">
        <v>67</v>
      </c>
      <c r="C40" s="50">
        <v>15</v>
      </c>
      <c r="D40" s="50">
        <v>2</v>
      </c>
      <c r="E40" s="50">
        <v>5</v>
      </c>
      <c r="F40" s="50">
        <v>3</v>
      </c>
      <c r="G40" s="50">
        <v>0</v>
      </c>
      <c r="H40" s="50">
        <v>0</v>
      </c>
      <c r="I40" s="50">
        <v>2</v>
      </c>
      <c r="J40" s="50">
        <v>0</v>
      </c>
      <c r="K40" s="50">
        <v>1</v>
      </c>
      <c r="L40" s="50">
        <v>0</v>
      </c>
      <c r="M40" s="50">
        <v>53</v>
      </c>
      <c r="N40" s="50">
        <v>0</v>
      </c>
      <c r="O40" s="15">
        <f t="shared" si="15"/>
        <v>28</v>
      </c>
      <c r="P40" s="15">
        <f t="shared" si="16"/>
        <v>81</v>
      </c>
      <c r="R40" s="5" t="s">
        <v>17</v>
      </c>
      <c r="S40" s="16">
        <f t="shared" ref="S40:AF40" si="34">SUM(S10:S21)</f>
        <v>642</v>
      </c>
      <c r="T40" s="16">
        <f t="shared" si="34"/>
        <v>265</v>
      </c>
      <c r="U40" s="16">
        <f t="shared" si="34"/>
        <v>159</v>
      </c>
      <c r="V40" s="16">
        <f t="shared" si="34"/>
        <v>141</v>
      </c>
      <c r="W40" s="16">
        <f t="shared" si="34"/>
        <v>4</v>
      </c>
      <c r="X40" s="16">
        <f t="shared" si="34"/>
        <v>1</v>
      </c>
      <c r="Y40" s="16">
        <f t="shared" si="34"/>
        <v>135</v>
      </c>
      <c r="Z40" s="16">
        <f t="shared" si="34"/>
        <v>22</v>
      </c>
      <c r="AA40" s="16">
        <f t="shared" si="34"/>
        <v>11</v>
      </c>
      <c r="AB40" s="16">
        <f t="shared" si="34"/>
        <v>11</v>
      </c>
      <c r="AC40" s="16">
        <f t="shared" si="34"/>
        <v>1858</v>
      </c>
      <c r="AD40" s="16">
        <f t="shared" si="34"/>
        <v>0</v>
      </c>
      <c r="AE40" s="32">
        <f t="shared" si="34"/>
        <v>1391</v>
      </c>
      <c r="AF40" s="32">
        <f t="shared" si="34"/>
        <v>3249</v>
      </c>
    </row>
    <row r="41" spans="2:32" ht="23.1" customHeight="1" x14ac:dyDescent="0.25">
      <c r="B41" s="45" t="s">
        <v>68</v>
      </c>
      <c r="C41" s="50">
        <v>11</v>
      </c>
      <c r="D41" s="50">
        <v>2</v>
      </c>
      <c r="E41" s="50">
        <v>3</v>
      </c>
      <c r="F41" s="50">
        <v>3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33</v>
      </c>
      <c r="N41" s="50">
        <v>0</v>
      </c>
      <c r="O41" s="15">
        <f t="shared" si="15"/>
        <v>24</v>
      </c>
      <c r="P41" s="15">
        <f t="shared" si="16"/>
        <v>57</v>
      </c>
      <c r="R41" s="5" t="s">
        <v>159</v>
      </c>
      <c r="S41" s="16">
        <f>SUM(S10:S33)</f>
        <v>1101</v>
      </c>
      <c r="T41" s="16">
        <f t="shared" ref="T41:AF41" si="35">SUM(T10:T33)</f>
        <v>323</v>
      </c>
      <c r="U41" s="16">
        <f t="shared" si="35"/>
        <v>212</v>
      </c>
      <c r="V41" s="16">
        <f t="shared" si="35"/>
        <v>210</v>
      </c>
      <c r="W41" s="16">
        <f t="shared" si="35"/>
        <v>9</v>
      </c>
      <c r="X41" s="16">
        <f t="shared" si="35"/>
        <v>2</v>
      </c>
      <c r="Y41" s="16">
        <f t="shared" si="35"/>
        <v>190</v>
      </c>
      <c r="Z41" s="16">
        <f t="shared" si="35"/>
        <v>28</v>
      </c>
      <c r="AA41" s="16">
        <f t="shared" si="35"/>
        <v>13</v>
      </c>
      <c r="AB41" s="16">
        <f t="shared" si="35"/>
        <v>11</v>
      </c>
      <c r="AC41" s="16">
        <f t="shared" si="35"/>
        <v>3064</v>
      </c>
      <c r="AD41" s="16">
        <f t="shared" si="35"/>
        <v>1</v>
      </c>
      <c r="AE41" s="32">
        <f t="shared" si="35"/>
        <v>2100</v>
      </c>
      <c r="AF41" s="32">
        <f t="shared" si="35"/>
        <v>5164</v>
      </c>
    </row>
    <row r="42" spans="2:32" ht="23.1" customHeight="1" x14ac:dyDescent="0.25">
      <c r="B42" s="46" t="s">
        <v>69</v>
      </c>
      <c r="C42" s="50">
        <v>16</v>
      </c>
      <c r="D42" s="50">
        <v>1</v>
      </c>
      <c r="E42" s="50">
        <v>3</v>
      </c>
      <c r="F42" s="50">
        <v>2</v>
      </c>
      <c r="G42" s="50">
        <v>0</v>
      </c>
      <c r="H42" s="50">
        <v>0</v>
      </c>
      <c r="I42" s="50">
        <v>6</v>
      </c>
      <c r="J42" s="50">
        <v>0</v>
      </c>
      <c r="K42" s="50">
        <v>0</v>
      </c>
      <c r="L42" s="50">
        <v>0</v>
      </c>
      <c r="M42" s="50">
        <v>36</v>
      </c>
      <c r="N42" s="50">
        <v>0</v>
      </c>
      <c r="O42" s="15">
        <f t="shared" si="15"/>
        <v>28</v>
      </c>
      <c r="P42" s="15">
        <f t="shared" si="16"/>
        <v>64</v>
      </c>
      <c r="R42" s="5" t="s">
        <v>160</v>
      </c>
      <c r="S42" s="48">
        <f>S41/S40</f>
        <v>1.7149532710280373</v>
      </c>
      <c r="T42" s="48">
        <f t="shared" ref="T42:AF42" si="36">T41/T40</f>
        <v>1.2188679245283018</v>
      </c>
      <c r="U42" s="48">
        <f t="shared" si="36"/>
        <v>1.3333333333333333</v>
      </c>
      <c r="V42" s="48">
        <f t="shared" si="36"/>
        <v>1.4893617021276595</v>
      </c>
      <c r="W42" s="48">
        <f t="shared" si="36"/>
        <v>2.25</v>
      </c>
      <c r="X42" s="48">
        <f t="shared" si="36"/>
        <v>2</v>
      </c>
      <c r="Y42" s="48">
        <f t="shared" si="36"/>
        <v>1.4074074074074074</v>
      </c>
      <c r="Z42" s="48">
        <f t="shared" si="36"/>
        <v>1.2727272727272727</v>
      </c>
      <c r="AA42" s="48">
        <f t="shared" si="36"/>
        <v>1.1818181818181819</v>
      </c>
      <c r="AB42" s="48">
        <f t="shared" si="36"/>
        <v>1</v>
      </c>
      <c r="AC42" s="48">
        <f t="shared" si="36"/>
        <v>1.6490850376749193</v>
      </c>
      <c r="AD42" s="48" t="e">
        <f t="shared" si="36"/>
        <v>#DIV/0!</v>
      </c>
      <c r="AE42" s="48">
        <f t="shared" si="36"/>
        <v>1.5097052480230051</v>
      </c>
      <c r="AF42" s="48">
        <f t="shared" si="36"/>
        <v>1.5894121268082486</v>
      </c>
    </row>
    <row r="43" spans="2:32" ht="23.1" customHeight="1" x14ac:dyDescent="0.25">
      <c r="B43" s="45" t="s">
        <v>70</v>
      </c>
      <c r="C43" s="50">
        <v>18</v>
      </c>
      <c r="D43" s="50">
        <v>0</v>
      </c>
      <c r="E43" s="50">
        <v>2</v>
      </c>
      <c r="F43" s="50">
        <v>2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26</v>
      </c>
      <c r="N43" s="50">
        <v>0</v>
      </c>
      <c r="O43" s="15">
        <f t="shared" si="15"/>
        <v>25</v>
      </c>
      <c r="P43" s="15">
        <f t="shared" si="16"/>
        <v>51</v>
      </c>
    </row>
    <row r="44" spans="2:32" ht="23.1" customHeight="1" x14ac:dyDescent="0.25">
      <c r="B44" s="47" t="s">
        <v>71</v>
      </c>
      <c r="C44" s="50">
        <v>18</v>
      </c>
      <c r="D44" s="50">
        <v>3</v>
      </c>
      <c r="E44" s="50">
        <v>2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39</v>
      </c>
      <c r="N44" s="50">
        <v>0</v>
      </c>
      <c r="O44" s="15">
        <f t="shared" si="15"/>
        <v>25</v>
      </c>
      <c r="P44" s="15">
        <f t="shared" si="16"/>
        <v>64</v>
      </c>
    </row>
    <row r="45" spans="2:32" ht="23.1" customHeight="1" x14ac:dyDescent="0.25">
      <c r="B45" s="45" t="s">
        <v>72</v>
      </c>
      <c r="C45" s="50">
        <v>14</v>
      </c>
      <c r="D45" s="50">
        <v>8</v>
      </c>
      <c r="E45" s="50">
        <v>7</v>
      </c>
      <c r="F45" s="50">
        <v>7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42</v>
      </c>
      <c r="N45" s="50">
        <v>0</v>
      </c>
      <c r="O45" s="15">
        <f t="shared" si="15"/>
        <v>40</v>
      </c>
      <c r="P45" s="15">
        <f t="shared" si="16"/>
        <v>82</v>
      </c>
    </row>
    <row r="46" spans="2:32" ht="23.1" customHeight="1" x14ac:dyDescent="0.25">
      <c r="B46" s="46" t="s">
        <v>73</v>
      </c>
      <c r="C46" s="50">
        <v>20</v>
      </c>
      <c r="D46" s="50">
        <v>11</v>
      </c>
      <c r="E46" s="50">
        <v>6</v>
      </c>
      <c r="F46" s="50">
        <v>4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0</v>
      </c>
      <c r="M46" s="50">
        <v>33</v>
      </c>
      <c r="N46" s="50">
        <v>0</v>
      </c>
      <c r="O46" s="15">
        <f t="shared" si="15"/>
        <v>47</v>
      </c>
      <c r="P46" s="15">
        <f t="shared" si="16"/>
        <v>80</v>
      </c>
      <c r="R46" s="8"/>
      <c r="T46"/>
    </row>
    <row r="47" spans="2:32" ht="23.1" customHeight="1" x14ac:dyDescent="0.25">
      <c r="B47" s="46" t="s">
        <v>74</v>
      </c>
      <c r="C47" s="50">
        <v>22</v>
      </c>
      <c r="D47" s="50">
        <v>3</v>
      </c>
      <c r="E47" s="50">
        <v>8</v>
      </c>
      <c r="F47" s="50">
        <v>3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35</v>
      </c>
      <c r="N47" s="50">
        <v>0</v>
      </c>
      <c r="O47" s="15">
        <f t="shared" si="15"/>
        <v>40</v>
      </c>
      <c r="P47" s="15">
        <f t="shared" si="16"/>
        <v>75</v>
      </c>
      <c r="R47" s="8"/>
      <c r="T47"/>
    </row>
    <row r="48" spans="2:32" ht="23.1" customHeight="1" x14ac:dyDescent="0.25">
      <c r="B48" s="46" t="s">
        <v>75</v>
      </c>
      <c r="C48" s="50">
        <v>17</v>
      </c>
      <c r="D48" s="50">
        <v>6</v>
      </c>
      <c r="E48" s="50">
        <v>6</v>
      </c>
      <c r="F48" s="50">
        <v>3</v>
      </c>
      <c r="G48" s="50">
        <v>0</v>
      </c>
      <c r="H48" s="50">
        <v>0</v>
      </c>
      <c r="I48" s="50">
        <v>2</v>
      </c>
      <c r="J48" s="50">
        <v>0</v>
      </c>
      <c r="K48" s="50">
        <v>1</v>
      </c>
      <c r="L48" s="50">
        <v>0</v>
      </c>
      <c r="M48" s="50">
        <v>25</v>
      </c>
      <c r="N48" s="50">
        <v>0</v>
      </c>
      <c r="O48" s="15">
        <f t="shared" si="15"/>
        <v>35</v>
      </c>
      <c r="P48" s="15">
        <f t="shared" si="16"/>
        <v>60</v>
      </c>
      <c r="R48" s="8"/>
      <c r="T48"/>
    </row>
    <row r="49" spans="2:20" ht="23.1" customHeight="1" x14ac:dyDescent="0.25">
      <c r="B49" s="45" t="s">
        <v>76</v>
      </c>
      <c r="C49" s="50">
        <v>31</v>
      </c>
      <c r="D49" s="50">
        <v>5</v>
      </c>
      <c r="E49" s="50">
        <v>2</v>
      </c>
      <c r="F49" s="50">
        <v>1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30</v>
      </c>
      <c r="N49" s="50">
        <v>0</v>
      </c>
      <c r="O49" s="15">
        <f t="shared" si="15"/>
        <v>43</v>
      </c>
      <c r="P49" s="15">
        <f t="shared" si="16"/>
        <v>73</v>
      </c>
      <c r="R49" s="8"/>
      <c r="T49"/>
    </row>
    <row r="50" spans="2:20" ht="23.1" customHeight="1" x14ac:dyDescent="0.25">
      <c r="B50" s="46" t="s">
        <v>77</v>
      </c>
      <c r="C50" s="50">
        <v>11</v>
      </c>
      <c r="D50" s="50">
        <v>4</v>
      </c>
      <c r="E50" s="50">
        <v>2</v>
      </c>
      <c r="F50" s="50">
        <v>1</v>
      </c>
      <c r="G50" s="50">
        <v>0</v>
      </c>
      <c r="H50" s="50">
        <v>0</v>
      </c>
      <c r="I50" s="50">
        <v>3</v>
      </c>
      <c r="J50" s="50">
        <v>0</v>
      </c>
      <c r="K50" s="50">
        <v>2</v>
      </c>
      <c r="L50" s="50">
        <v>0</v>
      </c>
      <c r="M50" s="50">
        <v>31</v>
      </c>
      <c r="N50" s="50">
        <v>0</v>
      </c>
      <c r="O50" s="15">
        <f t="shared" si="15"/>
        <v>23</v>
      </c>
      <c r="P50" s="15">
        <f t="shared" si="16"/>
        <v>54</v>
      </c>
      <c r="R50" s="8"/>
      <c r="T50"/>
    </row>
    <row r="51" spans="2:20" ht="23.1" customHeight="1" x14ac:dyDescent="0.25">
      <c r="B51" s="46" t="s">
        <v>78</v>
      </c>
      <c r="C51" s="50">
        <v>12</v>
      </c>
      <c r="D51" s="50">
        <v>11</v>
      </c>
      <c r="E51" s="50">
        <v>2</v>
      </c>
      <c r="F51" s="50">
        <v>3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37</v>
      </c>
      <c r="N51" s="50">
        <v>0</v>
      </c>
      <c r="O51" s="15">
        <f t="shared" si="15"/>
        <v>31</v>
      </c>
      <c r="P51" s="15">
        <f t="shared" si="16"/>
        <v>68</v>
      </c>
      <c r="R51" s="8"/>
      <c r="T51"/>
    </row>
    <row r="52" spans="2:20" ht="23.1" customHeight="1" x14ac:dyDescent="0.25">
      <c r="B52" s="46" t="s">
        <v>79</v>
      </c>
      <c r="C52" s="50">
        <v>19</v>
      </c>
      <c r="D52" s="50">
        <v>6</v>
      </c>
      <c r="E52" s="50">
        <v>6</v>
      </c>
      <c r="F52" s="50">
        <v>5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1</v>
      </c>
      <c r="M52" s="50">
        <v>50</v>
      </c>
      <c r="N52" s="50">
        <v>0</v>
      </c>
      <c r="O52" s="15">
        <f t="shared" si="15"/>
        <v>40</v>
      </c>
      <c r="P52" s="15">
        <f t="shared" si="16"/>
        <v>90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8</v>
      </c>
      <c r="E53" s="50">
        <v>4</v>
      </c>
      <c r="F53" s="50">
        <v>2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43</v>
      </c>
      <c r="N53" s="50">
        <v>0</v>
      </c>
      <c r="O53" s="15">
        <f t="shared" si="15"/>
        <v>33</v>
      </c>
      <c r="P53" s="15">
        <f t="shared" si="16"/>
        <v>76</v>
      </c>
      <c r="R53" s="8"/>
      <c r="T53"/>
    </row>
    <row r="54" spans="2:20" ht="23.1" customHeight="1" x14ac:dyDescent="0.25">
      <c r="B54" s="45" t="s">
        <v>81</v>
      </c>
      <c r="C54" s="50">
        <v>12</v>
      </c>
      <c r="D54" s="50">
        <v>2</v>
      </c>
      <c r="E54" s="50">
        <v>2</v>
      </c>
      <c r="F54" s="50">
        <v>4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0</v>
      </c>
      <c r="M54" s="50">
        <v>47</v>
      </c>
      <c r="N54" s="50">
        <v>0</v>
      </c>
      <c r="O54" s="15">
        <f t="shared" si="15"/>
        <v>24</v>
      </c>
      <c r="P54" s="15">
        <f t="shared" si="16"/>
        <v>71</v>
      </c>
      <c r="R54" s="8"/>
      <c r="T54"/>
    </row>
    <row r="55" spans="2:20" ht="23.1" customHeight="1" x14ac:dyDescent="0.25">
      <c r="B55" s="45" t="s">
        <v>82</v>
      </c>
      <c r="C55" s="50">
        <v>19</v>
      </c>
      <c r="D55" s="50">
        <v>5</v>
      </c>
      <c r="E55" s="50">
        <v>0</v>
      </c>
      <c r="F55" s="50">
        <v>6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48</v>
      </c>
      <c r="N55" s="50">
        <v>0</v>
      </c>
      <c r="O55" s="15">
        <f t="shared" si="15"/>
        <v>33</v>
      </c>
      <c r="P55" s="15">
        <f t="shared" si="16"/>
        <v>81</v>
      </c>
      <c r="R55" s="8"/>
      <c r="T55"/>
    </row>
    <row r="56" spans="2:20" ht="23.1" customHeight="1" x14ac:dyDescent="0.25">
      <c r="B56" s="45" t="s">
        <v>83</v>
      </c>
      <c r="C56" s="50">
        <v>13</v>
      </c>
      <c r="D56" s="50">
        <v>12</v>
      </c>
      <c r="E56" s="50">
        <v>1</v>
      </c>
      <c r="F56" s="50">
        <v>3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1</v>
      </c>
      <c r="M56" s="50">
        <v>31</v>
      </c>
      <c r="N56" s="50">
        <v>0</v>
      </c>
      <c r="O56" s="15">
        <f t="shared" si="15"/>
        <v>33</v>
      </c>
      <c r="P56" s="15">
        <f t="shared" si="16"/>
        <v>64</v>
      </c>
      <c r="R56" s="8"/>
      <c r="T56"/>
    </row>
    <row r="57" spans="2:20" ht="23.1" customHeight="1" x14ac:dyDescent="0.25">
      <c r="B57" s="45" t="s">
        <v>84</v>
      </c>
      <c r="C57" s="50">
        <v>7</v>
      </c>
      <c r="D57" s="50">
        <v>3</v>
      </c>
      <c r="E57" s="50">
        <v>3</v>
      </c>
      <c r="F57" s="50">
        <v>9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1</v>
      </c>
      <c r="M57" s="50">
        <v>52</v>
      </c>
      <c r="N57" s="50">
        <v>0</v>
      </c>
      <c r="O57" s="15">
        <f t="shared" si="15"/>
        <v>24</v>
      </c>
      <c r="P57" s="15">
        <f t="shared" si="16"/>
        <v>76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1</v>
      </c>
      <c r="E58" s="50">
        <v>2</v>
      </c>
      <c r="F58" s="50">
        <v>4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35</v>
      </c>
      <c r="N58" s="50">
        <v>0</v>
      </c>
      <c r="O58" s="15">
        <f t="shared" si="15"/>
        <v>12</v>
      </c>
      <c r="P58" s="15">
        <f t="shared" si="16"/>
        <v>47</v>
      </c>
      <c r="R58" s="8"/>
      <c r="T58"/>
    </row>
    <row r="59" spans="2:20" ht="23.1" customHeight="1" x14ac:dyDescent="0.25">
      <c r="B59" s="45" t="s">
        <v>100</v>
      </c>
      <c r="C59" s="50">
        <v>13</v>
      </c>
      <c r="D59" s="50">
        <v>2</v>
      </c>
      <c r="E59" s="50">
        <v>6</v>
      </c>
      <c r="F59" s="50">
        <v>2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52</v>
      </c>
      <c r="N59" s="50">
        <v>0</v>
      </c>
      <c r="O59" s="15">
        <f t="shared" si="15"/>
        <v>24</v>
      </c>
      <c r="P59" s="15">
        <f t="shared" si="16"/>
        <v>76</v>
      </c>
      <c r="R59" s="8"/>
      <c r="T59"/>
    </row>
    <row r="60" spans="2:20" ht="23.1" customHeight="1" x14ac:dyDescent="0.25">
      <c r="B60" s="45" t="s">
        <v>101</v>
      </c>
      <c r="C60" s="50">
        <v>23</v>
      </c>
      <c r="D60" s="50">
        <v>1</v>
      </c>
      <c r="E60" s="50">
        <v>1</v>
      </c>
      <c r="F60" s="50">
        <v>4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63</v>
      </c>
      <c r="N60" s="50">
        <v>0</v>
      </c>
      <c r="O60" s="15">
        <f t="shared" si="15"/>
        <v>29</v>
      </c>
      <c r="P60" s="15">
        <f t="shared" si="16"/>
        <v>92</v>
      </c>
      <c r="R60" s="8"/>
      <c r="T60"/>
    </row>
    <row r="61" spans="2:20" ht="23.1" customHeight="1" x14ac:dyDescent="0.25">
      <c r="B61" s="45" t="s">
        <v>102</v>
      </c>
      <c r="C61" s="50">
        <v>22</v>
      </c>
      <c r="D61" s="50">
        <v>1</v>
      </c>
      <c r="E61" s="50">
        <v>0</v>
      </c>
      <c r="F61" s="50">
        <v>4</v>
      </c>
      <c r="G61" s="50">
        <v>3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76</v>
      </c>
      <c r="N61" s="50">
        <v>0</v>
      </c>
      <c r="O61" s="15">
        <f t="shared" si="15"/>
        <v>31</v>
      </c>
      <c r="P61" s="15">
        <f t="shared" si="16"/>
        <v>107</v>
      </c>
      <c r="R61" s="8"/>
      <c r="T61"/>
    </row>
    <row r="62" spans="2:20" ht="23.1" customHeight="1" x14ac:dyDescent="0.25">
      <c r="B62" s="45" t="s">
        <v>107</v>
      </c>
      <c r="C62" s="50">
        <v>25</v>
      </c>
      <c r="D62" s="50">
        <v>4</v>
      </c>
      <c r="E62" s="50">
        <v>1</v>
      </c>
      <c r="F62" s="50">
        <v>6</v>
      </c>
      <c r="G62" s="50">
        <v>1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50</v>
      </c>
      <c r="N62" s="50">
        <v>0</v>
      </c>
      <c r="O62" s="15">
        <f t="shared" si="15"/>
        <v>39</v>
      </c>
      <c r="P62" s="15">
        <f t="shared" si="16"/>
        <v>89</v>
      </c>
      <c r="R62" s="8"/>
      <c r="T62"/>
    </row>
    <row r="63" spans="2:20" ht="23.1" customHeight="1" x14ac:dyDescent="0.25">
      <c r="B63" s="45" t="s">
        <v>108</v>
      </c>
      <c r="C63" s="50">
        <v>25</v>
      </c>
      <c r="D63" s="50">
        <v>2</v>
      </c>
      <c r="E63" s="50">
        <v>2</v>
      </c>
      <c r="F63" s="50">
        <v>3</v>
      </c>
      <c r="G63" s="50">
        <v>0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64</v>
      </c>
      <c r="N63" s="50">
        <v>0</v>
      </c>
      <c r="O63" s="15">
        <f t="shared" si="15"/>
        <v>35</v>
      </c>
      <c r="P63" s="15">
        <f t="shared" si="16"/>
        <v>99</v>
      </c>
      <c r="R63" s="8"/>
      <c r="T63"/>
    </row>
    <row r="64" spans="2:20" ht="23.1" customHeight="1" x14ac:dyDescent="0.25">
      <c r="B64" s="45" t="s">
        <v>109</v>
      </c>
      <c r="C64" s="50">
        <v>20</v>
      </c>
      <c r="D64" s="50">
        <v>4</v>
      </c>
      <c r="E64" s="50">
        <v>5</v>
      </c>
      <c r="F64" s="50">
        <v>4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68</v>
      </c>
      <c r="N64" s="50">
        <v>0</v>
      </c>
      <c r="O64" s="15">
        <f t="shared" si="15"/>
        <v>34</v>
      </c>
      <c r="P64" s="15">
        <f t="shared" si="16"/>
        <v>102</v>
      </c>
      <c r="R64" s="8"/>
      <c r="T64"/>
    </row>
    <row r="65" spans="2:20" ht="23.1" customHeight="1" x14ac:dyDescent="0.25">
      <c r="B65" s="45" t="s">
        <v>158</v>
      </c>
      <c r="C65" s="50">
        <v>22</v>
      </c>
      <c r="D65" s="50">
        <v>1</v>
      </c>
      <c r="E65" s="50">
        <v>2</v>
      </c>
      <c r="F65" s="50">
        <v>1</v>
      </c>
      <c r="G65" s="50">
        <v>0</v>
      </c>
      <c r="H65" s="50">
        <v>1</v>
      </c>
      <c r="I65" s="50">
        <v>3</v>
      </c>
      <c r="J65" s="50">
        <v>2</v>
      </c>
      <c r="K65" s="50">
        <v>0</v>
      </c>
      <c r="L65" s="50">
        <v>0</v>
      </c>
      <c r="M65" s="50">
        <v>60</v>
      </c>
      <c r="N65" s="50">
        <v>0</v>
      </c>
      <c r="O65" s="15">
        <f t="shared" si="15"/>
        <v>32</v>
      </c>
      <c r="P65" s="15">
        <f t="shared" si="16"/>
        <v>92</v>
      </c>
      <c r="R65" s="8"/>
      <c r="T65"/>
    </row>
    <row r="66" spans="2:20" ht="23.1" customHeight="1" x14ac:dyDescent="0.25">
      <c r="B66" s="45" t="s">
        <v>103</v>
      </c>
      <c r="C66" s="50">
        <v>22</v>
      </c>
      <c r="D66" s="50">
        <v>4</v>
      </c>
      <c r="E66" s="50">
        <v>1</v>
      </c>
      <c r="F66" s="50">
        <v>3</v>
      </c>
      <c r="G66" s="50">
        <v>0</v>
      </c>
      <c r="H66" s="50">
        <v>0</v>
      </c>
      <c r="I66" s="50">
        <v>5</v>
      </c>
      <c r="J66" s="50">
        <v>2</v>
      </c>
      <c r="K66" s="50">
        <v>0</v>
      </c>
      <c r="L66" s="50">
        <v>0</v>
      </c>
      <c r="M66" s="50">
        <v>61</v>
      </c>
      <c r="N66" s="50">
        <v>0</v>
      </c>
      <c r="O66" s="15">
        <f t="shared" si="15"/>
        <v>37</v>
      </c>
      <c r="P66" s="15">
        <f t="shared" si="16"/>
        <v>98</v>
      </c>
      <c r="R66" s="8"/>
      <c r="T66"/>
    </row>
    <row r="67" spans="2:20" ht="23.1" customHeight="1" x14ac:dyDescent="0.25">
      <c r="B67" s="45" t="s">
        <v>104</v>
      </c>
      <c r="C67" s="50">
        <v>38</v>
      </c>
      <c r="D67" s="50">
        <v>5</v>
      </c>
      <c r="E67" s="50">
        <v>1</v>
      </c>
      <c r="F67" s="50">
        <v>4</v>
      </c>
      <c r="G67" s="50">
        <v>0</v>
      </c>
      <c r="H67" s="50">
        <v>0</v>
      </c>
      <c r="I67" s="50">
        <v>1</v>
      </c>
      <c r="J67" s="50">
        <v>1</v>
      </c>
      <c r="K67" s="50">
        <v>0</v>
      </c>
      <c r="L67" s="50">
        <v>0</v>
      </c>
      <c r="M67" s="50">
        <v>73</v>
      </c>
      <c r="N67" s="50">
        <v>0</v>
      </c>
      <c r="O67" s="15">
        <f t="shared" si="15"/>
        <v>50</v>
      </c>
      <c r="P67" s="15">
        <f t="shared" si="16"/>
        <v>123</v>
      </c>
      <c r="R67" s="8"/>
      <c r="T67"/>
    </row>
    <row r="68" spans="2:20" ht="23.1" customHeight="1" x14ac:dyDescent="0.25">
      <c r="B68" s="45" t="s">
        <v>105</v>
      </c>
      <c r="C68" s="50">
        <v>20</v>
      </c>
      <c r="D68" s="50">
        <v>3</v>
      </c>
      <c r="E68" s="50">
        <v>4</v>
      </c>
      <c r="F68" s="50">
        <v>3</v>
      </c>
      <c r="G68" s="50">
        <v>0</v>
      </c>
      <c r="H68" s="50">
        <v>0</v>
      </c>
      <c r="I68" s="50">
        <v>4</v>
      </c>
      <c r="J68" s="50">
        <v>0</v>
      </c>
      <c r="K68" s="50">
        <v>0</v>
      </c>
      <c r="L68" s="50">
        <v>0</v>
      </c>
      <c r="M68" s="50">
        <v>61</v>
      </c>
      <c r="N68" s="50">
        <v>0</v>
      </c>
      <c r="O68" s="15">
        <f t="shared" si="15"/>
        <v>34</v>
      </c>
      <c r="P68" s="15">
        <f t="shared" si="16"/>
        <v>95</v>
      </c>
      <c r="R68" s="8"/>
      <c r="T68"/>
    </row>
    <row r="69" spans="2:20" ht="23.1" customHeight="1" x14ac:dyDescent="0.25">
      <c r="B69" s="45" t="s">
        <v>106</v>
      </c>
      <c r="C69" s="50">
        <v>26</v>
      </c>
      <c r="D69" s="50">
        <v>1</v>
      </c>
      <c r="E69" s="50">
        <v>2</v>
      </c>
      <c r="F69" s="50">
        <v>5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49</v>
      </c>
      <c r="N69" s="50">
        <v>0</v>
      </c>
      <c r="O69" s="15">
        <f t="shared" si="15"/>
        <v>35</v>
      </c>
      <c r="P69" s="15">
        <f t="shared" si="16"/>
        <v>84</v>
      </c>
      <c r="R69" s="8"/>
      <c r="T69"/>
    </row>
    <row r="70" spans="2:20" ht="23.1" customHeight="1" x14ac:dyDescent="0.25">
      <c r="B70" s="45" t="s">
        <v>110</v>
      </c>
      <c r="C70" s="50">
        <v>27</v>
      </c>
      <c r="D70" s="50">
        <v>5</v>
      </c>
      <c r="E70" s="50">
        <v>3</v>
      </c>
      <c r="F70" s="50">
        <v>4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56</v>
      </c>
      <c r="N70" s="50">
        <v>0</v>
      </c>
      <c r="O70" s="15">
        <f t="shared" si="15"/>
        <v>40</v>
      </c>
      <c r="P70" s="15">
        <f t="shared" si="16"/>
        <v>96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1</v>
      </c>
      <c r="E71" s="50">
        <v>1</v>
      </c>
      <c r="F71" s="50">
        <v>0</v>
      </c>
      <c r="G71" s="50">
        <v>0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28</v>
      </c>
      <c r="N71" s="50">
        <v>0</v>
      </c>
      <c r="O71" s="15">
        <f t="shared" si="15"/>
        <v>12</v>
      </c>
      <c r="P71" s="15">
        <f t="shared" si="16"/>
        <v>40</v>
      </c>
      <c r="R71" s="8"/>
      <c r="T71"/>
    </row>
    <row r="72" spans="2:20" ht="23.1" customHeight="1" x14ac:dyDescent="0.25">
      <c r="B72" s="45" t="s">
        <v>112</v>
      </c>
      <c r="C72" s="50">
        <v>28</v>
      </c>
      <c r="D72" s="50">
        <v>0</v>
      </c>
      <c r="E72" s="50">
        <v>2</v>
      </c>
      <c r="F72" s="50">
        <v>6</v>
      </c>
      <c r="G72" s="50">
        <v>0</v>
      </c>
      <c r="H72" s="50">
        <v>0</v>
      </c>
      <c r="I72" s="50">
        <v>4</v>
      </c>
      <c r="J72" s="50">
        <v>0</v>
      </c>
      <c r="K72" s="50">
        <v>0</v>
      </c>
      <c r="L72" s="50">
        <v>0</v>
      </c>
      <c r="M72" s="50">
        <v>55</v>
      </c>
      <c r="N72" s="50">
        <v>0</v>
      </c>
      <c r="O72" s="15">
        <f t="shared" si="15"/>
        <v>40</v>
      </c>
      <c r="P72" s="15">
        <f t="shared" si="16"/>
        <v>95</v>
      </c>
      <c r="R72" s="8"/>
      <c r="T72"/>
    </row>
    <row r="73" spans="2:20" ht="23.1" customHeight="1" x14ac:dyDescent="0.25">
      <c r="B73" s="45" t="s">
        <v>113</v>
      </c>
      <c r="C73" s="50">
        <v>17</v>
      </c>
      <c r="D73" s="50">
        <v>11</v>
      </c>
      <c r="E73" s="50">
        <v>0</v>
      </c>
      <c r="F73" s="50">
        <v>2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37</v>
      </c>
      <c r="N73" s="50">
        <v>0</v>
      </c>
      <c r="O73" s="15">
        <f t="shared" si="15"/>
        <v>31</v>
      </c>
      <c r="P73" s="15">
        <f t="shared" si="16"/>
        <v>68</v>
      </c>
      <c r="R73" s="8"/>
      <c r="T73"/>
    </row>
    <row r="74" spans="2:20" ht="23.1" customHeight="1" x14ac:dyDescent="0.25">
      <c r="B74" s="45" t="s">
        <v>114</v>
      </c>
      <c r="C74" s="50">
        <v>12</v>
      </c>
      <c r="D74" s="50">
        <v>0</v>
      </c>
      <c r="E74" s="50">
        <v>1</v>
      </c>
      <c r="F74" s="50">
        <v>1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33</v>
      </c>
      <c r="N74" s="50">
        <v>0</v>
      </c>
      <c r="O74" s="15">
        <f t="shared" ref="O74:O105" si="37">SUM(C74:L74,N74)</f>
        <v>15</v>
      </c>
      <c r="P74" s="15">
        <f t="shared" ref="P74:P105" si="38">SUM(C74:N74)</f>
        <v>48</v>
      </c>
      <c r="R74" s="8"/>
      <c r="T74"/>
    </row>
    <row r="75" spans="2:20" ht="23.1" customHeight="1" x14ac:dyDescent="0.25">
      <c r="B75" s="45" t="s">
        <v>115</v>
      </c>
      <c r="C75" s="50">
        <v>12</v>
      </c>
      <c r="D75" s="50">
        <v>2</v>
      </c>
      <c r="E75" s="50">
        <v>1</v>
      </c>
      <c r="F75" s="50">
        <v>0</v>
      </c>
      <c r="G75" s="50">
        <v>0</v>
      </c>
      <c r="H75" s="50">
        <v>0</v>
      </c>
      <c r="I75" s="50">
        <v>4</v>
      </c>
      <c r="J75" s="50">
        <v>0</v>
      </c>
      <c r="K75" s="50">
        <v>0</v>
      </c>
      <c r="L75" s="50">
        <v>0</v>
      </c>
      <c r="M75" s="50">
        <v>30</v>
      </c>
      <c r="N75" s="50">
        <v>0</v>
      </c>
      <c r="O75" s="15">
        <f t="shared" si="37"/>
        <v>19</v>
      </c>
      <c r="P75" s="15">
        <f t="shared" si="38"/>
        <v>49</v>
      </c>
      <c r="R75" s="8"/>
      <c r="T75"/>
    </row>
    <row r="76" spans="2:20" ht="23.1" customHeight="1" x14ac:dyDescent="0.25">
      <c r="B76" s="45" t="s">
        <v>116</v>
      </c>
      <c r="C76" s="50">
        <v>9</v>
      </c>
      <c r="D76" s="50">
        <v>0</v>
      </c>
      <c r="E76" s="50">
        <v>1</v>
      </c>
      <c r="F76" s="50">
        <v>1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24</v>
      </c>
      <c r="N76" s="50">
        <v>0</v>
      </c>
      <c r="O76" s="15">
        <f t="shared" si="37"/>
        <v>12</v>
      </c>
      <c r="P76" s="15">
        <f t="shared" si="38"/>
        <v>36</v>
      </c>
      <c r="R76" s="8"/>
      <c r="T76"/>
    </row>
    <row r="77" spans="2:20" ht="23.1" customHeight="1" x14ac:dyDescent="0.25">
      <c r="B77" s="45" t="s">
        <v>117</v>
      </c>
      <c r="C77" s="50">
        <v>9</v>
      </c>
      <c r="D77" s="50">
        <v>1</v>
      </c>
      <c r="E77" s="50">
        <v>2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22</v>
      </c>
      <c r="N77" s="50">
        <v>0</v>
      </c>
      <c r="O77" s="15">
        <f t="shared" si="37"/>
        <v>13</v>
      </c>
      <c r="P77" s="15">
        <f t="shared" si="38"/>
        <v>35</v>
      </c>
      <c r="R77" s="8"/>
      <c r="T77"/>
    </row>
    <row r="78" spans="2:20" ht="23.1" customHeight="1" x14ac:dyDescent="0.25">
      <c r="B78" s="46" t="s">
        <v>118</v>
      </c>
      <c r="C78" s="50">
        <v>10</v>
      </c>
      <c r="D78" s="50">
        <v>2</v>
      </c>
      <c r="E78" s="50">
        <v>3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10</v>
      </c>
      <c r="N78" s="50">
        <v>0</v>
      </c>
      <c r="O78" s="15">
        <f t="shared" si="37"/>
        <v>16</v>
      </c>
      <c r="P78" s="15">
        <f t="shared" si="38"/>
        <v>26</v>
      </c>
      <c r="R78" s="8"/>
      <c r="T78"/>
    </row>
    <row r="79" spans="2:20" ht="23.1" customHeight="1" x14ac:dyDescent="0.25">
      <c r="B79" s="45" t="s">
        <v>119</v>
      </c>
      <c r="C79" s="50">
        <v>5</v>
      </c>
      <c r="D79" s="50">
        <v>0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12</v>
      </c>
      <c r="N79" s="50">
        <v>0</v>
      </c>
      <c r="O79" s="15">
        <f t="shared" si="37"/>
        <v>7</v>
      </c>
      <c r="P79" s="15">
        <f t="shared" si="38"/>
        <v>19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1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1</v>
      </c>
      <c r="L80" s="50">
        <v>0</v>
      </c>
      <c r="M80" s="50">
        <v>12</v>
      </c>
      <c r="N80" s="50">
        <v>0</v>
      </c>
      <c r="O80" s="15">
        <f t="shared" si="37"/>
        <v>8</v>
      </c>
      <c r="P80" s="15">
        <f t="shared" si="38"/>
        <v>20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2</v>
      </c>
      <c r="E81" s="50">
        <v>1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10</v>
      </c>
      <c r="N81" s="50">
        <v>0</v>
      </c>
      <c r="O81" s="15">
        <f t="shared" si="37"/>
        <v>10</v>
      </c>
      <c r="P81" s="15">
        <f t="shared" si="38"/>
        <v>20</v>
      </c>
      <c r="R81" s="8"/>
      <c r="T81"/>
    </row>
    <row r="82" spans="2:20" ht="23.1" customHeight="1" x14ac:dyDescent="0.25">
      <c r="B82" s="46" t="s">
        <v>122</v>
      </c>
      <c r="C82" s="50">
        <v>5</v>
      </c>
      <c r="D82" s="50">
        <v>0</v>
      </c>
      <c r="E82" s="50">
        <v>0</v>
      </c>
      <c r="F82" s="50">
        <v>2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12</v>
      </c>
      <c r="N82" s="50">
        <v>0</v>
      </c>
      <c r="O82" s="15">
        <f t="shared" si="37"/>
        <v>7</v>
      </c>
      <c r="P82" s="15">
        <f t="shared" si="38"/>
        <v>19</v>
      </c>
      <c r="R82" s="8"/>
      <c r="T82"/>
    </row>
    <row r="83" spans="2:20" ht="23.1" customHeight="1" x14ac:dyDescent="0.25">
      <c r="B83" s="45" t="s">
        <v>123</v>
      </c>
      <c r="C83" s="50">
        <v>4</v>
      </c>
      <c r="D83" s="50">
        <v>0</v>
      </c>
      <c r="E83" s="50">
        <v>2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11</v>
      </c>
      <c r="N83" s="50">
        <v>0</v>
      </c>
      <c r="O83" s="15">
        <f t="shared" si="37"/>
        <v>7</v>
      </c>
      <c r="P83" s="15">
        <f t="shared" si="38"/>
        <v>18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9</v>
      </c>
      <c r="N84" s="50">
        <v>0</v>
      </c>
      <c r="O84" s="15">
        <f t="shared" si="37"/>
        <v>2</v>
      </c>
      <c r="P84" s="15">
        <f t="shared" si="38"/>
        <v>11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2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</v>
      </c>
      <c r="N85" s="50">
        <v>0</v>
      </c>
      <c r="O85" s="15">
        <f t="shared" si="37"/>
        <v>5</v>
      </c>
      <c r="P85" s="15">
        <f t="shared" si="38"/>
        <v>8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6</v>
      </c>
      <c r="N86" s="50">
        <v>0</v>
      </c>
      <c r="O86" s="15">
        <f t="shared" si="37"/>
        <v>1</v>
      </c>
      <c r="P86" s="15">
        <f t="shared" si="38"/>
        <v>7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2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5</v>
      </c>
      <c r="N87" s="50">
        <v>0</v>
      </c>
      <c r="O87" s="15">
        <f t="shared" si="37"/>
        <v>4</v>
      </c>
      <c r="P87" s="15">
        <f t="shared" si="38"/>
        <v>9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6</v>
      </c>
      <c r="N88" s="50">
        <v>0</v>
      </c>
      <c r="O88" s="15">
        <f t="shared" si="37"/>
        <v>3</v>
      </c>
      <c r="P88" s="15">
        <f t="shared" si="38"/>
        <v>9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5">
        <f t="shared" si="37"/>
        <v>3</v>
      </c>
      <c r="P89" s="15">
        <f t="shared" si="38"/>
        <v>7</v>
      </c>
      <c r="R89" s="8"/>
      <c r="T89"/>
    </row>
    <row r="90" spans="2:20" ht="23.1" customHeight="1" x14ac:dyDescent="0.25">
      <c r="B90" s="46" t="s">
        <v>130</v>
      </c>
      <c r="C90" s="50">
        <v>3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5</v>
      </c>
      <c r="N90" s="50">
        <v>0</v>
      </c>
      <c r="O90" s="15">
        <f t="shared" si="37"/>
        <v>4</v>
      </c>
      <c r="P90" s="15">
        <f t="shared" si="38"/>
        <v>9</v>
      </c>
      <c r="R90" s="8"/>
      <c r="T90"/>
    </row>
    <row r="91" spans="2:20" ht="23.1" customHeight="1" x14ac:dyDescent="0.25">
      <c r="B91" s="45" t="s">
        <v>131</v>
      </c>
      <c r="C91" s="50">
        <v>4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6</v>
      </c>
      <c r="N91" s="50">
        <v>0</v>
      </c>
      <c r="O91" s="15">
        <f t="shared" si="37"/>
        <v>4</v>
      </c>
      <c r="P91" s="15">
        <f t="shared" si="38"/>
        <v>10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4</v>
      </c>
      <c r="N92" s="50">
        <v>0</v>
      </c>
      <c r="O92" s="15">
        <f t="shared" si="37"/>
        <v>1</v>
      </c>
      <c r="P92" s="15">
        <f t="shared" si="38"/>
        <v>5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1</v>
      </c>
      <c r="O93" s="15">
        <f t="shared" si="37"/>
        <v>3</v>
      </c>
      <c r="P93" s="15">
        <f t="shared" si="38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3</v>
      </c>
      <c r="N94" s="50">
        <v>0</v>
      </c>
      <c r="O94" s="15">
        <f t="shared" si="37"/>
        <v>1</v>
      </c>
      <c r="P94" s="15">
        <f t="shared" si="38"/>
        <v>4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1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4</v>
      </c>
      <c r="N95" s="50">
        <v>0</v>
      </c>
      <c r="O95" s="15">
        <f t="shared" si="37"/>
        <v>4</v>
      </c>
      <c r="P95" s="15">
        <f t="shared" si="38"/>
        <v>8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6</v>
      </c>
      <c r="N96" s="50">
        <v>0</v>
      </c>
      <c r="O96" s="15">
        <f t="shared" si="37"/>
        <v>1</v>
      </c>
      <c r="P96" s="15">
        <f t="shared" si="38"/>
        <v>7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7"/>
        <v>3</v>
      </c>
      <c r="P97" s="15">
        <f t="shared" si="38"/>
        <v>4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7"/>
        <v>3</v>
      </c>
      <c r="P98" s="15">
        <f t="shared" si="38"/>
        <v>3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5</v>
      </c>
      <c r="N99" s="50">
        <v>0</v>
      </c>
      <c r="O99" s="15">
        <f t="shared" si="37"/>
        <v>1</v>
      </c>
      <c r="P99" s="15">
        <f t="shared" si="38"/>
        <v>6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9</v>
      </c>
      <c r="N100" s="50">
        <v>0</v>
      </c>
      <c r="O100" s="15">
        <f t="shared" si="37"/>
        <v>3</v>
      </c>
      <c r="P100" s="15">
        <f t="shared" si="38"/>
        <v>12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1</v>
      </c>
      <c r="E101" s="50">
        <v>0</v>
      </c>
      <c r="F101" s="50">
        <v>0</v>
      </c>
      <c r="G101" s="50">
        <v>1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8</v>
      </c>
      <c r="N101" s="50">
        <v>0</v>
      </c>
      <c r="O101" s="15">
        <f t="shared" si="37"/>
        <v>3</v>
      </c>
      <c r="P101" s="15">
        <f t="shared" si="38"/>
        <v>11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3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7"/>
        <v>3</v>
      </c>
      <c r="P102" s="15">
        <f t="shared" si="38"/>
        <v>9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1</v>
      </c>
      <c r="E103" s="50">
        <v>0</v>
      </c>
      <c r="F103" s="50">
        <v>2</v>
      </c>
      <c r="G103" s="50">
        <v>0</v>
      </c>
      <c r="H103" s="50">
        <v>0</v>
      </c>
      <c r="I103" s="50">
        <v>3</v>
      </c>
      <c r="J103" s="50">
        <v>0</v>
      </c>
      <c r="K103" s="50">
        <v>0</v>
      </c>
      <c r="L103" s="50">
        <v>0</v>
      </c>
      <c r="M103" s="50">
        <v>10</v>
      </c>
      <c r="N103" s="50">
        <v>0</v>
      </c>
      <c r="O103" s="15">
        <f t="shared" si="37"/>
        <v>10</v>
      </c>
      <c r="P103" s="15">
        <f t="shared" si="38"/>
        <v>20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3</v>
      </c>
      <c r="J104" s="50">
        <v>0</v>
      </c>
      <c r="K104" s="50">
        <v>0</v>
      </c>
      <c r="L104" s="50">
        <v>0</v>
      </c>
      <c r="M104" s="50">
        <v>16</v>
      </c>
      <c r="N104" s="50">
        <v>0</v>
      </c>
      <c r="O104" s="15">
        <f t="shared" si="37"/>
        <v>6</v>
      </c>
      <c r="P104" s="15">
        <f t="shared" si="38"/>
        <v>22</v>
      </c>
      <c r="R104" s="8"/>
      <c r="T104"/>
    </row>
    <row r="105" spans="2:20" ht="23.1" customHeight="1" x14ac:dyDescent="0.25">
      <c r="B105" s="45" t="s">
        <v>145</v>
      </c>
      <c r="C105" s="50">
        <v>7</v>
      </c>
      <c r="D105" s="50">
        <v>0</v>
      </c>
      <c r="E105" s="50">
        <v>0</v>
      </c>
      <c r="F105" s="50">
        <v>1</v>
      </c>
      <c r="G105" s="50">
        <v>0</v>
      </c>
      <c r="H105" s="50">
        <v>0</v>
      </c>
      <c r="I105" s="50">
        <v>3</v>
      </c>
      <c r="J105" s="50">
        <v>0</v>
      </c>
      <c r="K105" s="50">
        <v>1</v>
      </c>
      <c r="L105" s="50">
        <v>0</v>
      </c>
      <c r="M105" s="50">
        <v>26</v>
      </c>
      <c r="N105" s="50">
        <v>0</v>
      </c>
      <c r="O105" s="15">
        <f t="shared" si="37"/>
        <v>12</v>
      </c>
      <c r="P105" s="15">
        <f t="shared" si="38"/>
        <v>38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1101</v>
      </c>
      <c r="D106" s="16">
        <f t="shared" ref="D106:P106" si="39">SUM(D10:D105)</f>
        <v>323</v>
      </c>
      <c r="E106" s="16">
        <f t="shared" si="39"/>
        <v>212</v>
      </c>
      <c r="F106" s="16">
        <f t="shared" si="39"/>
        <v>210</v>
      </c>
      <c r="G106" s="16">
        <f t="shared" si="39"/>
        <v>9</v>
      </c>
      <c r="H106" s="16">
        <f t="shared" si="39"/>
        <v>2</v>
      </c>
      <c r="I106" s="16">
        <f t="shared" si="39"/>
        <v>190</v>
      </c>
      <c r="J106" s="16">
        <f t="shared" si="39"/>
        <v>28</v>
      </c>
      <c r="K106" s="16">
        <f t="shared" si="39"/>
        <v>13</v>
      </c>
      <c r="L106" s="16">
        <f t="shared" si="39"/>
        <v>11</v>
      </c>
      <c r="M106" s="16">
        <f t="shared" si="39"/>
        <v>3064</v>
      </c>
      <c r="N106" s="16">
        <f t="shared" si="39"/>
        <v>1</v>
      </c>
      <c r="O106" s="16">
        <f t="shared" si="39"/>
        <v>2100</v>
      </c>
      <c r="P106" s="16">
        <f t="shared" si="39"/>
        <v>5164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0">C106/$P$106</f>
        <v>0.21320681642137879</v>
      </c>
      <c r="D107" s="43">
        <f t="shared" si="40"/>
        <v>6.254841208365608E-2</v>
      </c>
      <c r="E107" s="43">
        <f t="shared" si="40"/>
        <v>4.1053446940356314E-2</v>
      </c>
      <c r="F107" s="43">
        <f t="shared" si="40"/>
        <v>4.0666150271107669E-2</v>
      </c>
      <c r="G107" s="43">
        <f t="shared" si="40"/>
        <v>1.7428350116189002E-3</v>
      </c>
      <c r="H107" s="43">
        <f t="shared" si="40"/>
        <v>3.8729666924864449E-4</v>
      </c>
      <c r="I107" s="43">
        <f t="shared" si="40"/>
        <v>3.6793183578621221E-2</v>
      </c>
      <c r="J107" s="43">
        <f t="shared" si="40"/>
        <v>5.422153369481022E-3</v>
      </c>
      <c r="K107" s="43">
        <f t="shared" si="40"/>
        <v>2.517428350116189E-3</v>
      </c>
      <c r="L107" s="43">
        <f t="shared" si="40"/>
        <v>2.1301316808675446E-3</v>
      </c>
      <c r="M107" s="43">
        <f t="shared" si="40"/>
        <v>0.59333849728892329</v>
      </c>
      <c r="N107" s="43">
        <f t="shared" si="40"/>
        <v>1.9364833462432224E-4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0.52428571428571424</v>
      </c>
      <c r="D108" s="44">
        <f t="shared" ref="D108:N108" si="41">D106/$O$106</f>
        <v>0.15380952380952381</v>
      </c>
      <c r="E108" s="44">
        <f t="shared" si="41"/>
        <v>0.10095238095238095</v>
      </c>
      <c r="F108" s="44">
        <f t="shared" si="41"/>
        <v>0.1</v>
      </c>
      <c r="G108" s="44">
        <f t="shared" si="41"/>
        <v>4.2857142857142859E-3</v>
      </c>
      <c r="H108" s="44">
        <f t="shared" si="41"/>
        <v>9.5238095238095238E-4</v>
      </c>
      <c r="I108" s="44">
        <f t="shared" si="41"/>
        <v>9.0476190476190474E-2</v>
      </c>
      <c r="J108" s="44">
        <f t="shared" si="41"/>
        <v>1.3333333333333334E-2</v>
      </c>
      <c r="K108" s="44">
        <f t="shared" si="41"/>
        <v>6.1904761904761907E-3</v>
      </c>
      <c r="L108" s="44">
        <f t="shared" si="41"/>
        <v>5.2380952380952379E-3</v>
      </c>
      <c r="M108" s="44"/>
      <c r="N108" s="44">
        <f t="shared" si="41"/>
        <v>4.7619047619047619E-4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'28.09 Kasangati-Matugga-24h'!C3:G3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145" t="str">
        <f>'[1]28.09 Kasangati-Matuga-24h'!D5</f>
        <v>28.09.19</v>
      </c>
      <c r="F5" s="41" t="s">
        <v>1</v>
      </c>
      <c r="G5" s="150" t="str">
        <f>'[1]28.09 Kasangati-Matuga-24h'!G5:H5</f>
        <v>Kiiza-besigye road</v>
      </c>
      <c r="H5" s="151"/>
      <c r="I5" s="14"/>
      <c r="J5" s="2" t="s">
        <v>5</v>
      </c>
      <c r="K5" s="150" t="str">
        <f>'[1]28.09 Kasangati-Matuga-24h'!K5:L5</f>
        <v>Nakiwugwe. Allen</v>
      </c>
      <c r="L5" s="15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150" t="str">
        <f>'[1]23.09- Matuga -Kasangati'!D6:E6</f>
        <v>Matuga</v>
      </c>
      <c r="E6" s="151"/>
      <c r="F6" s="2" t="s">
        <v>2</v>
      </c>
      <c r="G6" s="150" t="str">
        <f>'[1]23.09- Matuga -Kasangati'!G6:H6</f>
        <v>Kasangati</v>
      </c>
      <c r="H6" s="151"/>
      <c r="J6" s="2" t="s">
        <v>21</v>
      </c>
      <c r="K6" s="150" t="str">
        <f>'[1]28.09 Kasangati-Matuga-24h'!K6:L6</f>
        <v>lawrence</v>
      </c>
      <c r="L6" s="15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6" t="s">
        <v>88</v>
      </c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15</v>
      </c>
      <c r="D10" s="50">
        <v>1</v>
      </c>
      <c r="E10" s="50">
        <v>1</v>
      </c>
      <c r="F10" s="50">
        <v>3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45</v>
      </c>
      <c r="N10" s="50">
        <v>0</v>
      </c>
      <c r="O10" s="17">
        <f t="shared" ref="O10:O73" si="0">SUM(C10:L10,N10)</f>
        <v>22</v>
      </c>
      <c r="P10" s="17">
        <f t="shared" ref="P10:P73" si="1">SUM(C10:N10)</f>
        <v>67</v>
      </c>
      <c r="R10" s="1" t="s">
        <v>6</v>
      </c>
      <c r="S10" s="17">
        <f t="shared" ref="S10:AF10" si="2">SUM(C10:C13)</f>
        <v>55</v>
      </c>
      <c r="T10" s="17">
        <f t="shared" si="2"/>
        <v>3</v>
      </c>
      <c r="U10" s="17">
        <f t="shared" si="2"/>
        <v>13</v>
      </c>
      <c r="V10" s="17">
        <f t="shared" si="2"/>
        <v>9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171</v>
      </c>
      <c r="AD10" s="17">
        <f t="shared" si="2"/>
        <v>0</v>
      </c>
      <c r="AE10" s="31">
        <f t="shared" si="2"/>
        <v>84</v>
      </c>
      <c r="AF10" s="31">
        <f t="shared" si="2"/>
        <v>255</v>
      </c>
    </row>
    <row r="11" spans="2:32" s="6" customFormat="1" ht="23.1" customHeight="1" x14ac:dyDescent="0.25">
      <c r="B11" s="45" t="s">
        <v>38</v>
      </c>
      <c r="C11" s="50">
        <v>5</v>
      </c>
      <c r="D11" s="50">
        <v>0</v>
      </c>
      <c r="E11" s="50">
        <v>5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7">
        <f t="shared" si="0"/>
        <v>14</v>
      </c>
      <c r="P11" s="17">
        <f t="shared" si="1"/>
        <v>49</v>
      </c>
      <c r="R11" s="1" t="s">
        <v>7</v>
      </c>
      <c r="S11" s="17">
        <f t="shared" ref="S11:AF11" si="3">SUM(C14:C17)</f>
        <v>87</v>
      </c>
      <c r="T11" s="17">
        <f t="shared" si="3"/>
        <v>12</v>
      </c>
      <c r="U11" s="17">
        <f t="shared" si="3"/>
        <v>7</v>
      </c>
      <c r="V11" s="17">
        <f t="shared" si="3"/>
        <v>12</v>
      </c>
      <c r="W11" s="17">
        <f t="shared" si="3"/>
        <v>4</v>
      </c>
      <c r="X11" s="17">
        <f t="shared" si="3"/>
        <v>0</v>
      </c>
      <c r="Y11" s="17">
        <f t="shared" si="3"/>
        <v>7</v>
      </c>
      <c r="Z11" s="17">
        <f t="shared" si="3"/>
        <v>1</v>
      </c>
      <c r="AA11" s="17">
        <f t="shared" si="3"/>
        <v>3</v>
      </c>
      <c r="AB11" s="17">
        <f t="shared" si="3"/>
        <v>0</v>
      </c>
      <c r="AC11" s="17">
        <f t="shared" si="3"/>
        <v>232</v>
      </c>
      <c r="AD11" s="17">
        <f t="shared" si="3"/>
        <v>0</v>
      </c>
      <c r="AE11" s="31">
        <f t="shared" si="3"/>
        <v>133</v>
      </c>
      <c r="AF11" s="31">
        <f t="shared" si="3"/>
        <v>365</v>
      </c>
    </row>
    <row r="12" spans="2:32" ht="23.1" customHeight="1" x14ac:dyDescent="0.25">
      <c r="B12" s="45" t="s">
        <v>39</v>
      </c>
      <c r="C12" s="50">
        <v>21</v>
      </c>
      <c r="D12" s="50">
        <v>2</v>
      </c>
      <c r="E12" s="50">
        <v>5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47</v>
      </c>
      <c r="N12" s="50">
        <v>0</v>
      </c>
      <c r="O12" s="17">
        <f t="shared" si="0"/>
        <v>29</v>
      </c>
      <c r="P12" s="17">
        <f t="shared" si="1"/>
        <v>76</v>
      </c>
      <c r="R12" s="1" t="s">
        <v>8</v>
      </c>
      <c r="S12" s="17">
        <f t="shared" ref="S12:AF12" si="4">SUM(C18:C21)</f>
        <v>69</v>
      </c>
      <c r="T12" s="17">
        <f t="shared" si="4"/>
        <v>20</v>
      </c>
      <c r="U12" s="17">
        <f t="shared" si="4"/>
        <v>10</v>
      </c>
      <c r="V12" s="17">
        <f t="shared" si="4"/>
        <v>15</v>
      </c>
      <c r="W12" s="17">
        <f t="shared" si="4"/>
        <v>2</v>
      </c>
      <c r="X12" s="17">
        <f t="shared" si="4"/>
        <v>1</v>
      </c>
      <c r="Y12" s="17">
        <f t="shared" si="4"/>
        <v>9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186</v>
      </c>
      <c r="AD12" s="17">
        <f t="shared" si="4"/>
        <v>0</v>
      </c>
      <c r="AE12" s="31">
        <f t="shared" si="4"/>
        <v>127</v>
      </c>
      <c r="AF12" s="31">
        <f t="shared" si="4"/>
        <v>313</v>
      </c>
    </row>
    <row r="13" spans="2:32" ht="23.1" customHeight="1" x14ac:dyDescent="0.25">
      <c r="B13" s="45" t="s">
        <v>40</v>
      </c>
      <c r="C13" s="50">
        <v>14</v>
      </c>
      <c r="D13" s="50">
        <v>0</v>
      </c>
      <c r="E13" s="50">
        <v>2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44</v>
      </c>
      <c r="N13" s="50">
        <v>0</v>
      </c>
      <c r="O13" s="17">
        <f t="shared" si="0"/>
        <v>19</v>
      </c>
      <c r="P13" s="17">
        <f t="shared" si="1"/>
        <v>63</v>
      </c>
      <c r="R13" s="1" t="s">
        <v>9</v>
      </c>
      <c r="S13" s="17">
        <f t="shared" ref="S13:AF13" si="5">SUM(C22:C25)</f>
        <v>73</v>
      </c>
      <c r="T13" s="17">
        <f t="shared" si="5"/>
        <v>18</v>
      </c>
      <c r="U13" s="17">
        <f t="shared" si="5"/>
        <v>9</v>
      </c>
      <c r="V13" s="17">
        <f t="shared" si="5"/>
        <v>11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194</v>
      </c>
      <c r="AD13" s="17">
        <f t="shared" si="5"/>
        <v>0</v>
      </c>
      <c r="AE13" s="31">
        <f t="shared" si="5"/>
        <v>129</v>
      </c>
      <c r="AF13" s="31">
        <f t="shared" si="5"/>
        <v>323</v>
      </c>
    </row>
    <row r="14" spans="2:32" ht="23.1" customHeight="1" x14ac:dyDescent="0.25">
      <c r="B14" s="45" t="s">
        <v>41</v>
      </c>
      <c r="C14" s="50">
        <v>23</v>
      </c>
      <c r="D14" s="50">
        <v>1</v>
      </c>
      <c r="E14" s="50">
        <v>1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52</v>
      </c>
      <c r="N14" s="50">
        <v>0</v>
      </c>
      <c r="O14" s="17">
        <f t="shared" si="0"/>
        <v>29</v>
      </c>
      <c r="P14" s="17">
        <f t="shared" si="1"/>
        <v>81</v>
      </c>
      <c r="R14" s="1" t="s">
        <v>10</v>
      </c>
      <c r="S14" s="17">
        <f t="shared" ref="S14:AF14" si="6">SUM(C26:C29)</f>
        <v>103</v>
      </c>
      <c r="T14" s="17">
        <f t="shared" si="6"/>
        <v>14</v>
      </c>
      <c r="U14" s="17">
        <f t="shared" si="6"/>
        <v>10</v>
      </c>
      <c r="V14" s="17">
        <f t="shared" si="6"/>
        <v>21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4</v>
      </c>
      <c r="AA14" s="17">
        <f t="shared" si="6"/>
        <v>2</v>
      </c>
      <c r="AB14" s="17">
        <f t="shared" si="6"/>
        <v>0</v>
      </c>
      <c r="AC14" s="17">
        <f t="shared" si="6"/>
        <v>179</v>
      </c>
      <c r="AD14" s="17">
        <f t="shared" si="6"/>
        <v>0</v>
      </c>
      <c r="AE14" s="31">
        <f t="shared" si="6"/>
        <v>165</v>
      </c>
      <c r="AF14" s="31">
        <f t="shared" si="6"/>
        <v>344</v>
      </c>
    </row>
    <row r="15" spans="2:32" ht="23.1" customHeight="1" x14ac:dyDescent="0.25">
      <c r="B15" s="45" t="s">
        <v>42</v>
      </c>
      <c r="C15" s="50">
        <v>18</v>
      </c>
      <c r="D15" s="50">
        <v>4</v>
      </c>
      <c r="E15" s="50">
        <v>2</v>
      </c>
      <c r="F15" s="50">
        <v>2</v>
      </c>
      <c r="G15" s="50">
        <v>1</v>
      </c>
      <c r="H15" s="50">
        <v>0</v>
      </c>
      <c r="I15" s="50">
        <v>0</v>
      </c>
      <c r="J15" s="50">
        <v>1</v>
      </c>
      <c r="K15" s="50">
        <v>3</v>
      </c>
      <c r="L15" s="50">
        <v>0</v>
      </c>
      <c r="M15" s="50">
        <v>56</v>
      </c>
      <c r="N15" s="50">
        <v>0</v>
      </c>
      <c r="O15" s="17">
        <f t="shared" si="0"/>
        <v>31</v>
      </c>
      <c r="P15" s="17">
        <f t="shared" si="1"/>
        <v>87</v>
      </c>
      <c r="R15" s="1" t="s">
        <v>11</v>
      </c>
      <c r="S15" s="17">
        <f t="shared" ref="S15:AF15" si="7">SUM(C30:C33)</f>
        <v>59</v>
      </c>
      <c r="T15" s="17">
        <f t="shared" si="7"/>
        <v>13</v>
      </c>
      <c r="U15" s="17">
        <f t="shared" si="7"/>
        <v>8</v>
      </c>
      <c r="V15" s="17">
        <f t="shared" si="7"/>
        <v>13</v>
      </c>
      <c r="W15" s="17">
        <f t="shared" si="7"/>
        <v>1</v>
      </c>
      <c r="X15" s="17">
        <f t="shared" si="7"/>
        <v>0</v>
      </c>
      <c r="Y15" s="17">
        <f t="shared" si="7"/>
        <v>24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176</v>
      </c>
      <c r="AD15" s="17">
        <f t="shared" si="7"/>
        <v>0</v>
      </c>
      <c r="AE15" s="31">
        <f t="shared" si="7"/>
        <v>119</v>
      </c>
      <c r="AF15" s="31">
        <f t="shared" si="7"/>
        <v>295</v>
      </c>
    </row>
    <row r="16" spans="2:32" ht="23.1" customHeight="1" x14ac:dyDescent="0.25">
      <c r="B16" s="45" t="s">
        <v>43</v>
      </c>
      <c r="C16" s="50">
        <v>21</v>
      </c>
      <c r="D16" s="50">
        <v>4</v>
      </c>
      <c r="E16" s="50">
        <v>1</v>
      </c>
      <c r="F16" s="50">
        <v>5</v>
      </c>
      <c r="G16" s="50">
        <v>1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64</v>
      </c>
      <c r="N16" s="50">
        <v>0</v>
      </c>
      <c r="O16" s="17">
        <f t="shared" si="0"/>
        <v>34</v>
      </c>
      <c r="P16" s="17">
        <f t="shared" si="1"/>
        <v>98</v>
      </c>
      <c r="R16" s="1" t="s">
        <v>12</v>
      </c>
      <c r="S16" s="17">
        <f t="shared" ref="S16:AF16" si="8">SUM(C34:C37)</f>
        <v>52</v>
      </c>
      <c r="T16" s="17">
        <f t="shared" si="8"/>
        <v>10</v>
      </c>
      <c r="U16" s="17">
        <f t="shared" si="8"/>
        <v>11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2</v>
      </c>
      <c r="AA16" s="17">
        <f t="shared" si="8"/>
        <v>3</v>
      </c>
      <c r="AB16" s="17">
        <f t="shared" si="8"/>
        <v>0</v>
      </c>
      <c r="AC16" s="17">
        <f t="shared" si="8"/>
        <v>193</v>
      </c>
      <c r="AD16" s="17">
        <f t="shared" si="8"/>
        <v>0</v>
      </c>
      <c r="AE16" s="31">
        <f t="shared" si="8"/>
        <v>101</v>
      </c>
      <c r="AF16" s="31">
        <f t="shared" si="8"/>
        <v>294</v>
      </c>
    </row>
    <row r="17" spans="2:32" ht="23.1" customHeight="1" x14ac:dyDescent="0.25">
      <c r="B17" s="45" t="s">
        <v>44</v>
      </c>
      <c r="C17" s="50">
        <v>25</v>
      </c>
      <c r="D17" s="50">
        <v>3</v>
      </c>
      <c r="E17" s="50">
        <v>3</v>
      </c>
      <c r="F17" s="50">
        <v>2</v>
      </c>
      <c r="G17" s="50">
        <v>2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60</v>
      </c>
      <c r="N17" s="50">
        <v>0</v>
      </c>
      <c r="O17" s="17">
        <f t="shared" si="0"/>
        <v>39</v>
      </c>
      <c r="P17" s="17">
        <f t="shared" si="1"/>
        <v>99</v>
      </c>
      <c r="R17" s="1" t="s">
        <v>13</v>
      </c>
      <c r="S17" s="17">
        <f t="shared" ref="S17:AF17" si="9">SUM(C38:C41)</f>
        <v>51</v>
      </c>
      <c r="T17" s="17">
        <f t="shared" si="9"/>
        <v>10</v>
      </c>
      <c r="U17" s="17">
        <f t="shared" si="9"/>
        <v>18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16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168</v>
      </c>
      <c r="AD17" s="17">
        <f t="shared" si="9"/>
        <v>0</v>
      </c>
      <c r="AE17" s="31">
        <f t="shared" si="9"/>
        <v>102</v>
      </c>
      <c r="AF17" s="31">
        <f t="shared" si="9"/>
        <v>270</v>
      </c>
    </row>
    <row r="18" spans="2:32" ht="23.1" customHeight="1" x14ac:dyDescent="0.25">
      <c r="B18" s="45" t="s">
        <v>45</v>
      </c>
      <c r="C18" s="50">
        <v>21</v>
      </c>
      <c r="D18" s="50">
        <v>5</v>
      </c>
      <c r="E18" s="50">
        <v>0</v>
      </c>
      <c r="F18" s="50">
        <v>3</v>
      </c>
      <c r="G18" s="50">
        <v>1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45</v>
      </c>
      <c r="N18" s="50">
        <v>0</v>
      </c>
      <c r="O18" s="17">
        <f t="shared" si="0"/>
        <v>32</v>
      </c>
      <c r="P18" s="17">
        <f t="shared" si="1"/>
        <v>77</v>
      </c>
      <c r="R18" s="1" t="s">
        <v>14</v>
      </c>
      <c r="S18" s="17">
        <f t="shared" ref="S18:AF18" si="10">SUM(C42:C45)</f>
        <v>58</v>
      </c>
      <c r="T18" s="17">
        <f t="shared" si="10"/>
        <v>11</v>
      </c>
      <c r="U18" s="17">
        <f t="shared" si="10"/>
        <v>14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161</v>
      </c>
      <c r="AD18" s="17">
        <f t="shared" si="10"/>
        <v>0</v>
      </c>
      <c r="AE18" s="31">
        <f t="shared" si="10"/>
        <v>103</v>
      </c>
      <c r="AF18" s="31">
        <f t="shared" si="10"/>
        <v>264</v>
      </c>
    </row>
    <row r="19" spans="2:32" ht="23.1" customHeight="1" x14ac:dyDescent="0.25">
      <c r="B19" s="45" t="s">
        <v>46</v>
      </c>
      <c r="C19" s="50">
        <v>16</v>
      </c>
      <c r="D19" s="50">
        <v>5</v>
      </c>
      <c r="E19" s="50">
        <v>3</v>
      </c>
      <c r="F19" s="50">
        <v>5</v>
      </c>
      <c r="G19" s="50">
        <v>1</v>
      </c>
      <c r="H19" s="50">
        <v>1</v>
      </c>
      <c r="I19" s="50">
        <v>2</v>
      </c>
      <c r="J19" s="50">
        <v>0</v>
      </c>
      <c r="K19" s="50">
        <v>0</v>
      </c>
      <c r="L19" s="50">
        <v>0</v>
      </c>
      <c r="M19" s="50">
        <v>40</v>
      </c>
      <c r="N19" s="50">
        <v>0</v>
      </c>
      <c r="O19" s="17">
        <f t="shared" si="0"/>
        <v>33</v>
      </c>
      <c r="P19" s="17">
        <f t="shared" si="1"/>
        <v>73</v>
      </c>
      <c r="R19" s="1" t="s">
        <v>15</v>
      </c>
      <c r="S19" s="17">
        <f t="shared" ref="S19:AF19" si="11">SUM(C46:C49)</f>
        <v>54</v>
      </c>
      <c r="T19" s="17">
        <f t="shared" si="11"/>
        <v>12</v>
      </c>
      <c r="U19" s="17">
        <f t="shared" si="11"/>
        <v>13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151</v>
      </c>
      <c r="AD19" s="17">
        <f t="shared" si="11"/>
        <v>0</v>
      </c>
      <c r="AE19" s="31">
        <f t="shared" si="11"/>
        <v>102</v>
      </c>
      <c r="AF19" s="31">
        <f t="shared" si="11"/>
        <v>253</v>
      </c>
    </row>
    <row r="20" spans="2:32" ht="23.1" customHeight="1" x14ac:dyDescent="0.25">
      <c r="B20" s="45" t="s">
        <v>47</v>
      </c>
      <c r="C20" s="50">
        <v>19</v>
      </c>
      <c r="D20" s="50">
        <v>6</v>
      </c>
      <c r="E20" s="50">
        <v>5</v>
      </c>
      <c r="F20" s="50">
        <v>4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54</v>
      </c>
      <c r="N20" s="50">
        <v>0</v>
      </c>
      <c r="O20" s="17">
        <f t="shared" si="0"/>
        <v>37</v>
      </c>
      <c r="P20" s="17">
        <f t="shared" si="1"/>
        <v>91</v>
      </c>
      <c r="R20" s="1" t="s">
        <v>16</v>
      </c>
      <c r="S20" s="17">
        <f t="shared" ref="S20:AF20" si="12">SUM(C50:C53)</f>
        <v>70</v>
      </c>
      <c r="T20" s="17">
        <f t="shared" si="12"/>
        <v>12</v>
      </c>
      <c r="U20" s="17">
        <f t="shared" si="12"/>
        <v>12</v>
      </c>
      <c r="V20" s="17">
        <f t="shared" si="12"/>
        <v>20</v>
      </c>
      <c r="W20" s="17">
        <f t="shared" si="12"/>
        <v>0</v>
      </c>
      <c r="X20" s="17">
        <f t="shared" si="12"/>
        <v>0</v>
      </c>
      <c r="Y20" s="17">
        <f t="shared" si="12"/>
        <v>14</v>
      </c>
      <c r="Z20" s="17">
        <f t="shared" si="12"/>
        <v>1</v>
      </c>
      <c r="AA20" s="17">
        <f t="shared" si="12"/>
        <v>5</v>
      </c>
      <c r="AB20" s="17">
        <f t="shared" si="12"/>
        <v>1</v>
      </c>
      <c r="AC20" s="17">
        <f t="shared" si="12"/>
        <v>183</v>
      </c>
      <c r="AD20" s="17">
        <f t="shared" si="12"/>
        <v>0</v>
      </c>
      <c r="AE20" s="31">
        <f t="shared" si="12"/>
        <v>135</v>
      </c>
      <c r="AF20" s="31">
        <f t="shared" si="12"/>
        <v>318</v>
      </c>
    </row>
    <row r="21" spans="2:32" ht="23.1" customHeight="1" x14ac:dyDescent="0.25">
      <c r="B21" s="45" t="s">
        <v>48</v>
      </c>
      <c r="C21" s="50">
        <v>13</v>
      </c>
      <c r="D21" s="50">
        <v>4</v>
      </c>
      <c r="E21" s="50">
        <v>2</v>
      </c>
      <c r="F21" s="50">
        <v>3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47</v>
      </c>
      <c r="N21" s="50">
        <v>0</v>
      </c>
      <c r="O21" s="17">
        <f t="shared" si="0"/>
        <v>25</v>
      </c>
      <c r="P21" s="17">
        <f t="shared" si="1"/>
        <v>72</v>
      </c>
      <c r="R21" s="36" t="s">
        <v>20</v>
      </c>
      <c r="S21" s="34">
        <f t="shared" ref="S21:AF21" si="13">SUM(C54:C57)</f>
        <v>103</v>
      </c>
      <c r="T21" s="17">
        <f t="shared" si="13"/>
        <v>17</v>
      </c>
      <c r="U21" s="17">
        <f t="shared" si="13"/>
        <v>16</v>
      </c>
      <c r="V21" s="17">
        <f t="shared" si="13"/>
        <v>18</v>
      </c>
      <c r="W21" s="17">
        <f t="shared" si="13"/>
        <v>1</v>
      </c>
      <c r="X21" s="17">
        <f t="shared" si="13"/>
        <v>0</v>
      </c>
      <c r="Y21" s="17">
        <f t="shared" si="13"/>
        <v>13</v>
      </c>
      <c r="Z21" s="17">
        <f t="shared" si="13"/>
        <v>1</v>
      </c>
      <c r="AA21" s="17">
        <f t="shared" si="13"/>
        <v>3</v>
      </c>
      <c r="AB21" s="17">
        <f t="shared" si="13"/>
        <v>0</v>
      </c>
      <c r="AC21" s="17">
        <f t="shared" si="13"/>
        <v>164</v>
      </c>
      <c r="AD21" s="17">
        <f t="shared" si="13"/>
        <v>0</v>
      </c>
      <c r="AE21" s="31">
        <f t="shared" si="13"/>
        <v>172</v>
      </c>
      <c r="AF21" s="31">
        <f t="shared" si="13"/>
        <v>336</v>
      </c>
    </row>
    <row r="22" spans="2:32" ht="23.1" customHeight="1" x14ac:dyDescent="0.25">
      <c r="B22" s="45" t="s">
        <v>49</v>
      </c>
      <c r="C22" s="50">
        <v>23</v>
      </c>
      <c r="D22" s="50">
        <v>7</v>
      </c>
      <c r="E22" s="50">
        <v>2</v>
      </c>
      <c r="F22" s="50">
        <v>3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60</v>
      </c>
      <c r="N22" s="50">
        <v>0</v>
      </c>
      <c r="O22" s="17">
        <f t="shared" si="0"/>
        <v>39</v>
      </c>
      <c r="P22" s="17">
        <f t="shared" si="1"/>
        <v>99</v>
      </c>
      <c r="R22" s="36" t="s">
        <v>146</v>
      </c>
      <c r="S22" s="34">
        <f>SUM(C58:C61)</f>
        <v>79</v>
      </c>
      <c r="T22" s="34">
        <f t="shared" ref="T22:AF22" si="14">SUM(D58:D61)</f>
        <v>14</v>
      </c>
      <c r="U22" s="34">
        <f t="shared" si="14"/>
        <v>10</v>
      </c>
      <c r="V22" s="34">
        <f t="shared" si="14"/>
        <v>21</v>
      </c>
      <c r="W22" s="34">
        <f t="shared" si="14"/>
        <v>0</v>
      </c>
      <c r="X22" s="34">
        <f t="shared" si="14"/>
        <v>0</v>
      </c>
      <c r="Y22" s="34">
        <f t="shared" si="14"/>
        <v>10</v>
      </c>
      <c r="Z22" s="34">
        <f t="shared" si="14"/>
        <v>1</v>
      </c>
      <c r="AA22" s="34">
        <f t="shared" si="14"/>
        <v>0</v>
      </c>
      <c r="AB22" s="34">
        <f t="shared" si="14"/>
        <v>1</v>
      </c>
      <c r="AC22" s="34">
        <f t="shared" si="14"/>
        <v>219</v>
      </c>
      <c r="AD22" s="34">
        <f t="shared" si="14"/>
        <v>0</v>
      </c>
      <c r="AE22" s="31">
        <f t="shared" si="14"/>
        <v>136</v>
      </c>
      <c r="AF22" s="31">
        <f t="shared" si="14"/>
        <v>355</v>
      </c>
    </row>
    <row r="23" spans="2:32" ht="23.1" customHeight="1" x14ac:dyDescent="0.25">
      <c r="B23" s="45" t="s">
        <v>50</v>
      </c>
      <c r="C23" s="50">
        <v>11</v>
      </c>
      <c r="D23" s="50">
        <v>7</v>
      </c>
      <c r="E23" s="50">
        <v>4</v>
      </c>
      <c r="F23" s="50">
        <v>3</v>
      </c>
      <c r="G23" s="50">
        <v>0</v>
      </c>
      <c r="H23" s="50">
        <v>0</v>
      </c>
      <c r="I23" s="50">
        <v>4</v>
      </c>
      <c r="J23" s="50">
        <v>1</v>
      </c>
      <c r="K23" s="50">
        <v>0</v>
      </c>
      <c r="L23" s="50">
        <v>0</v>
      </c>
      <c r="M23" s="50">
        <v>25</v>
      </c>
      <c r="N23" s="50">
        <v>0</v>
      </c>
      <c r="O23" s="17">
        <f t="shared" si="0"/>
        <v>30</v>
      </c>
      <c r="P23" s="17">
        <f t="shared" si="1"/>
        <v>55</v>
      </c>
      <c r="R23" s="36" t="s">
        <v>147</v>
      </c>
      <c r="S23" s="34">
        <f>SUM(C62:C65)</f>
        <v>91</v>
      </c>
      <c r="T23" s="34">
        <f t="shared" ref="T23:AF23" si="15">SUM(D62:D65)</f>
        <v>8</v>
      </c>
      <c r="U23" s="34">
        <f t="shared" si="15"/>
        <v>16</v>
      </c>
      <c r="V23" s="34">
        <f t="shared" si="15"/>
        <v>15</v>
      </c>
      <c r="W23" s="34">
        <f t="shared" si="15"/>
        <v>0</v>
      </c>
      <c r="X23" s="34">
        <f t="shared" si="15"/>
        <v>0</v>
      </c>
      <c r="Y23" s="34">
        <f t="shared" si="15"/>
        <v>8</v>
      </c>
      <c r="Z23" s="34">
        <f t="shared" si="15"/>
        <v>2</v>
      </c>
      <c r="AA23" s="34">
        <f t="shared" si="15"/>
        <v>3</v>
      </c>
      <c r="AB23" s="34">
        <f t="shared" si="15"/>
        <v>0</v>
      </c>
      <c r="AC23" s="34">
        <f t="shared" si="15"/>
        <v>210</v>
      </c>
      <c r="AD23" s="34">
        <f t="shared" si="15"/>
        <v>0</v>
      </c>
      <c r="AE23" s="31">
        <f t="shared" si="15"/>
        <v>143</v>
      </c>
      <c r="AF23" s="31">
        <f t="shared" si="15"/>
        <v>353</v>
      </c>
    </row>
    <row r="24" spans="2:32" ht="23.1" customHeight="1" x14ac:dyDescent="0.25">
      <c r="B24" s="45" t="s">
        <v>51</v>
      </c>
      <c r="C24" s="50">
        <v>14</v>
      </c>
      <c r="D24" s="50">
        <v>3</v>
      </c>
      <c r="E24" s="50">
        <v>1</v>
      </c>
      <c r="F24" s="50">
        <v>3</v>
      </c>
      <c r="G24" s="50">
        <v>0</v>
      </c>
      <c r="H24" s="50">
        <v>0</v>
      </c>
      <c r="I24" s="50">
        <v>4</v>
      </c>
      <c r="J24" s="50">
        <v>2</v>
      </c>
      <c r="K24" s="50">
        <v>0</v>
      </c>
      <c r="L24" s="50">
        <v>0</v>
      </c>
      <c r="M24" s="50">
        <v>50</v>
      </c>
      <c r="N24" s="50">
        <v>0</v>
      </c>
      <c r="O24" s="17">
        <f t="shared" si="0"/>
        <v>27</v>
      </c>
      <c r="P24" s="17">
        <f t="shared" si="1"/>
        <v>77</v>
      </c>
      <c r="R24" s="36" t="s">
        <v>148</v>
      </c>
      <c r="S24" s="34">
        <f>SUM(C66:C69)</f>
        <v>57</v>
      </c>
      <c r="T24" s="34">
        <f t="shared" ref="T24:AF24" si="16">SUM(D66:D69)</f>
        <v>7</v>
      </c>
      <c r="U24" s="34">
        <f t="shared" si="16"/>
        <v>12</v>
      </c>
      <c r="V24" s="34">
        <f t="shared" si="16"/>
        <v>15</v>
      </c>
      <c r="W24" s="34">
        <f t="shared" si="16"/>
        <v>0</v>
      </c>
      <c r="X24" s="34">
        <f t="shared" si="16"/>
        <v>0</v>
      </c>
      <c r="Y24" s="34">
        <f t="shared" si="16"/>
        <v>10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175</v>
      </c>
      <c r="AD24" s="34">
        <f t="shared" si="16"/>
        <v>0</v>
      </c>
      <c r="AE24" s="31">
        <f t="shared" si="16"/>
        <v>103</v>
      </c>
      <c r="AF24" s="31">
        <f t="shared" si="16"/>
        <v>278</v>
      </c>
    </row>
    <row r="25" spans="2:32" ht="23.1" customHeight="1" x14ac:dyDescent="0.25">
      <c r="B25" s="45" t="s">
        <v>52</v>
      </c>
      <c r="C25" s="50">
        <v>25</v>
      </c>
      <c r="D25" s="50">
        <v>1</v>
      </c>
      <c r="E25" s="50">
        <v>2</v>
      </c>
      <c r="F25" s="50">
        <v>2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59</v>
      </c>
      <c r="N25" s="50">
        <v>0</v>
      </c>
      <c r="O25" s="17">
        <f t="shared" si="0"/>
        <v>33</v>
      </c>
      <c r="P25" s="17">
        <f t="shared" si="1"/>
        <v>92</v>
      </c>
      <c r="R25" s="36" t="s">
        <v>149</v>
      </c>
      <c r="S25" s="34">
        <f>SUM(C70:C73)</f>
        <v>38</v>
      </c>
      <c r="T25" s="34">
        <f t="shared" ref="T25:AF25" si="17">SUM(D70:D73)</f>
        <v>6</v>
      </c>
      <c r="U25" s="34">
        <f t="shared" si="17"/>
        <v>7</v>
      </c>
      <c r="V25" s="34">
        <f t="shared" si="17"/>
        <v>9</v>
      </c>
      <c r="W25" s="34">
        <f t="shared" si="17"/>
        <v>1</v>
      </c>
      <c r="X25" s="34">
        <f t="shared" si="17"/>
        <v>0</v>
      </c>
      <c r="Y25" s="34">
        <f t="shared" si="17"/>
        <v>8</v>
      </c>
      <c r="Z25" s="34">
        <f t="shared" si="17"/>
        <v>0</v>
      </c>
      <c r="AA25" s="34">
        <f t="shared" si="17"/>
        <v>3</v>
      </c>
      <c r="AB25" s="34">
        <f t="shared" si="17"/>
        <v>0</v>
      </c>
      <c r="AC25" s="34">
        <f t="shared" si="17"/>
        <v>122</v>
      </c>
      <c r="AD25" s="34">
        <f t="shared" si="17"/>
        <v>0</v>
      </c>
      <c r="AE25" s="31">
        <f t="shared" si="17"/>
        <v>72</v>
      </c>
      <c r="AF25" s="31">
        <f t="shared" si="17"/>
        <v>194</v>
      </c>
    </row>
    <row r="26" spans="2:32" ht="23.1" customHeight="1" x14ac:dyDescent="0.25">
      <c r="B26" s="45" t="s">
        <v>53</v>
      </c>
      <c r="C26" s="50">
        <v>24</v>
      </c>
      <c r="D26" s="50">
        <v>4</v>
      </c>
      <c r="E26" s="50">
        <v>5</v>
      </c>
      <c r="F26" s="50">
        <v>3</v>
      </c>
      <c r="G26" s="50">
        <v>0</v>
      </c>
      <c r="H26" s="50">
        <v>0</v>
      </c>
      <c r="I26" s="50">
        <v>2</v>
      </c>
      <c r="J26" s="50">
        <v>2</v>
      </c>
      <c r="K26" s="50">
        <v>2</v>
      </c>
      <c r="L26" s="50">
        <v>0</v>
      </c>
      <c r="M26" s="50">
        <v>50</v>
      </c>
      <c r="N26" s="50">
        <v>0</v>
      </c>
      <c r="O26" s="17">
        <f t="shared" si="0"/>
        <v>42</v>
      </c>
      <c r="P26" s="17">
        <f t="shared" si="1"/>
        <v>92</v>
      </c>
      <c r="R26" s="36" t="s">
        <v>150</v>
      </c>
      <c r="S26" s="34">
        <f>SUM(C74:C77)</f>
        <v>29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91</v>
      </c>
      <c r="AD26" s="34">
        <f t="shared" si="18"/>
        <v>0</v>
      </c>
      <c r="AE26" s="31">
        <f t="shared" si="18"/>
        <v>40</v>
      </c>
      <c r="AF26" s="31">
        <f t="shared" si="18"/>
        <v>131</v>
      </c>
    </row>
    <row r="27" spans="2:32" ht="23.1" customHeight="1" x14ac:dyDescent="0.25">
      <c r="B27" s="45" t="s">
        <v>54</v>
      </c>
      <c r="C27" s="50">
        <v>28</v>
      </c>
      <c r="D27" s="50">
        <v>3</v>
      </c>
      <c r="E27" s="50">
        <v>0</v>
      </c>
      <c r="F27" s="50">
        <v>2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36</v>
      </c>
      <c r="N27" s="50">
        <v>0</v>
      </c>
      <c r="O27" s="17">
        <f t="shared" si="0"/>
        <v>35</v>
      </c>
      <c r="P27" s="17">
        <f t="shared" si="1"/>
        <v>71</v>
      </c>
      <c r="R27" s="36" t="s">
        <v>151</v>
      </c>
      <c r="S27" s="34">
        <f>SUM(C78:C81)</f>
        <v>11</v>
      </c>
      <c r="T27" s="34">
        <f t="shared" ref="T27:AF27" si="19">SUM(D78:D81)</f>
        <v>2</v>
      </c>
      <c r="U27" s="34">
        <f t="shared" si="19"/>
        <v>0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30</v>
      </c>
      <c r="AD27" s="34">
        <f t="shared" si="19"/>
        <v>0</v>
      </c>
      <c r="AE27" s="31">
        <f t="shared" si="19"/>
        <v>15</v>
      </c>
      <c r="AF27" s="31">
        <f t="shared" si="19"/>
        <v>45</v>
      </c>
    </row>
    <row r="28" spans="2:32" ht="23.1" customHeight="1" x14ac:dyDescent="0.25">
      <c r="B28" s="45" t="s">
        <v>55</v>
      </c>
      <c r="C28" s="50">
        <v>25</v>
      </c>
      <c r="D28" s="50">
        <v>5</v>
      </c>
      <c r="E28" s="50">
        <v>2</v>
      </c>
      <c r="F28" s="50">
        <v>10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39</v>
      </c>
      <c r="N28" s="50">
        <v>0</v>
      </c>
      <c r="O28" s="17">
        <f t="shared" si="0"/>
        <v>45</v>
      </c>
      <c r="P28" s="17">
        <f t="shared" si="1"/>
        <v>84</v>
      </c>
      <c r="R28" s="36" t="s">
        <v>152</v>
      </c>
      <c r="S28" s="34">
        <f>SUM(C82:C85)</f>
        <v>10</v>
      </c>
      <c r="T28" s="34">
        <f t="shared" ref="T28:AF28" si="20">SUM(D82:D85)</f>
        <v>1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24</v>
      </c>
      <c r="AD28" s="34">
        <f t="shared" si="20"/>
        <v>0</v>
      </c>
      <c r="AE28" s="31">
        <f t="shared" si="20"/>
        <v>15</v>
      </c>
      <c r="AF28" s="31">
        <f t="shared" si="20"/>
        <v>39</v>
      </c>
    </row>
    <row r="29" spans="2:32" ht="23.1" customHeight="1" x14ac:dyDescent="0.25">
      <c r="B29" s="45" t="s">
        <v>56</v>
      </c>
      <c r="C29" s="50">
        <v>26</v>
      </c>
      <c r="D29" s="50">
        <v>2</v>
      </c>
      <c r="E29" s="50">
        <v>3</v>
      </c>
      <c r="F29" s="50">
        <v>6</v>
      </c>
      <c r="G29" s="50">
        <v>0</v>
      </c>
      <c r="H29" s="50">
        <v>0</v>
      </c>
      <c r="I29" s="50">
        <v>4</v>
      </c>
      <c r="J29" s="50">
        <v>2</v>
      </c>
      <c r="K29" s="50">
        <v>0</v>
      </c>
      <c r="L29" s="50">
        <v>0</v>
      </c>
      <c r="M29" s="50">
        <v>54</v>
      </c>
      <c r="N29" s="50">
        <v>0</v>
      </c>
      <c r="O29" s="17">
        <f t="shared" si="0"/>
        <v>43</v>
      </c>
      <c r="P29" s="17">
        <f t="shared" si="1"/>
        <v>97</v>
      </c>
      <c r="R29" s="36" t="s">
        <v>153</v>
      </c>
      <c r="S29" s="34">
        <f>SUM(C86:C89)</f>
        <v>4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14</v>
      </c>
      <c r="AD29" s="34">
        <f t="shared" si="21"/>
        <v>0</v>
      </c>
      <c r="AE29" s="31">
        <f t="shared" si="21"/>
        <v>8</v>
      </c>
      <c r="AF29" s="31">
        <f t="shared" si="21"/>
        <v>22</v>
      </c>
    </row>
    <row r="30" spans="2:32" ht="23.1" customHeight="1" x14ac:dyDescent="0.25">
      <c r="B30" s="45" t="s">
        <v>57</v>
      </c>
      <c r="C30" s="50">
        <v>13</v>
      </c>
      <c r="D30" s="50">
        <v>5</v>
      </c>
      <c r="E30" s="50">
        <v>2</v>
      </c>
      <c r="F30" s="50">
        <v>4</v>
      </c>
      <c r="G30" s="50">
        <v>0</v>
      </c>
      <c r="H30" s="50">
        <v>0</v>
      </c>
      <c r="I30" s="50">
        <v>5</v>
      </c>
      <c r="J30" s="50">
        <v>0</v>
      </c>
      <c r="K30" s="50">
        <v>0</v>
      </c>
      <c r="L30" s="50">
        <v>0</v>
      </c>
      <c r="M30" s="50">
        <v>47</v>
      </c>
      <c r="N30" s="50">
        <v>0</v>
      </c>
      <c r="O30" s="17">
        <f t="shared" si="0"/>
        <v>29</v>
      </c>
      <c r="P30" s="17">
        <f t="shared" si="1"/>
        <v>76</v>
      </c>
      <c r="R30" s="36" t="s">
        <v>154</v>
      </c>
      <c r="S30" s="34">
        <f>SUM(C90:C93)</f>
        <v>3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20</v>
      </c>
      <c r="AD30" s="34">
        <f t="shared" si="22"/>
        <v>0</v>
      </c>
      <c r="AE30" s="31">
        <f t="shared" si="22"/>
        <v>6</v>
      </c>
      <c r="AF30" s="31">
        <f t="shared" si="22"/>
        <v>26</v>
      </c>
    </row>
    <row r="31" spans="2:32" ht="23.1" customHeight="1" x14ac:dyDescent="0.25">
      <c r="B31" s="46" t="s">
        <v>58</v>
      </c>
      <c r="C31" s="50">
        <v>17</v>
      </c>
      <c r="D31" s="50">
        <v>3</v>
      </c>
      <c r="E31" s="50">
        <v>2</v>
      </c>
      <c r="F31" s="50">
        <v>4</v>
      </c>
      <c r="G31" s="50">
        <v>0</v>
      </c>
      <c r="H31" s="50">
        <v>0</v>
      </c>
      <c r="I31" s="50">
        <v>9</v>
      </c>
      <c r="J31" s="50">
        <v>0</v>
      </c>
      <c r="K31" s="50">
        <v>0</v>
      </c>
      <c r="L31" s="50">
        <v>0</v>
      </c>
      <c r="M31" s="50">
        <v>41</v>
      </c>
      <c r="N31" s="50">
        <v>0</v>
      </c>
      <c r="O31" s="17">
        <f t="shared" si="0"/>
        <v>35</v>
      </c>
      <c r="P31" s="17">
        <f t="shared" si="1"/>
        <v>76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17</v>
      </c>
      <c r="AD31" s="34">
        <f t="shared" si="23"/>
        <v>0</v>
      </c>
      <c r="AE31" s="31">
        <f t="shared" si="23"/>
        <v>0</v>
      </c>
      <c r="AF31" s="31">
        <f t="shared" si="23"/>
        <v>17</v>
      </c>
    </row>
    <row r="32" spans="2:32" ht="23.1" customHeight="1" x14ac:dyDescent="0.25">
      <c r="B32" s="46" t="s">
        <v>59</v>
      </c>
      <c r="C32" s="50">
        <v>14</v>
      </c>
      <c r="D32" s="50">
        <v>1</v>
      </c>
      <c r="E32" s="50">
        <v>3</v>
      </c>
      <c r="F32" s="50">
        <v>3</v>
      </c>
      <c r="G32" s="50">
        <v>0</v>
      </c>
      <c r="H32" s="50">
        <v>0</v>
      </c>
      <c r="I32" s="50">
        <v>9</v>
      </c>
      <c r="J32" s="50">
        <v>0</v>
      </c>
      <c r="K32" s="50">
        <v>0</v>
      </c>
      <c r="L32" s="50">
        <v>0</v>
      </c>
      <c r="M32" s="50">
        <v>45</v>
      </c>
      <c r="N32" s="50">
        <v>0</v>
      </c>
      <c r="O32" s="17">
        <f t="shared" si="0"/>
        <v>30</v>
      </c>
      <c r="P32" s="17">
        <f t="shared" si="1"/>
        <v>75</v>
      </c>
      <c r="R32" s="56" t="s">
        <v>156</v>
      </c>
      <c r="S32" s="34">
        <f>SUM(C98:C101)</f>
        <v>2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12</v>
      </c>
      <c r="AD32" s="34">
        <f t="shared" si="24"/>
        <v>0</v>
      </c>
      <c r="AE32" s="31">
        <f t="shared" si="24"/>
        <v>5</v>
      </c>
      <c r="AF32" s="31">
        <f t="shared" si="24"/>
        <v>17</v>
      </c>
    </row>
    <row r="33" spans="2:32" ht="23.1" customHeight="1" x14ac:dyDescent="0.25">
      <c r="B33" s="45" t="s">
        <v>60</v>
      </c>
      <c r="C33" s="50">
        <v>15</v>
      </c>
      <c r="D33" s="50">
        <v>4</v>
      </c>
      <c r="E33" s="50">
        <v>1</v>
      </c>
      <c r="F33" s="50">
        <v>2</v>
      </c>
      <c r="G33" s="50">
        <v>1</v>
      </c>
      <c r="H33" s="50">
        <v>0</v>
      </c>
      <c r="I33" s="50">
        <v>1</v>
      </c>
      <c r="J33" s="50">
        <v>0</v>
      </c>
      <c r="K33" s="50">
        <v>1</v>
      </c>
      <c r="L33" s="50">
        <v>0</v>
      </c>
      <c r="M33" s="50">
        <v>43</v>
      </c>
      <c r="N33" s="50">
        <v>0</v>
      </c>
      <c r="O33" s="17">
        <f t="shared" si="0"/>
        <v>25</v>
      </c>
      <c r="P33" s="17">
        <f t="shared" si="1"/>
        <v>68</v>
      </c>
      <c r="R33" s="56" t="s">
        <v>157</v>
      </c>
      <c r="S33" s="34">
        <f>SUM(C102:C105)</f>
        <v>28</v>
      </c>
      <c r="T33" s="34">
        <f t="shared" ref="T33:AF33" si="25">SUM(D102:D105)</f>
        <v>0</v>
      </c>
      <c r="U33" s="34">
        <f t="shared" si="25"/>
        <v>3</v>
      </c>
      <c r="V33" s="34">
        <f t="shared" si="25"/>
        <v>11</v>
      </c>
      <c r="W33" s="34">
        <f t="shared" si="25"/>
        <v>0</v>
      </c>
      <c r="X33" s="34">
        <f t="shared" si="25"/>
        <v>0</v>
      </c>
      <c r="Y33" s="34">
        <f t="shared" si="25"/>
        <v>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46</v>
      </c>
      <c r="AD33" s="34">
        <f t="shared" si="25"/>
        <v>0</v>
      </c>
      <c r="AE33" s="31">
        <f t="shared" si="25"/>
        <v>47</v>
      </c>
      <c r="AF33" s="31">
        <f t="shared" si="25"/>
        <v>93</v>
      </c>
    </row>
    <row r="34" spans="2:32" ht="23.1" customHeight="1" x14ac:dyDescent="0.25">
      <c r="B34" s="46" t="s">
        <v>61</v>
      </c>
      <c r="C34" s="50">
        <v>10</v>
      </c>
      <c r="D34" s="50">
        <v>2</v>
      </c>
      <c r="E34" s="50">
        <v>3</v>
      </c>
      <c r="F34" s="50">
        <v>2</v>
      </c>
      <c r="G34" s="50">
        <v>0</v>
      </c>
      <c r="H34" s="50">
        <v>0</v>
      </c>
      <c r="I34" s="50">
        <v>6</v>
      </c>
      <c r="J34" s="50">
        <v>1</v>
      </c>
      <c r="K34" s="50">
        <v>1</v>
      </c>
      <c r="L34" s="50">
        <v>0</v>
      </c>
      <c r="M34" s="50">
        <v>41</v>
      </c>
      <c r="N34" s="50">
        <v>0</v>
      </c>
      <c r="O34" s="17">
        <f t="shared" si="0"/>
        <v>25</v>
      </c>
      <c r="P34" s="17">
        <f t="shared" si="1"/>
        <v>66</v>
      </c>
      <c r="R34" s="52" t="s">
        <v>90</v>
      </c>
      <c r="S34" s="53">
        <f t="shared" ref="S34:AF34" si="26">MAX(S10:S12)</f>
        <v>87</v>
      </c>
      <c r="T34" s="53">
        <f t="shared" si="26"/>
        <v>20</v>
      </c>
      <c r="U34" s="53">
        <f t="shared" si="26"/>
        <v>13</v>
      </c>
      <c r="V34" s="53">
        <f t="shared" si="26"/>
        <v>15</v>
      </c>
      <c r="W34" s="53">
        <f t="shared" si="26"/>
        <v>4</v>
      </c>
      <c r="X34" s="53">
        <f t="shared" si="26"/>
        <v>1</v>
      </c>
      <c r="Y34" s="53">
        <f t="shared" si="26"/>
        <v>9</v>
      </c>
      <c r="Z34" s="53">
        <f t="shared" si="26"/>
        <v>1</v>
      </c>
      <c r="AA34" s="53">
        <f t="shared" si="26"/>
        <v>3</v>
      </c>
      <c r="AB34" s="53">
        <f t="shared" si="26"/>
        <v>0</v>
      </c>
      <c r="AC34" s="53">
        <f t="shared" si="26"/>
        <v>232</v>
      </c>
      <c r="AD34" s="53">
        <f t="shared" si="26"/>
        <v>0</v>
      </c>
      <c r="AE34" s="40">
        <f t="shared" si="26"/>
        <v>133</v>
      </c>
      <c r="AF34" s="40">
        <f t="shared" si="26"/>
        <v>365</v>
      </c>
    </row>
    <row r="35" spans="2:32" ht="23.1" customHeight="1" x14ac:dyDescent="0.25">
      <c r="B35" s="46" t="s">
        <v>62</v>
      </c>
      <c r="C35" s="50">
        <v>12</v>
      </c>
      <c r="D35" s="50">
        <v>2</v>
      </c>
      <c r="E35" s="50">
        <v>2</v>
      </c>
      <c r="F35" s="50">
        <v>3</v>
      </c>
      <c r="G35" s="50">
        <v>0</v>
      </c>
      <c r="H35" s="50">
        <v>0</v>
      </c>
      <c r="I35" s="50">
        <v>1</v>
      </c>
      <c r="J35" s="50">
        <v>1</v>
      </c>
      <c r="K35" s="50">
        <v>1</v>
      </c>
      <c r="L35" s="50">
        <v>0</v>
      </c>
      <c r="M35" s="50">
        <v>45</v>
      </c>
      <c r="N35" s="50">
        <v>0</v>
      </c>
      <c r="O35" s="17">
        <f t="shared" si="0"/>
        <v>22</v>
      </c>
      <c r="P35" s="17">
        <f t="shared" si="1"/>
        <v>67</v>
      </c>
      <c r="R35" s="52" t="s">
        <v>91</v>
      </c>
      <c r="S35" s="53">
        <f t="shared" ref="S35:AF35" si="27">MAX(S13:S18)</f>
        <v>103</v>
      </c>
      <c r="T35" s="53">
        <f t="shared" si="27"/>
        <v>18</v>
      </c>
      <c r="U35" s="53">
        <f t="shared" si="27"/>
        <v>18</v>
      </c>
      <c r="V35" s="53">
        <f t="shared" si="27"/>
        <v>21</v>
      </c>
      <c r="W35" s="53">
        <f t="shared" si="27"/>
        <v>1</v>
      </c>
      <c r="X35" s="53">
        <f t="shared" si="27"/>
        <v>0</v>
      </c>
      <c r="Y35" s="53">
        <f t="shared" si="27"/>
        <v>24</v>
      </c>
      <c r="Z35" s="53">
        <f t="shared" si="27"/>
        <v>4</v>
      </c>
      <c r="AA35" s="53">
        <f t="shared" si="27"/>
        <v>3</v>
      </c>
      <c r="AB35" s="53">
        <f t="shared" si="27"/>
        <v>0</v>
      </c>
      <c r="AC35" s="53">
        <f t="shared" si="27"/>
        <v>194</v>
      </c>
      <c r="AD35" s="53">
        <f t="shared" si="27"/>
        <v>0</v>
      </c>
      <c r="AE35" s="40">
        <f t="shared" si="27"/>
        <v>165</v>
      </c>
      <c r="AF35" s="40">
        <f t="shared" si="27"/>
        <v>344</v>
      </c>
    </row>
    <row r="36" spans="2:32" ht="23.1" customHeight="1" x14ac:dyDescent="0.25">
      <c r="B36" s="46" t="s">
        <v>63</v>
      </c>
      <c r="C36" s="50">
        <v>16</v>
      </c>
      <c r="D36" s="50">
        <v>1</v>
      </c>
      <c r="E36" s="50">
        <v>3</v>
      </c>
      <c r="F36" s="50">
        <v>3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46</v>
      </c>
      <c r="N36" s="50">
        <v>0</v>
      </c>
      <c r="O36" s="17">
        <f t="shared" si="0"/>
        <v>25</v>
      </c>
      <c r="P36" s="17">
        <f t="shared" si="1"/>
        <v>71</v>
      </c>
      <c r="R36" s="52" t="s">
        <v>92</v>
      </c>
      <c r="S36" s="53">
        <f t="shared" ref="S36:AF36" si="28">MAX(S19:S21)</f>
        <v>103</v>
      </c>
      <c r="T36" s="53">
        <f t="shared" si="28"/>
        <v>17</v>
      </c>
      <c r="U36" s="53">
        <f t="shared" si="28"/>
        <v>16</v>
      </c>
      <c r="V36" s="53">
        <f t="shared" si="28"/>
        <v>20</v>
      </c>
      <c r="W36" s="53">
        <f t="shared" si="28"/>
        <v>1</v>
      </c>
      <c r="X36" s="53">
        <f t="shared" si="28"/>
        <v>0</v>
      </c>
      <c r="Y36" s="53">
        <f t="shared" si="28"/>
        <v>14</v>
      </c>
      <c r="Z36" s="53">
        <f t="shared" si="28"/>
        <v>2</v>
      </c>
      <c r="AA36" s="53">
        <f t="shared" si="28"/>
        <v>5</v>
      </c>
      <c r="AB36" s="53">
        <f t="shared" si="28"/>
        <v>1</v>
      </c>
      <c r="AC36" s="53">
        <f t="shared" si="28"/>
        <v>183</v>
      </c>
      <c r="AD36" s="53">
        <f t="shared" si="28"/>
        <v>0</v>
      </c>
      <c r="AE36" s="40">
        <f t="shared" si="28"/>
        <v>172</v>
      </c>
      <c r="AF36" s="40">
        <f t="shared" si="28"/>
        <v>336</v>
      </c>
    </row>
    <row r="37" spans="2:32" ht="23.1" customHeight="1" x14ac:dyDescent="0.25">
      <c r="B37" s="45" t="s">
        <v>64</v>
      </c>
      <c r="C37" s="50">
        <v>14</v>
      </c>
      <c r="D37" s="50">
        <v>5</v>
      </c>
      <c r="E37" s="50">
        <v>3</v>
      </c>
      <c r="F37" s="50">
        <v>1</v>
      </c>
      <c r="G37" s="50">
        <v>0</v>
      </c>
      <c r="H37" s="50">
        <v>0</v>
      </c>
      <c r="I37" s="50">
        <v>6</v>
      </c>
      <c r="J37" s="50">
        <v>0</v>
      </c>
      <c r="K37" s="50">
        <v>0</v>
      </c>
      <c r="L37" s="50">
        <v>0</v>
      </c>
      <c r="M37" s="50">
        <v>61</v>
      </c>
      <c r="N37" s="50">
        <v>0</v>
      </c>
      <c r="O37" s="17">
        <f t="shared" si="0"/>
        <v>29</v>
      </c>
      <c r="P37" s="17">
        <f t="shared" si="1"/>
        <v>90</v>
      </c>
      <c r="R37" s="37" t="s">
        <v>85</v>
      </c>
      <c r="S37" s="35">
        <f t="shared" ref="S37:AF37" si="29">SUM(S10:S12)</f>
        <v>211</v>
      </c>
      <c r="T37" s="16">
        <f t="shared" si="29"/>
        <v>35</v>
      </c>
      <c r="U37" s="16">
        <f t="shared" si="29"/>
        <v>30</v>
      </c>
      <c r="V37" s="16">
        <f t="shared" si="29"/>
        <v>36</v>
      </c>
      <c r="W37" s="16">
        <f t="shared" si="29"/>
        <v>6</v>
      </c>
      <c r="X37" s="16">
        <f t="shared" si="29"/>
        <v>1</v>
      </c>
      <c r="Y37" s="16">
        <f t="shared" si="29"/>
        <v>19</v>
      </c>
      <c r="Z37" s="16">
        <f t="shared" si="29"/>
        <v>3</v>
      </c>
      <c r="AA37" s="16">
        <f t="shared" si="29"/>
        <v>3</v>
      </c>
      <c r="AB37" s="16">
        <f t="shared" si="29"/>
        <v>0</v>
      </c>
      <c r="AC37" s="16">
        <f t="shared" si="29"/>
        <v>589</v>
      </c>
      <c r="AD37" s="16">
        <f t="shared" si="29"/>
        <v>0</v>
      </c>
      <c r="AE37" s="32">
        <f t="shared" si="29"/>
        <v>344</v>
      </c>
      <c r="AF37" s="32">
        <f t="shared" si="29"/>
        <v>933</v>
      </c>
    </row>
    <row r="38" spans="2:32" ht="23.1" customHeight="1" x14ac:dyDescent="0.25">
      <c r="B38" s="46" t="s">
        <v>65</v>
      </c>
      <c r="C38" s="50">
        <v>14</v>
      </c>
      <c r="D38" s="50">
        <v>2</v>
      </c>
      <c r="E38" s="50">
        <v>5</v>
      </c>
      <c r="F38" s="50">
        <v>1</v>
      </c>
      <c r="G38" s="50">
        <v>0</v>
      </c>
      <c r="H38" s="50">
        <v>0</v>
      </c>
      <c r="I38" s="50">
        <v>5</v>
      </c>
      <c r="J38" s="50">
        <v>0</v>
      </c>
      <c r="K38" s="50">
        <v>0</v>
      </c>
      <c r="L38" s="50">
        <v>0</v>
      </c>
      <c r="M38" s="50">
        <v>47</v>
      </c>
      <c r="N38" s="50">
        <v>0</v>
      </c>
      <c r="O38" s="17">
        <f t="shared" si="0"/>
        <v>27</v>
      </c>
      <c r="P38" s="17">
        <f t="shared" si="1"/>
        <v>74</v>
      </c>
      <c r="R38" s="28" t="s">
        <v>86</v>
      </c>
      <c r="S38" s="16">
        <f t="shared" ref="S38:AF38" si="30">SUM(S13:S18)</f>
        <v>396</v>
      </c>
      <c r="T38" s="16">
        <f t="shared" si="30"/>
        <v>76</v>
      </c>
      <c r="U38" s="16">
        <f t="shared" si="30"/>
        <v>70</v>
      </c>
      <c r="V38" s="16">
        <f t="shared" si="30"/>
        <v>65</v>
      </c>
      <c r="W38" s="16">
        <f t="shared" si="30"/>
        <v>1</v>
      </c>
      <c r="X38" s="16">
        <f t="shared" si="30"/>
        <v>0</v>
      </c>
      <c r="Y38" s="16">
        <f t="shared" si="30"/>
        <v>93</v>
      </c>
      <c r="Z38" s="16">
        <f t="shared" si="30"/>
        <v>11</v>
      </c>
      <c r="AA38" s="16">
        <f t="shared" si="30"/>
        <v>7</v>
      </c>
      <c r="AB38" s="16">
        <f t="shared" si="30"/>
        <v>0</v>
      </c>
      <c r="AC38" s="16">
        <f t="shared" si="30"/>
        <v>1071</v>
      </c>
      <c r="AD38" s="16">
        <f t="shared" si="30"/>
        <v>0</v>
      </c>
      <c r="AE38" s="32">
        <f t="shared" si="30"/>
        <v>719</v>
      </c>
      <c r="AF38" s="32">
        <f t="shared" si="30"/>
        <v>1790</v>
      </c>
    </row>
    <row r="39" spans="2:32" ht="23.1" customHeight="1" x14ac:dyDescent="0.25">
      <c r="B39" s="46" t="s">
        <v>66</v>
      </c>
      <c r="C39" s="50">
        <v>14</v>
      </c>
      <c r="D39" s="50">
        <v>1</v>
      </c>
      <c r="E39" s="50">
        <v>5</v>
      </c>
      <c r="F39" s="50">
        <v>1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35</v>
      </c>
      <c r="N39" s="50">
        <v>0</v>
      </c>
      <c r="O39" s="17">
        <f t="shared" si="0"/>
        <v>25</v>
      </c>
      <c r="P39" s="17">
        <f t="shared" si="1"/>
        <v>60</v>
      </c>
      <c r="R39" s="29" t="s">
        <v>87</v>
      </c>
      <c r="S39" s="16">
        <f t="shared" ref="S39:AF39" si="31">SUM(S19:S21)</f>
        <v>227</v>
      </c>
      <c r="T39" s="16">
        <f t="shared" si="31"/>
        <v>41</v>
      </c>
      <c r="U39" s="16">
        <f t="shared" si="31"/>
        <v>41</v>
      </c>
      <c r="V39" s="16">
        <f t="shared" si="31"/>
        <v>48</v>
      </c>
      <c r="W39" s="16">
        <f t="shared" si="31"/>
        <v>1</v>
      </c>
      <c r="X39" s="16">
        <f t="shared" si="31"/>
        <v>0</v>
      </c>
      <c r="Y39" s="16">
        <f t="shared" si="31"/>
        <v>37</v>
      </c>
      <c r="Z39" s="16">
        <f t="shared" si="31"/>
        <v>4</v>
      </c>
      <c r="AA39" s="16">
        <f t="shared" si="31"/>
        <v>9</v>
      </c>
      <c r="AB39" s="16">
        <f t="shared" si="31"/>
        <v>1</v>
      </c>
      <c r="AC39" s="16">
        <f t="shared" si="31"/>
        <v>498</v>
      </c>
      <c r="AD39" s="16">
        <f t="shared" si="31"/>
        <v>0</v>
      </c>
      <c r="AE39" s="32">
        <f t="shared" si="31"/>
        <v>409</v>
      </c>
      <c r="AF39" s="32">
        <f t="shared" si="31"/>
        <v>907</v>
      </c>
    </row>
    <row r="40" spans="2:32" ht="23.1" customHeight="1" x14ac:dyDescent="0.25">
      <c r="B40" s="46" t="s">
        <v>67</v>
      </c>
      <c r="C40" s="50">
        <v>11</v>
      </c>
      <c r="D40" s="50">
        <v>3</v>
      </c>
      <c r="E40" s="50">
        <v>4</v>
      </c>
      <c r="F40" s="50">
        <v>2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39</v>
      </c>
      <c r="N40" s="50">
        <v>0</v>
      </c>
      <c r="O40" s="17">
        <f t="shared" si="0"/>
        <v>24</v>
      </c>
      <c r="P40" s="17">
        <f t="shared" si="1"/>
        <v>63</v>
      </c>
      <c r="R40" s="5" t="s">
        <v>17</v>
      </c>
      <c r="S40" s="16">
        <f t="shared" ref="S40:AF40" si="32">SUM(S10:S21)</f>
        <v>834</v>
      </c>
      <c r="T40" s="16">
        <f t="shared" si="32"/>
        <v>152</v>
      </c>
      <c r="U40" s="16">
        <f t="shared" si="32"/>
        <v>141</v>
      </c>
      <c r="V40" s="16">
        <f t="shared" si="32"/>
        <v>149</v>
      </c>
      <c r="W40" s="16">
        <f t="shared" si="32"/>
        <v>8</v>
      </c>
      <c r="X40" s="16">
        <f t="shared" si="32"/>
        <v>1</v>
      </c>
      <c r="Y40" s="16">
        <f t="shared" si="32"/>
        <v>149</v>
      </c>
      <c r="Z40" s="16">
        <f t="shared" si="32"/>
        <v>18</v>
      </c>
      <c r="AA40" s="16">
        <f t="shared" si="32"/>
        <v>19</v>
      </c>
      <c r="AB40" s="16">
        <f t="shared" si="32"/>
        <v>1</v>
      </c>
      <c r="AC40" s="16">
        <f t="shared" si="32"/>
        <v>2158</v>
      </c>
      <c r="AD40" s="16">
        <f t="shared" si="32"/>
        <v>0</v>
      </c>
      <c r="AE40" s="32">
        <f t="shared" si="32"/>
        <v>1472</v>
      </c>
      <c r="AF40" s="32">
        <f t="shared" si="32"/>
        <v>3630</v>
      </c>
    </row>
    <row r="41" spans="2:32" ht="23.1" customHeight="1" x14ac:dyDescent="0.25">
      <c r="B41" s="45" t="s">
        <v>68</v>
      </c>
      <c r="C41" s="50">
        <v>12</v>
      </c>
      <c r="D41" s="50">
        <v>4</v>
      </c>
      <c r="E41" s="50">
        <v>4</v>
      </c>
      <c r="F41" s="50">
        <v>1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47</v>
      </c>
      <c r="N41" s="50">
        <v>0</v>
      </c>
      <c r="O41" s="17">
        <f t="shared" si="0"/>
        <v>26</v>
      </c>
      <c r="P41" s="17">
        <f t="shared" si="1"/>
        <v>73</v>
      </c>
      <c r="R41" s="5" t="s">
        <v>159</v>
      </c>
      <c r="S41" s="16">
        <f>SUM(S10:S33)</f>
        <v>1186</v>
      </c>
      <c r="T41" s="16">
        <f t="shared" ref="T41:AF41" si="33">SUM(T10:T33)</f>
        <v>193</v>
      </c>
      <c r="U41" s="16">
        <f t="shared" si="33"/>
        <v>194</v>
      </c>
      <c r="V41" s="16">
        <f t="shared" si="33"/>
        <v>229</v>
      </c>
      <c r="W41" s="16">
        <f t="shared" si="33"/>
        <v>9</v>
      </c>
      <c r="X41" s="16">
        <f t="shared" si="33"/>
        <v>1</v>
      </c>
      <c r="Y41" s="16">
        <f t="shared" si="33"/>
        <v>200</v>
      </c>
      <c r="Z41" s="16">
        <f t="shared" si="33"/>
        <v>23</v>
      </c>
      <c r="AA41" s="16">
        <f t="shared" si="33"/>
        <v>25</v>
      </c>
      <c r="AB41" s="16">
        <f t="shared" si="33"/>
        <v>2</v>
      </c>
      <c r="AC41" s="16">
        <f t="shared" si="33"/>
        <v>3138</v>
      </c>
      <c r="AD41" s="16">
        <f t="shared" si="33"/>
        <v>0</v>
      </c>
      <c r="AE41" s="32">
        <f t="shared" si="33"/>
        <v>2062</v>
      </c>
      <c r="AF41" s="32">
        <f t="shared" si="33"/>
        <v>5200</v>
      </c>
    </row>
    <row r="42" spans="2:32" ht="23.1" customHeight="1" x14ac:dyDescent="0.25">
      <c r="B42" s="46" t="s">
        <v>69</v>
      </c>
      <c r="C42" s="50">
        <v>17</v>
      </c>
      <c r="D42" s="50">
        <v>1</v>
      </c>
      <c r="E42" s="50">
        <v>2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37</v>
      </c>
      <c r="N42" s="50">
        <v>0</v>
      </c>
      <c r="O42" s="17">
        <f t="shared" si="0"/>
        <v>23</v>
      </c>
      <c r="P42" s="17">
        <f t="shared" si="1"/>
        <v>60</v>
      </c>
      <c r="R42" s="5" t="s">
        <v>160</v>
      </c>
      <c r="S42" s="48">
        <f>S41/S40</f>
        <v>1.4220623501199041</v>
      </c>
      <c r="T42" s="48">
        <f t="shared" ref="T42:AF42" si="34">T41/T40</f>
        <v>1.2697368421052631</v>
      </c>
      <c r="U42" s="48">
        <f t="shared" si="34"/>
        <v>1.375886524822695</v>
      </c>
      <c r="V42" s="48">
        <f t="shared" si="34"/>
        <v>1.5369127516778522</v>
      </c>
      <c r="W42" s="48">
        <f t="shared" si="34"/>
        <v>1.125</v>
      </c>
      <c r="X42" s="48">
        <f t="shared" si="34"/>
        <v>1</v>
      </c>
      <c r="Y42" s="48">
        <f t="shared" si="34"/>
        <v>1.3422818791946309</v>
      </c>
      <c r="Z42" s="48">
        <f t="shared" si="34"/>
        <v>1.2777777777777777</v>
      </c>
      <c r="AA42" s="48">
        <f t="shared" si="34"/>
        <v>1.3157894736842106</v>
      </c>
      <c r="AB42" s="48">
        <f t="shared" si="34"/>
        <v>2</v>
      </c>
      <c r="AC42" s="48">
        <f t="shared" si="34"/>
        <v>1.454124189063948</v>
      </c>
      <c r="AD42" s="48" t="e">
        <f t="shared" si="34"/>
        <v>#DIV/0!</v>
      </c>
      <c r="AE42" s="48">
        <f t="shared" si="34"/>
        <v>1.4008152173913044</v>
      </c>
      <c r="AF42" s="48">
        <f t="shared" si="34"/>
        <v>1.4325068870523416</v>
      </c>
    </row>
    <row r="43" spans="2:32" ht="23.1" customHeight="1" x14ac:dyDescent="0.25">
      <c r="B43" s="45" t="s">
        <v>70</v>
      </c>
      <c r="C43" s="50">
        <v>14</v>
      </c>
      <c r="D43" s="50">
        <v>2</v>
      </c>
      <c r="E43" s="50">
        <v>8</v>
      </c>
      <c r="F43" s="50">
        <v>2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41</v>
      </c>
      <c r="N43" s="50">
        <v>0</v>
      </c>
      <c r="O43" s="17">
        <f t="shared" si="0"/>
        <v>27</v>
      </c>
      <c r="P43" s="17">
        <f t="shared" si="1"/>
        <v>68</v>
      </c>
      <c r="R43"/>
      <c r="S43" s="19"/>
      <c r="T43" s="19"/>
    </row>
    <row r="44" spans="2:32" ht="23.1" customHeight="1" x14ac:dyDescent="0.25">
      <c r="B44" s="47" t="s">
        <v>71</v>
      </c>
      <c r="C44" s="50">
        <v>12</v>
      </c>
      <c r="D44" s="50">
        <v>4</v>
      </c>
      <c r="E44" s="50">
        <v>2</v>
      </c>
      <c r="F44" s="50">
        <v>1</v>
      </c>
      <c r="G44" s="50">
        <v>0</v>
      </c>
      <c r="H44" s="50">
        <v>0</v>
      </c>
      <c r="I44" s="50">
        <v>5</v>
      </c>
      <c r="J44" s="50">
        <v>0</v>
      </c>
      <c r="K44" s="50">
        <v>0</v>
      </c>
      <c r="L44" s="50">
        <v>0</v>
      </c>
      <c r="M44" s="50">
        <v>54</v>
      </c>
      <c r="N44" s="50">
        <v>0</v>
      </c>
      <c r="O44" s="17">
        <f t="shared" si="0"/>
        <v>24</v>
      </c>
      <c r="P44" s="17">
        <f t="shared" si="1"/>
        <v>78</v>
      </c>
      <c r="R44"/>
      <c r="S44" s="19"/>
      <c r="T44" s="19"/>
    </row>
    <row r="45" spans="2:32" ht="23.1" customHeight="1" x14ac:dyDescent="0.25">
      <c r="B45" s="45" t="s">
        <v>72</v>
      </c>
      <c r="C45" s="50">
        <v>15</v>
      </c>
      <c r="D45" s="50">
        <v>4</v>
      </c>
      <c r="E45" s="50">
        <v>2</v>
      </c>
      <c r="F45" s="50">
        <v>1</v>
      </c>
      <c r="G45" s="50">
        <v>0</v>
      </c>
      <c r="H45" s="50">
        <v>0</v>
      </c>
      <c r="I45" s="50">
        <v>6</v>
      </c>
      <c r="J45" s="50">
        <v>0</v>
      </c>
      <c r="K45" s="50">
        <v>1</v>
      </c>
      <c r="L45" s="50">
        <v>0</v>
      </c>
      <c r="M45" s="50">
        <v>29</v>
      </c>
      <c r="N45" s="50">
        <v>0</v>
      </c>
      <c r="O45" s="17">
        <f t="shared" si="0"/>
        <v>29</v>
      </c>
      <c r="P45" s="17">
        <f t="shared" si="1"/>
        <v>58</v>
      </c>
      <c r="R45"/>
      <c r="S45" s="19"/>
      <c r="T45" s="19"/>
    </row>
    <row r="46" spans="2:32" ht="23.1" customHeight="1" x14ac:dyDescent="0.25">
      <c r="B46" s="46" t="s">
        <v>73</v>
      </c>
      <c r="C46" s="50">
        <v>11</v>
      </c>
      <c r="D46" s="50">
        <v>3</v>
      </c>
      <c r="E46" s="50">
        <v>3</v>
      </c>
      <c r="F46" s="50">
        <v>3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44</v>
      </c>
      <c r="N46" s="50">
        <v>0</v>
      </c>
      <c r="O46" s="17">
        <f t="shared" si="0"/>
        <v>22</v>
      </c>
      <c r="P46" s="17">
        <f t="shared" si="1"/>
        <v>66</v>
      </c>
      <c r="R46" s="19"/>
      <c r="S46" s="19"/>
      <c r="T46"/>
    </row>
    <row r="47" spans="2:32" ht="23.1" customHeight="1" x14ac:dyDescent="0.25">
      <c r="B47" s="46" t="s">
        <v>74</v>
      </c>
      <c r="C47" s="50">
        <v>17</v>
      </c>
      <c r="D47" s="50">
        <v>4</v>
      </c>
      <c r="E47" s="50">
        <v>0</v>
      </c>
      <c r="F47" s="50">
        <v>2</v>
      </c>
      <c r="G47" s="50">
        <v>0</v>
      </c>
      <c r="H47" s="50">
        <v>0</v>
      </c>
      <c r="I47" s="50">
        <v>4</v>
      </c>
      <c r="J47" s="50">
        <v>1</v>
      </c>
      <c r="K47" s="50">
        <v>1</v>
      </c>
      <c r="L47" s="50">
        <v>0</v>
      </c>
      <c r="M47" s="50">
        <v>41</v>
      </c>
      <c r="N47" s="50">
        <v>0</v>
      </c>
      <c r="O47" s="17">
        <f t="shared" si="0"/>
        <v>29</v>
      </c>
      <c r="P47" s="17">
        <f t="shared" si="1"/>
        <v>70</v>
      </c>
      <c r="R47" s="19"/>
      <c r="S47" s="19"/>
      <c r="T47"/>
    </row>
    <row r="48" spans="2:32" ht="23.1" customHeight="1" x14ac:dyDescent="0.25">
      <c r="B48" s="46" t="s">
        <v>75</v>
      </c>
      <c r="C48" s="50">
        <v>11</v>
      </c>
      <c r="D48" s="50">
        <v>3</v>
      </c>
      <c r="E48" s="50">
        <v>7</v>
      </c>
      <c r="F48" s="50">
        <v>3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33</v>
      </c>
      <c r="N48" s="50">
        <v>0</v>
      </c>
      <c r="O48" s="17">
        <f t="shared" si="0"/>
        <v>26</v>
      </c>
      <c r="P48" s="17">
        <f t="shared" si="1"/>
        <v>59</v>
      </c>
      <c r="R48" s="19"/>
      <c r="S48" s="19"/>
      <c r="T48"/>
    </row>
    <row r="49" spans="2:20" ht="23.1" customHeight="1" x14ac:dyDescent="0.25">
      <c r="B49" s="45" t="s">
        <v>76</v>
      </c>
      <c r="C49" s="50">
        <v>15</v>
      </c>
      <c r="D49" s="50">
        <v>2</v>
      </c>
      <c r="E49" s="50">
        <v>3</v>
      </c>
      <c r="F49" s="50">
        <v>2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33</v>
      </c>
      <c r="N49" s="50">
        <v>0</v>
      </c>
      <c r="O49" s="17">
        <f t="shared" si="0"/>
        <v>25</v>
      </c>
      <c r="P49" s="17">
        <f t="shared" si="1"/>
        <v>58</v>
      </c>
      <c r="R49" s="19"/>
      <c r="S49" s="19"/>
      <c r="T49"/>
    </row>
    <row r="50" spans="2:20" ht="23.1" customHeight="1" x14ac:dyDescent="0.25">
      <c r="B50" s="46" t="s">
        <v>77</v>
      </c>
      <c r="C50" s="50">
        <v>16</v>
      </c>
      <c r="D50" s="50">
        <v>1</v>
      </c>
      <c r="E50" s="50">
        <v>2</v>
      </c>
      <c r="F50" s="50">
        <v>1</v>
      </c>
      <c r="G50" s="50">
        <v>0</v>
      </c>
      <c r="H50" s="50">
        <v>0</v>
      </c>
      <c r="I50" s="50">
        <v>3</v>
      </c>
      <c r="J50" s="50">
        <v>0</v>
      </c>
      <c r="K50" s="50">
        <v>1</v>
      </c>
      <c r="L50" s="50">
        <v>1</v>
      </c>
      <c r="M50" s="50">
        <v>50</v>
      </c>
      <c r="N50" s="50">
        <v>0</v>
      </c>
      <c r="O50" s="17">
        <f t="shared" si="0"/>
        <v>25</v>
      </c>
      <c r="P50" s="17">
        <f t="shared" si="1"/>
        <v>75</v>
      </c>
      <c r="R50" s="19"/>
      <c r="S50" s="19"/>
      <c r="T50"/>
    </row>
    <row r="51" spans="2:20" ht="23.1" customHeight="1" x14ac:dyDescent="0.25">
      <c r="B51" s="46" t="s">
        <v>78</v>
      </c>
      <c r="C51" s="50">
        <v>21</v>
      </c>
      <c r="D51" s="50">
        <v>2</v>
      </c>
      <c r="E51" s="50">
        <v>5</v>
      </c>
      <c r="F51" s="50">
        <v>7</v>
      </c>
      <c r="G51" s="50">
        <v>0</v>
      </c>
      <c r="H51" s="50">
        <v>0</v>
      </c>
      <c r="I51" s="50">
        <v>5</v>
      </c>
      <c r="J51" s="50">
        <v>0</v>
      </c>
      <c r="K51" s="50">
        <v>1</v>
      </c>
      <c r="L51" s="50">
        <v>0</v>
      </c>
      <c r="M51" s="50">
        <v>52</v>
      </c>
      <c r="N51" s="50">
        <v>0</v>
      </c>
      <c r="O51" s="17">
        <f t="shared" si="0"/>
        <v>41</v>
      </c>
      <c r="P51" s="17">
        <f t="shared" si="1"/>
        <v>93</v>
      </c>
      <c r="R51" s="19"/>
      <c r="S51" s="19"/>
      <c r="T51"/>
    </row>
    <row r="52" spans="2:20" ht="23.1" customHeight="1" x14ac:dyDescent="0.25">
      <c r="B52" s="46" t="s">
        <v>79</v>
      </c>
      <c r="C52" s="50">
        <v>17</v>
      </c>
      <c r="D52" s="50">
        <v>6</v>
      </c>
      <c r="E52" s="50">
        <v>3</v>
      </c>
      <c r="F52" s="50">
        <v>5</v>
      </c>
      <c r="G52" s="50">
        <v>0</v>
      </c>
      <c r="H52" s="50">
        <v>0</v>
      </c>
      <c r="I52" s="50">
        <v>4</v>
      </c>
      <c r="J52" s="50">
        <v>1</v>
      </c>
      <c r="K52" s="50">
        <v>1</v>
      </c>
      <c r="L52" s="50">
        <v>0</v>
      </c>
      <c r="M52" s="50">
        <v>35</v>
      </c>
      <c r="N52" s="50">
        <v>0</v>
      </c>
      <c r="O52" s="17">
        <f t="shared" si="0"/>
        <v>37</v>
      </c>
      <c r="P52" s="17">
        <f t="shared" si="1"/>
        <v>72</v>
      </c>
      <c r="R52" s="19"/>
      <c r="S52" s="19"/>
      <c r="T52"/>
    </row>
    <row r="53" spans="2:20" ht="23.1" customHeight="1" x14ac:dyDescent="0.25">
      <c r="B53" s="45" t="s">
        <v>80</v>
      </c>
      <c r="C53" s="50">
        <v>16</v>
      </c>
      <c r="D53" s="50">
        <v>3</v>
      </c>
      <c r="E53" s="50">
        <v>2</v>
      </c>
      <c r="F53" s="50">
        <v>7</v>
      </c>
      <c r="G53" s="50">
        <v>0</v>
      </c>
      <c r="H53" s="50">
        <v>0</v>
      </c>
      <c r="I53" s="50">
        <v>2</v>
      </c>
      <c r="J53" s="50">
        <v>0</v>
      </c>
      <c r="K53" s="50">
        <v>2</v>
      </c>
      <c r="L53" s="50">
        <v>0</v>
      </c>
      <c r="M53" s="50">
        <v>46</v>
      </c>
      <c r="N53" s="50">
        <v>0</v>
      </c>
      <c r="O53" s="17">
        <f t="shared" si="0"/>
        <v>32</v>
      </c>
      <c r="P53" s="17">
        <f t="shared" si="1"/>
        <v>78</v>
      </c>
      <c r="R53" s="19"/>
      <c r="S53" s="19"/>
      <c r="T53"/>
    </row>
    <row r="54" spans="2:20" ht="23.1" customHeight="1" x14ac:dyDescent="0.25">
      <c r="B54" s="45" t="s">
        <v>81</v>
      </c>
      <c r="C54" s="50">
        <v>20</v>
      </c>
      <c r="D54" s="50">
        <v>4</v>
      </c>
      <c r="E54" s="50">
        <v>4</v>
      </c>
      <c r="F54" s="50">
        <v>5</v>
      </c>
      <c r="G54" s="50">
        <v>1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44</v>
      </c>
      <c r="N54" s="50">
        <v>0</v>
      </c>
      <c r="O54" s="17">
        <f t="shared" si="0"/>
        <v>37</v>
      </c>
      <c r="P54" s="17">
        <f t="shared" si="1"/>
        <v>81</v>
      </c>
      <c r="R54" s="19"/>
      <c r="S54" s="19"/>
      <c r="T54"/>
    </row>
    <row r="55" spans="2:20" ht="23.1" customHeight="1" x14ac:dyDescent="0.25">
      <c r="B55" s="45" t="s">
        <v>82</v>
      </c>
      <c r="C55" s="50">
        <v>32</v>
      </c>
      <c r="D55" s="50">
        <v>5</v>
      </c>
      <c r="E55" s="50">
        <v>3</v>
      </c>
      <c r="F55" s="50">
        <v>4</v>
      </c>
      <c r="G55" s="50">
        <v>0</v>
      </c>
      <c r="H55" s="50">
        <v>0</v>
      </c>
      <c r="I55" s="50">
        <v>2</v>
      </c>
      <c r="J55" s="50">
        <v>0</v>
      </c>
      <c r="K55" s="50">
        <v>1</v>
      </c>
      <c r="L55" s="50">
        <v>0</v>
      </c>
      <c r="M55" s="50">
        <v>65</v>
      </c>
      <c r="N55" s="50">
        <v>0</v>
      </c>
      <c r="O55" s="17">
        <f t="shared" si="0"/>
        <v>47</v>
      </c>
      <c r="P55" s="17">
        <f t="shared" si="1"/>
        <v>112</v>
      </c>
      <c r="R55" s="19"/>
      <c r="S55" s="19"/>
      <c r="T55"/>
    </row>
    <row r="56" spans="2:20" ht="23.1" customHeight="1" x14ac:dyDescent="0.25">
      <c r="B56" s="45" t="s">
        <v>83</v>
      </c>
      <c r="C56" s="50">
        <v>21</v>
      </c>
      <c r="D56" s="50">
        <v>1</v>
      </c>
      <c r="E56" s="50">
        <v>3</v>
      </c>
      <c r="F56" s="50">
        <v>3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31</v>
      </c>
      <c r="N56" s="50">
        <v>0</v>
      </c>
      <c r="O56" s="17">
        <f t="shared" si="0"/>
        <v>31</v>
      </c>
      <c r="P56" s="17">
        <f t="shared" si="1"/>
        <v>62</v>
      </c>
      <c r="R56" s="19"/>
      <c r="S56" s="19"/>
      <c r="T56"/>
    </row>
    <row r="57" spans="2:20" ht="23.1" customHeight="1" x14ac:dyDescent="0.25">
      <c r="B57" s="45" t="s">
        <v>84</v>
      </c>
      <c r="C57" s="50">
        <v>30</v>
      </c>
      <c r="D57" s="50">
        <v>7</v>
      </c>
      <c r="E57" s="50">
        <v>6</v>
      </c>
      <c r="F57" s="50">
        <v>6</v>
      </c>
      <c r="G57" s="50">
        <v>0</v>
      </c>
      <c r="H57" s="50">
        <v>0</v>
      </c>
      <c r="I57" s="50">
        <v>6</v>
      </c>
      <c r="J57" s="50">
        <v>0</v>
      </c>
      <c r="K57" s="50">
        <v>2</v>
      </c>
      <c r="L57" s="50">
        <v>0</v>
      </c>
      <c r="M57" s="50">
        <v>24</v>
      </c>
      <c r="N57" s="50">
        <v>0</v>
      </c>
      <c r="O57" s="17">
        <f t="shared" si="0"/>
        <v>57</v>
      </c>
      <c r="P57" s="17">
        <f t="shared" si="1"/>
        <v>81</v>
      </c>
      <c r="R57" s="19"/>
      <c r="S57" s="19"/>
      <c r="T57"/>
    </row>
    <row r="58" spans="2:20" ht="23.1" customHeight="1" x14ac:dyDescent="0.25">
      <c r="B58" s="45" t="s">
        <v>99</v>
      </c>
      <c r="C58" s="50">
        <v>23</v>
      </c>
      <c r="D58" s="50">
        <v>2</v>
      </c>
      <c r="E58" s="50">
        <v>0</v>
      </c>
      <c r="F58" s="50">
        <v>5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50</v>
      </c>
      <c r="N58" s="50">
        <v>0</v>
      </c>
      <c r="O58" s="17">
        <f t="shared" si="0"/>
        <v>32</v>
      </c>
      <c r="P58" s="17">
        <f t="shared" si="1"/>
        <v>82</v>
      </c>
      <c r="R58" s="19"/>
      <c r="S58" s="19"/>
      <c r="T58"/>
    </row>
    <row r="59" spans="2:20" ht="23.1" customHeight="1" x14ac:dyDescent="0.25">
      <c r="B59" s="45" t="s">
        <v>100</v>
      </c>
      <c r="C59" s="50">
        <v>19</v>
      </c>
      <c r="D59" s="50">
        <v>0</v>
      </c>
      <c r="E59" s="50">
        <v>1</v>
      </c>
      <c r="F59" s="50">
        <v>4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53</v>
      </c>
      <c r="N59" s="50">
        <v>0</v>
      </c>
      <c r="O59" s="17">
        <f t="shared" si="0"/>
        <v>24</v>
      </c>
      <c r="P59" s="17">
        <f t="shared" si="1"/>
        <v>77</v>
      </c>
      <c r="R59" s="19"/>
      <c r="S59" s="19"/>
      <c r="T59"/>
    </row>
    <row r="60" spans="2:20" ht="23.1" customHeight="1" x14ac:dyDescent="0.25">
      <c r="B60" s="45" t="s">
        <v>101</v>
      </c>
      <c r="C60" s="50">
        <v>21</v>
      </c>
      <c r="D60" s="50">
        <v>6</v>
      </c>
      <c r="E60" s="50">
        <v>5</v>
      </c>
      <c r="F60" s="50">
        <v>8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50</v>
      </c>
      <c r="N60" s="50">
        <v>0</v>
      </c>
      <c r="O60" s="17">
        <f t="shared" si="0"/>
        <v>43</v>
      </c>
      <c r="P60" s="17">
        <f t="shared" si="1"/>
        <v>93</v>
      </c>
      <c r="R60" s="19"/>
      <c r="S60" s="19"/>
      <c r="T60"/>
    </row>
    <row r="61" spans="2:20" ht="23.1" customHeight="1" x14ac:dyDescent="0.25">
      <c r="B61" s="45" t="s">
        <v>102</v>
      </c>
      <c r="C61" s="50">
        <v>16</v>
      </c>
      <c r="D61" s="50">
        <v>6</v>
      </c>
      <c r="E61" s="50">
        <v>4</v>
      </c>
      <c r="F61" s="50">
        <v>4</v>
      </c>
      <c r="G61" s="50">
        <v>0</v>
      </c>
      <c r="H61" s="50">
        <v>0</v>
      </c>
      <c r="I61" s="50">
        <v>5</v>
      </c>
      <c r="J61" s="50">
        <v>1</v>
      </c>
      <c r="K61" s="50">
        <v>0</v>
      </c>
      <c r="L61" s="50">
        <v>1</v>
      </c>
      <c r="M61" s="50">
        <v>66</v>
      </c>
      <c r="N61" s="50">
        <v>0</v>
      </c>
      <c r="O61" s="17">
        <f t="shared" si="0"/>
        <v>37</v>
      </c>
      <c r="P61" s="17">
        <f t="shared" si="1"/>
        <v>103</v>
      </c>
      <c r="R61" s="19"/>
      <c r="S61" s="19"/>
      <c r="T61"/>
    </row>
    <row r="62" spans="2:20" ht="23.1" customHeight="1" x14ac:dyDescent="0.25">
      <c r="B62" s="45" t="s">
        <v>107</v>
      </c>
      <c r="C62" s="50">
        <v>22</v>
      </c>
      <c r="D62" s="50">
        <v>0</v>
      </c>
      <c r="E62" s="50">
        <v>1</v>
      </c>
      <c r="F62" s="50">
        <v>7</v>
      </c>
      <c r="G62" s="50">
        <v>0</v>
      </c>
      <c r="H62" s="50">
        <v>0</v>
      </c>
      <c r="I62" s="50">
        <v>2</v>
      </c>
      <c r="J62" s="50">
        <v>0</v>
      </c>
      <c r="K62" s="50">
        <v>2</v>
      </c>
      <c r="L62" s="50">
        <v>0</v>
      </c>
      <c r="M62" s="50">
        <v>63</v>
      </c>
      <c r="N62" s="50">
        <v>0</v>
      </c>
      <c r="O62" s="17">
        <f t="shared" si="0"/>
        <v>34</v>
      </c>
      <c r="P62" s="17">
        <f t="shared" si="1"/>
        <v>97</v>
      </c>
      <c r="R62" s="19"/>
      <c r="S62" s="19"/>
      <c r="T62"/>
    </row>
    <row r="63" spans="2:20" ht="23.1" customHeight="1" x14ac:dyDescent="0.25">
      <c r="B63" s="45" t="s">
        <v>108</v>
      </c>
      <c r="C63" s="50">
        <v>26</v>
      </c>
      <c r="D63" s="50">
        <v>2</v>
      </c>
      <c r="E63" s="50">
        <v>7</v>
      </c>
      <c r="F63" s="50">
        <v>4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50</v>
      </c>
      <c r="N63" s="50">
        <v>0</v>
      </c>
      <c r="O63" s="17">
        <f t="shared" si="0"/>
        <v>41</v>
      </c>
      <c r="P63" s="17">
        <f t="shared" si="1"/>
        <v>91</v>
      </c>
      <c r="R63" s="19"/>
      <c r="S63" s="19"/>
      <c r="T63"/>
    </row>
    <row r="64" spans="2:20" ht="23.1" customHeight="1" x14ac:dyDescent="0.25">
      <c r="B64" s="45" t="s">
        <v>109</v>
      </c>
      <c r="C64" s="50">
        <v>26</v>
      </c>
      <c r="D64" s="50">
        <v>3</v>
      </c>
      <c r="E64" s="50">
        <v>6</v>
      </c>
      <c r="F64" s="50">
        <v>2</v>
      </c>
      <c r="G64" s="50">
        <v>0</v>
      </c>
      <c r="H64" s="50">
        <v>0</v>
      </c>
      <c r="I64" s="50">
        <v>2</v>
      </c>
      <c r="J64" s="50">
        <v>0</v>
      </c>
      <c r="K64" s="50">
        <v>1</v>
      </c>
      <c r="L64" s="50">
        <v>0</v>
      </c>
      <c r="M64" s="50">
        <v>52</v>
      </c>
      <c r="N64" s="50">
        <v>0</v>
      </c>
      <c r="O64" s="17">
        <f t="shared" si="0"/>
        <v>40</v>
      </c>
      <c r="P64" s="17">
        <f t="shared" si="1"/>
        <v>92</v>
      </c>
      <c r="R64" s="19"/>
      <c r="S64" s="19"/>
      <c r="T64"/>
    </row>
    <row r="65" spans="2:20" ht="23.1" customHeight="1" x14ac:dyDescent="0.25">
      <c r="B65" s="45" t="s">
        <v>158</v>
      </c>
      <c r="C65" s="50">
        <v>17</v>
      </c>
      <c r="D65" s="50">
        <v>3</v>
      </c>
      <c r="E65" s="50">
        <v>2</v>
      </c>
      <c r="F65" s="50">
        <v>2</v>
      </c>
      <c r="G65" s="50">
        <v>0</v>
      </c>
      <c r="H65" s="50">
        <v>0</v>
      </c>
      <c r="I65" s="50">
        <v>2</v>
      </c>
      <c r="J65" s="50">
        <v>2</v>
      </c>
      <c r="K65" s="50">
        <v>0</v>
      </c>
      <c r="L65" s="50">
        <v>0</v>
      </c>
      <c r="M65" s="50">
        <v>45</v>
      </c>
      <c r="N65" s="50">
        <v>0</v>
      </c>
      <c r="O65" s="17">
        <f t="shared" si="0"/>
        <v>28</v>
      </c>
      <c r="P65" s="17">
        <f t="shared" si="1"/>
        <v>73</v>
      </c>
      <c r="R65" s="19"/>
      <c r="S65" s="19"/>
      <c r="T65"/>
    </row>
    <row r="66" spans="2:20" ht="23.1" customHeight="1" x14ac:dyDescent="0.25">
      <c r="B66" s="45" t="s">
        <v>103</v>
      </c>
      <c r="C66" s="50">
        <v>16</v>
      </c>
      <c r="D66" s="50">
        <v>3</v>
      </c>
      <c r="E66" s="50">
        <v>3</v>
      </c>
      <c r="F66" s="50">
        <v>7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39</v>
      </c>
      <c r="N66" s="50">
        <v>0</v>
      </c>
      <c r="O66" s="17">
        <f t="shared" si="0"/>
        <v>30</v>
      </c>
      <c r="P66" s="17">
        <f t="shared" si="1"/>
        <v>69</v>
      </c>
      <c r="R66" s="19"/>
      <c r="S66" s="19"/>
      <c r="T66"/>
    </row>
    <row r="67" spans="2:20" ht="23.1" customHeight="1" x14ac:dyDescent="0.25">
      <c r="B67" s="45" t="s">
        <v>104</v>
      </c>
      <c r="C67" s="50">
        <v>14</v>
      </c>
      <c r="D67" s="50">
        <v>1</v>
      </c>
      <c r="E67" s="50">
        <v>1</v>
      </c>
      <c r="F67" s="50">
        <v>4</v>
      </c>
      <c r="G67" s="50">
        <v>0</v>
      </c>
      <c r="H67" s="50">
        <v>0</v>
      </c>
      <c r="I67" s="50">
        <v>4</v>
      </c>
      <c r="J67" s="50">
        <v>1</v>
      </c>
      <c r="K67" s="50">
        <v>0</v>
      </c>
      <c r="L67" s="50">
        <v>0</v>
      </c>
      <c r="M67" s="50">
        <v>53</v>
      </c>
      <c r="N67" s="50">
        <v>0</v>
      </c>
      <c r="O67" s="17">
        <f t="shared" si="0"/>
        <v>25</v>
      </c>
      <c r="P67" s="17">
        <f t="shared" si="1"/>
        <v>78</v>
      </c>
      <c r="R67" s="19"/>
      <c r="S67" s="19"/>
      <c r="T67"/>
    </row>
    <row r="68" spans="2:20" ht="23.1" customHeight="1" x14ac:dyDescent="0.25">
      <c r="B68" s="45" t="s">
        <v>105</v>
      </c>
      <c r="C68" s="50">
        <v>13</v>
      </c>
      <c r="D68" s="50">
        <v>1</v>
      </c>
      <c r="E68" s="50">
        <v>3</v>
      </c>
      <c r="F68" s="50">
        <v>3</v>
      </c>
      <c r="G68" s="50">
        <v>0</v>
      </c>
      <c r="H68" s="50">
        <v>0</v>
      </c>
      <c r="I68" s="50">
        <v>2</v>
      </c>
      <c r="J68" s="50">
        <v>0</v>
      </c>
      <c r="K68" s="50">
        <v>0</v>
      </c>
      <c r="L68" s="50">
        <v>0</v>
      </c>
      <c r="M68" s="50">
        <v>38</v>
      </c>
      <c r="N68" s="50">
        <v>0</v>
      </c>
      <c r="O68" s="17">
        <f t="shared" si="0"/>
        <v>22</v>
      </c>
      <c r="P68" s="17">
        <f t="shared" si="1"/>
        <v>60</v>
      </c>
      <c r="R68" s="19"/>
      <c r="S68" s="19"/>
      <c r="T68"/>
    </row>
    <row r="69" spans="2:20" ht="23.1" customHeight="1" x14ac:dyDescent="0.25">
      <c r="B69" s="45" t="s">
        <v>106</v>
      </c>
      <c r="C69" s="50">
        <v>14</v>
      </c>
      <c r="D69" s="50">
        <v>2</v>
      </c>
      <c r="E69" s="50">
        <v>5</v>
      </c>
      <c r="F69" s="50">
        <v>1</v>
      </c>
      <c r="G69" s="50">
        <v>0</v>
      </c>
      <c r="H69" s="50">
        <v>0</v>
      </c>
      <c r="I69" s="50">
        <v>3</v>
      </c>
      <c r="J69" s="50">
        <v>1</v>
      </c>
      <c r="K69" s="50">
        <v>0</v>
      </c>
      <c r="L69" s="50">
        <v>0</v>
      </c>
      <c r="M69" s="50">
        <v>45</v>
      </c>
      <c r="N69" s="50">
        <v>0</v>
      </c>
      <c r="O69" s="17">
        <f t="shared" si="0"/>
        <v>26</v>
      </c>
      <c r="P69" s="17">
        <f t="shared" si="1"/>
        <v>71</v>
      </c>
      <c r="R69" s="19"/>
      <c r="S69" s="19"/>
      <c r="T69"/>
    </row>
    <row r="70" spans="2:20" ht="23.1" customHeight="1" x14ac:dyDescent="0.25">
      <c r="B70" s="45" t="s">
        <v>110</v>
      </c>
      <c r="C70" s="50">
        <v>13</v>
      </c>
      <c r="D70" s="50">
        <v>2</v>
      </c>
      <c r="E70" s="50">
        <v>3</v>
      </c>
      <c r="F70" s="50">
        <v>3</v>
      </c>
      <c r="G70" s="50">
        <v>0</v>
      </c>
      <c r="H70" s="50">
        <v>0</v>
      </c>
      <c r="I70" s="50">
        <v>2</v>
      </c>
      <c r="J70" s="50">
        <v>0</v>
      </c>
      <c r="K70" s="50">
        <v>1</v>
      </c>
      <c r="L70" s="50">
        <v>0</v>
      </c>
      <c r="M70" s="50">
        <v>27</v>
      </c>
      <c r="N70" s="50">
        <v>0</v>
      </c>
      <c r="O70" s="17">
        <f t="shared" si="0"/>
        <v>24</v>
      </c>
      <c r="P70" s="17">
        <f t="shared" si="1"/>
        <v>51</v>
      </c>
      <c r="R70" s="19"/>
      <c r="S70" s="19"/>
      <c r="T70"/>
    </row>
    <row r="71" spans="2:20" ht="23.1" customHeight="1" x14ac:dyDescent="0.25">
      <c r="B71" s="45" t="s">
        <v>111</v>
      </c>
      <c r="C71" s="50">
        <v>4</v>
      </c>
      <c r="D71" s="50">
        <v>2</v>
      </c>
      <c r="E71" s="50">
        <v>3</v>
      </c>
      <c r="F71" s="50">
        <v>2</v>
      </c>
      <c r="G71" s="50">
        <v>0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27</v>
      </c>
      <c r="N71" s="50">
        <v>0</v>
      </c>
      <c r="O71" s="17">
        <f t="shared" si="0"/>
        <v>14</v>
      </c>
      <c r="P71" s="17">
        <f t="shared" si="1"/>
        <v>41</v>
      </c>
      <c r="R71" s="19"/>
      <c r="S71" s="19"/>
      <c r="T71"/>
    </row>
    <row r="72" spans="2:20" ht="23.1" customHeight="1" x14ac:dyDescent="0.25">
      <c r="B72" s="45" t="s">
        <v>112</v>
      </c>
      <c r="C72" s="50">
        <v>9</v>
      </c>
      <c r="D72" s="50">
        <v>2</v>
      </c>
      <c r="E72" s="50">
        <v>1</v>
      </c>
      <c r="F72" s="50">
        <v>3</v>
      </c>
      <c r="G72" s="50">
        <v>1</v>
      </c>
      <c r="H72" s="50">
        <v>0</v>
      </c>
      <c r="I72" s="50">
        <v>1</v>
      </c>
      <c r="J72" s="50">
        <v>0</v>
      </c>
      <c r="K72" s="50">
        <v>1</v>
      </c>
      <c r="L72" s="50">
        <v>0</v>
      </c>
      <c r="M72" s="50">
        <v>34</v>
      </c>
      <c r="N72" s="50">
        <v>0</v>
      </c>
      <c r="O72" s="17">
        <f t="shared" si="0"/>
        <v>18</v>
      </c>
      <c r="P72" s="17">
        <f t="shared" si="1"/>
        <v>52</v>
      </c>
      <c r="R72" s="19"/>
      <c r="S72" s="19"/>
      <c r="T72"/>
    </row>
    <row r="73" spans="2:20" ht="23.1" customHeight="1" x14ac:dyDescent="0.25">
      <c r="B73" s="45" t="s">
        <v>113</v>
      </c>
      <c r="C73" s="50">
        <v>12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2</v>
      </c>
      <c r="J73" s="50">
        <v>0</v>
      </c>
      <c r="K73" s="50">
        <v>1</v>
      </c>
      <c r="L73" s="50">
        <v>0</v>
      </c>
      <c r="M73" s="50">
        <v>34</v>
      </c>
      <c r="N73" s="50">
        <v>0</v>
      </c>
      <c r="O73" s="17">
        <f t="shared" si="0"/>
        <v>16</v>
      </c>
      <c r="P73" s="17">
        <f t="shared" si="1"/>
        <v>50</v>
      </c>
      <c r="R73" s="19"/>
      <c r="S73" s="19"/>
      <c r="T73"/>
    </row>
    <row r="74" spans="2:20" ht="23.1" customHeight="1" x14ac:dyDescent="0.25">
      <c r="B74" s="45" t="s">
        <v>114</v>
      </c>
      <c r="C74" s="50">
        <v>7</v>
      </c>
      <c r="D74" s="50">
        <v>0</v>
      </c>
      <c r="E74" s="50">
        <v>1</v>
      </c>
      <c r="F74" s="50">
        <v>2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28</v>
      </c>
      <c r="N74" s="50">
        <v>0</v>
      </c>
      <c r="O74" s="17">
        <f t="shared" ref="O74:O105" si="35">SUM(C74:L74,N74)</f>
        <v>11</v>
      </c>
      <c r="P74" s="17">
        <f t="shared" ref="P74:P105" si="36">SUM(C74:N74)</f>
        <v>39</v>
      </c>
      <c r="R74" s="19"/>
      <c r="S74" s="19"/>
      <c r="T74"/>
    </row>
    <row r="75" spans="2:20" ht="23.1" customHeight="1" x14ac:dyDescent="0.25">
      <c r="B75" s="45" t="s">
        <v>115</v>
      </c>
      <c r="C75" s="50">
        <v>11</v>
      </c>
      <c r="D75" s="50">
        <v>0</v>
      </c>
      <c r="E75" s="50">
        <v>1</v>
      </c>
      <c r="F75" s="50">
        <v>2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23</v>
      </c>
      <c r="N75" s="50">
        <v>0</v>
      </c>
      <c r="O75" s="17">
        <f t="shared" si="35"/>
        <v>15</v>
      </c>
      <c r="P75" s="17">
        <f t="shared" si="36"/>
        <v>38</v>
      </c>
      <c r="R75" s="19"/>
      <c r="S75" s="19"/>
      <c r="T75"/>
    </row>
    <row r="76" spans="2:20" ht="23.1" customHeight="1" x14ac:dyDescent="0.25">
      <c r="B76" s="45" t="s">
        <v>116</v>
      </c>
      <c r="C76" s="50">
        <v>5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20</v>
      </c>
      <c r="N76" s="50">
        <v>0</v>
      </c>
      <c r="O76" s="17">
        <f t="shared" si="35"/>
        <v>6</v>
      </c>
      <c r="P76" s="17">
        <f t="shared" si="36"/>
        <v>26</v>
      </c>
      <c r="R76" s="19"/>
      <c r="S76" s="19"/>
      <c r="T76"/>
    </row>
    <row r="77" spans="2:20" ht="23.1" customHeight="1" x14ac:dyDescent="0.25">
      <c r="B77" s="45" t="s">
        <v>117</v>
      </c>
      <c r="C77" s="50">
        <v>6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20</v>
      </c>
      <c r="N77" s="50">
        <v>0</v>
      </c>
      <c r="O77" s="17">
        <f t="shared" si="35"/>
        <v>8</v>
      </c>
      <c r="P77" s="17">
        <f t="shared" si="36"/>
        <v>28</v>
      </c>
      <c r="R77" s="19"/>
      <c r="S77" s="19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12</v>
      </c>
      <c r="N78" s="50">
        <v>0</v>
      </c>
      <c r="O78" s="17">
        <f t="shared" si="35"/>
        <v>3</v>
      </c>
      <c r="P78" s="17">
        <f t="shared" si="36"/>
        <v>15</v>
      </c>
      <c r="R78" s="19"/>
      <c r="S78" s="19"/>
      <c r="T78"/>
    </row>
    <row r="79" spans="2:20" ht="23.1" customHeight="1" x14ac:dyDescent="0.25">
      <c r="B79" s="45" t="s">
        <v>119</v>
      </c>
      <c r="C79" s="50">
        <v>4</v>
      </c>
      <c r="D79" s="50">
        <v>2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8</v>
      </c>
      <c r="N79" s="50">
        <v>0</v>
      </c>
      <c r="O79" s="17">
        <f t="shared" si="35"/>
        <v>7</v>
      </c>
      <c r="P79" s="17">
        <f t="shared" si="36"/>
        <v>15</v>
      </c>
      <c r="R79" s="19"/>
      <c r="S79" s="19"/>
      <c r="T79"/>
    </row>
    <row r="80" spans="2:20" ht="23.1" customHeight="1" x14ac:dyDescent="0.25">
      <c r="B80" s="47" t="s">
        <v>120</v>
      </c>
      <c r="C80" s="50">
        <v>4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7</v>
      </c>
      <c r="N80" s="50">
        <v>0</v>
      </c>
      <c r="O80" s="17">
        <f t="shared" si="35"/>
        <v>4</v>
      </c>
      <c r="P80" s="17">
        <f t="shared" si="36"/>
        <v>11</v>
      </c>
      <c r="R80" s="19"/>
      <c r="S80" s="19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3</v>
      </c>
      <c r="N81" s="50">
        <v>0</v>
      </c>
      <c r="O81" s="17">
        <f t="shared" si="35"/>
        <v>1</v>
      </c>
      <c r="P81" s="17">
        <f t="shared" si="36"/>
        <v>4</v>
      </c>
      <c r="R81" s="19"/>
      <c r="S81" s="19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8</v>
      </c>
      <c r="N82" s="50">
        <v>0</v>
      </c>
      <c r="O82" s="17">
        <f t="shared" si="35"/>
        <v>3</v>
      </c>
      <c r="P82" s="17">
        <f t="shared" si="36"/>
        <v>11</v>
      </c>
      <c r="R82" s="19"/>
      <c r="S82" s="19"/>
      <c r="T82"/>
    </row>
    <row r="83" spans="2:20" ht="23.1" customHeight="1" x14ac:dyDescent="0.25">
      <c r="B83" s="45" t="s">
        <v>123</v>
      </c>
      <c r="C83" s="50">
        <v>4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4</v>
      </c>
      <c r="N83" s="50">
        <v>0</v>
      </c>
      <c r="O83" s="17">
        <f t="shared" si="35"/>
        <v>5</v>
      </c>
      <c r="P83" s="17">
        <f t="shared" si="36"/>
        <v>9</v>
      </c>
      <c r="R83" s="19"/>
      <c r="S83" s="19"/>
      <c r="T83"/>
    </row>
    <row r="84" spans="2:20" ht="23.1" customHeight="1" x14ac:dyDescent="0.25">
      <c r="B84" s="47" t="s">
        <v>124</v>
      </c>
      <c r="C84" s="50">
        <v>3</v>
      </c>
      <c r="D84" s="50">
        <v>1</v>
      </c>
      <c r="E84" s="50">
        <v>1</v>
      </c>
      <c r="F84" s="50">
        <v>0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0</v>
      </c>
      <c r="M84" s="50">
        <v>8</v>
      </c>
      <c r="N84" s="50">
        <v>0</v>
      </c>
      <c r="O84" s="17">
        <f t="shared" si="35"/>
        <v>7</v>
      </c>
      <c r="P84" s="17">
        <f t="shared" si="36"/>
        <v>15</v>
      </c>
      <c r="R84" s="19"/>
      <c r="S84" s="19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7">
        <f t="shared" si="35"/>
        <v>0</v>
      </c>
      <c r="P85" s="17">
        <f t="shared" si="36"/>
        <v>4</v>
      </c>
      <c r="R85" s="19"/>
      <c r="S85" s="19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1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3</v>
      </c>
      <c r="N86" s="50">
        <v>0</v>
      </c>
      <c r="O86" s="17">
        <f t="shared" si="35"/>
        <v>4</v>
      </c>
      <c r="P86" s="17">
        <f t="shared" si="36"/>
        <v>7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3</v>
      </c>
      <c r="N87" s="50">
        <v>0</v>
      </c>
      <c r="O87" s="17">
        <f t="shared" si="35"/>
        <v>0</v>
      </c>
      <c r="P87" s="17">
        <f t="shared" si="36"/>
        <v>3</v>
      </c>
      <c r="R87" s="19"/>
      <c r="S87" s="19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7">
        <f t="shared" si="35"/>
        <v>1</v>
      </c>
      <c r="P88" s="17">
        <f t="shared" si="36"/>
        <v>5</v>
      </c>
      <c r="R88" s="19"/>
      <c r="S88" s="19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7">
        <f t="shared" si="35"/>
        <v>3</v>
      </c>
      <c r="P89" s="17">
        <f t="shared" si="36"/>
        <v>7</v>
      </c>
      <c r="R89" s="19"/>
      <c r="S89" s="19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5</v>
      </c>
      <c r="N90" s="50">
        <v>0</v>
      </c>
      <c r="O90" s="17">
        <f t="shared" si="35"/>
        <v>1</v>
      </c>
      <c r="P90" s="17">
        <f t="shared" si="36"/>
        <v>6</v>
      </c>
      <c r="R90" s="19"/>
      <c r="S90" s="19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8</v>
      </c>
      <c r="N91" s="50">
        <v>0</v>
      </c>
      <c r="O91" s="17">
        <f t="shared" si="35"/>
        <v>0</v>
      </c>
      <c r="P91" s="17">
        <f t="shared" si="36"/>
        <v>8</v>
      </c>
      <c r="R91" s="19"/>
      <c r="S91" s="19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5</v>
      </c>
      <c r="N92" s="50">
        <v>0</v>
      </c>
      <c r="O92" s="17">
        <f t="shared" si="35"/>
        <v>4</v>
      </c>
      <c r="P92" s="17">
        <f t="shared" si="36"/>
        <v>9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7">
        <f t="shared" si="35"/>
        <v>1</v>
      </c>
      <c r="P93" s="17">
        <f t="shared" si="36"/>
        <v>3</v>
      </c>
      <c r="R93" s="19"/>
      <c r="S93" s="19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</v>
      </c>
      <c r="N94" s="50">
        <v>0</v>
      </c>
      <c r="O94" s="17">
        <f t="shared" si="35"/>
        <v>0</v>
      </c>
      <c r="P94" s="17">
        <f t="shared" si="36"/>
        <v>2</v>
      </c>
      <c r="R94" s="19"/>
      <c r="S94" s="19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5</v>
      </c>
      <c r="N95" s="50">
        <v>0</v>
      </c>
      <c r="O95" s="17">
        <f t="shared" si="35"/>
        <v>0</v>
      </c>
      <c r="P95" s="17">
        <f t="shared" si="36"/>
        <v>5</v>
      </c>
      <c r="R95" s="19"/>
      <c r="S95" s="19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6</v>
      </c>
      <c r="N96" s="50">
        <v>0</v>
      </c>
      <c r="O96" s="17">
        <f t="shared" si="35"/>
        <v>0</v>
      </c>
      <c r="P96" s="17">
        <f t="shared" si="36"/>
        <v>6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7">
        <f t="shared" si="35"/>
        <v>0</v>
      </c>
      <c r="P97" s="17">
        <f t="shared" si="36"/>
        <v>4</v>
      </c>
      <c r="R97" s="19"/>
      <c r="S97" s="19"/>
      <c r="T97"/>
    </row>
    <row r="98" spans="2:20" ht="23.1" customHeight="1" x14ac:dyDescent="0.25">
      <c r="B98" s="46" t="s">
        <v>138</v>
      </c>
      <c r="C98" s="50">
        <v>0</v>
      </c>
      <c r="D98" s="50">
        <v>1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7">
        <f t="shared" si="35"/>
        <v>2</v>
      </c>
      <c r="P98" s="17">
        <f t="shared" si="36"/>
        <v>3</v>
      </c>
      <c r="R98" s="19"/>
      <c r="S98" s="19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3</v>
      </c>
      <c r="N99" s="50">
        <v>0</v>
      </c>
      <c r="O99" s="17">
        <f t="shared" si="35"/>
        <v>1</v>
      </c>
      <c r="P99" s="17">
        <f t="shared" si="36"/>
        <v>4</v>
      </c>
      <c r="R99" s="19"/>
      <c r="S99" s="19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4</v>
      </c>
      <c r="N100" s="50">
        <v>0</v>
      </c>
      <c r="O100" s="17">
        <f t="shared" si="35"/>
        <v>1</v>
      </c>
      <c r="P100" s="17">
        <f t="shared" si="36"/>
        <v>5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4</v>
      </c>
      <c r="N101" s="50">
        <v>0</v>
      </c>
      <c r="O101" s="17">
        <f t="shared" si="35"/>
        <v>1</v>
      </c>
      <c r="P101" s="17">
        <f t="shared" si="36"/>
        <v>5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3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7">
        <f t="shared" si="35"/>
        <v>8</v>
      </c>
      <c r="P102" s="17">
        <f t="shared" si="36"/>
        <v>14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7</v>
      </c>
      <c r="D103" s="50">
        <v>0</v>
      </c>
      <c r="E103" s="50">
        <v>1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7</v>
      </c>
      <c r="N103" s="50">
        <v>0</v>
      </c>
      <c r="O103" s="17">
        <f t="shared" si="35"/>
        <v>9</v>
      </c>
      <c r="P103" s="17">
        <f t="shared" si="36"/>
        <v>16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7</v>
      </c>
      <c r="D104" s="50">
        <v>0</v>
      </c>
      <c r="E104" s="50">
        <v>1</v>
      </c>
      <c r="F104" s="50">
        <v>6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9</v>
      </c>
      <c r="N104" s="50">
        <v>0</v>
      </c>
      <c r="O104" s="17">
        <f t="shared" si="35"/>
        <v>16</v>
      </c>
      <c r="P104" s="17">
        <f t="shared" si="36"/>
        <v>25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11</v>
      </c>
      <c r="D105" s="50">
        <v>0</v>
      </c>
      <c r="E105" s="50">
        <v>1</v>
      </c>
      <c r="F105" s="50">
        <v>2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24</v>
      </c>
      <c r="N105" s="50">
        <v>0</v>
      </c>
      <c r="O105" s="17">
        <f t="shared" si="35"/>
        <v>14</v>
      </c>
      <c r="P105" s="17">
        <f t="shared" si="36"/>
        <v>38</v>
      </c>
      <c r="R105" s="19"/>
      <c r="S105" s="19"/>
      <c r="T105"/>
    </row>
    <row r="106" spans="2:20" ht="23.1" customHeight="1" x14ac:dyDescent="0.25">
      <c r="B106" s="54" t="s">
        <v>18</v>
      </c>
      <c r="C106" s="16">
        <f>SUM(C10:C105)</f>
        <v>1186</v>
      </c>
      <c r="D106" s="16">
        <f t="shared" ref="D106:P106" si="37">SUM(D10:D105)</f>
        <v>193</v>
      </c>
      <c r="E106" s="16">
        <f t="shared" si="37"/>
        <v>194</v>
      </c>
      <c r="F106" s="16">
        <f t="shared" si="37"/>
        <v>229</v>
      </c>
      <c r="G106" s="16">
        <f t="shared" si="37"/>
        <v>9</v>
      </c>
      <c r="H106" s="16">
        <f t="shared" si="37"/>
        <v>1</v>
      </c>
      <c r="I106" s="16">
        <f t="shared" si="37"/>
        <v>200</v>
      </c>
      <c r="J106" s="16">
        <f t="shared" si="37"/>
        <v>23</v>
      </c>
      <c r="K106" s="16">
        <f t="shared" si="37"/>
        <v>25</v>
      </c>
      <c r="L106" s="16">
        <f t="shared" si="37"/>
        <v>2</v>
      </c>
      <c r="M106" s="16">
        <f t="shared" si="37"/>
        <v>3138</v>
      </c>
      <c r="N106" s="16">
        <f t="shared" si="37"/>
        <v>0</v>
      </c>
      <c r="O106" s="16">
        <f t="shared" si="37"/>
        <v>2062</v>
      </c>
      <c r="P106" s="16">
        <f t="shared" si="37"/>
        <v>5200</v>
      </c>
      <c r="R106" s="19"/>
      <c r="S106" s="19"/>
      <c r="T106"/>
    </row>
    <row r="107" spans="2:20" ht="23.1" customHeight="1" x14ac:dyDescent="0.25">
      <c r="B107" s="54" t="s">
        <v>93</v>
      </c>
      <c r="C107" s="43">
        <f t="shared" ref="C107:N107" si="38">C106/$P$106</f>
        <v>0.22807692307692307</v>
      </c>
      <c r="D107" s="43">
        <f t="shared" si="38"/>
        <v>3.7115384615384613E-2</v>
      </c>
      <c r="E107" s="43">
        <f t="shared" si="38"/>
        <v>3.7307692307692306E-2</v>
      </c>
      <c r="F107" s="43">
        <f t="shared" si="38"/>
        <v>4.403846153846154E-2</v>
      </c>
      <c r="G107" s="43">
        <f t="shared" si="38"/>
        <v>1.7307692307692308E-3</v>
      </c>
      <c r="H107" s="43">
        <f t="shared" si="38"/>
        <v>1.9230769230769231E-4</v>
      </c>
      <c r="I107" s="43">
        <f t="shared" si="38"/>
        <v>3.8461538461538464E-2</v>
      </c>
      <c r="J107" s="43">
        <f t="shared" si="38"/>
        <v>4.4230769230769228E-3</v>
      </c>
      <c r="K107" s="43">
        <f t="shared" si="38"/>
        <v>4.807692307692308E-3</v>
      </c>
      <c r="L107" s="43">
        <f t="shared" si="38"/>
        <v>3.8461538461538462E-4</v>
      </c>
      <c r="M107" s="43">
        <f t="shared" si="38"/>
        <v>0.60346153846153849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5" t="s">
        <v>94</v>
      </c>
      <c r="C108" s="44">
        <f>C106/$O$106</f>
        <v>0.57516973811833172</v>
      </c>
      <c r="D108" s="44">
        <f t="shared" ref="D108:N108" si="39">D106/$O$106</f>
        <v>9.3598448108632396E-2</v>
      </c>
      <c r="E108" s="44">
        <f t="shared" si="39"/>
        <v>9.4083414161008724E-2</v>
      </c>
      <c r="F108" s="44">
        <f t="shared" si="39"/>
        <v>0.11105722599418041</v>
      </c>
      <c r="G108" s="44">
        <f t="shared" si="39"/>
        <v>4.3646944713870029E-3</v>
      </c>
      <c r="H108" s="44">
        <f t="shared" si="39"/>
        <v>4.8496605237633366E-4</v>
      </c>
      <c r="I108" s="44">
        <f t="shared" si="39"/>
        <v>9.6993210475266725E-2</v>
      </c>
      <c r="J108" s="44">
        <f t="shared" si="39"/>
        <v>1.1154219204655674E-2</v>
      </c>
      <c r="K108" s="44">
        <f t="shared" si="39"/>
        <v>1.2124151309408341E-2</v>
      </c>
      <c r="L108" s="44">
        <f t="shared" si="39"/>
        <v>9.6993210475266732E-4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1:32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1:32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1:32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26"/>
  <sheetViews>
    <sheetView view="pageBreakPreview" topLeftCell="A7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'28.09 Matugga-Kasangati-24h'!C3:G3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145" t="s">
        <v>172</v>
      </c>
      <c r="F5" s="41" t="s">
        <v>1</v>
      </c>
      <c r="G5" s="150" t="str">
        <f>'[1]28.09 Matuga-Kasangati-24h'!G5:H5</f>
        <v>Kiiza-besigye road</v>
      </c>
      <c r="H5" s="151"/>
      <c r="I5" s="14"/>
      <c r="J5" s="2" t="s">
        <v>5</v>
      </c>
      <c r="K5" s="150" t="str">
        <f>'[1]28.09 Matuga-Kasangati-24h'!K5:L5</f>
        <v>Nakiwugwe. Allen</v>
      </c>
      <c r="L5" s="15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150" t="str">
        <f>'[1]23.09- Kasangati-Matuga'!D6:E6</f>
        <v>Kasangati</v>
      </c>
      <c r="E6" s="151"/>
      <c r="F6" s="2" t="s">
        <v>2</v>
      </c>
      <c r="G6" s="150" t="str">
        <f>'[1]23.09- Kasangati-Matuga'!G6:H6</f>
        <v>matugga</v>
      </c>
      <c r="H6" s="151"/>
      <c r="J6" s="2" t="s">
        <v>21</v>
      </c>
      <c r="K6" s="150" t="str">
        <f>'[1]28.09 Matuga-Kasangati-24h'!K6:L6</f>
        <v>lawrence</v>
      </c>
      <c r="L6" s="15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6" t="s">
        <v>88</v>
      </c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6</v>
      </c>
      <c r="E10" s="50">
        <v>1</v>
      </c>
      <c r="F10" s="50">
        <v>6</v>
      </c>
      <c r="G10" s="50">
        <v>0</v>
      </c>
      <c r="H10" s="50">
        <v>0</v>
      </c>
      <c r="I10" s="50">
        <v>0</v>
      </c>
      <c r="J10" s="50">
        <v>0</v>
      </c>
      <c r="K10" s="50">
        <v>2</v>
      </c>
      <c r="L10" s="50">
        <v>0</v>
      </c>
      <c r="M10" s="50">
        <v>35</v>
      </c>
      <c r="N10" s="50">
        <v>0</v>
      </c>
      <c r="O10" s="17">
        <f t="shared" ref="O10:O57" si="0">SUM(C10:L10,N10)</f>
        <v>23</v>
      </c>
      <c r="P10" s="17">
        <f t="shared" ref="P10:P57" si="1">SUM(C10:N10)</f>
        <v>58</v>
      </c>
      <c r="R10" s="1" t="s">
        <v>6</v>
      </c>
      <c r="S10" s="17">
        <f t="shared" ref="S10:AF10" si="2">SUM(C10:C13)</f>
        <v>25</v>
      </c>
      <c r="T10" s="17">
        <f t="shared" si="2"/>
        <v>17</v>
      </c>
      <c r="U10" s="17">
        <f t="shared" si="2"/>
        <v>3</v>
      </c>
      <c r="V10" s="17">
        <f t="shared" si="2"/>
        <v>15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3</v>
      </c>
      <c r="AB10" s="17">
        <f t="shared" si="2"/>
        <v>1</v>
      </c>
      <c r="AC10" s="17">
        <f t="shared" si="2"/>
        <v>138</v>
      </c>
      <c r="AD10" s="17">
        <f t="shared" si="2"/>
        <v>0</v>
      </c>
      <c r="AE10" s="31">
        <f t="shared" si="2"/>
        <v>66</v>
      </c>
      <c r="AF10" s="31">
        <f t="shared" si="2"/>
        <v>204</v>
      </c>
    </row>
    <row r="11" spans="2:32" s="6" customFormat="1" ht="23.1" customHeight="1" x14ac:dyDescent="0.25">
      <c r="B11" s="23" t="s">
        <v>38</v>
      </c>
      <c r="C11" s="50">
        <v>7</v>
      </c>
      <c r="D11" s="50">
        <v>2</v>
      </c>
      <c r="E11" s="50">
        <v>0</v>
      </c>
      <c r="F11" s="50">
        <v>3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28</v>
      </c>
      <c r="N11" s="50">
        <v>0</v>
      </c>
      <c r="O11" s="17">
        <f t="shared" si="0"/>
        <v>14</v>
      </c>
      <c r="P11" s="17">
        <f t="shared" si="1"/>
        <v>42</v>
      </c>
      <c r="R11" s="1" t="s">
        <v>7</v>
      </c>
      <c r="S11" s="17">
        <f t="shared" ref="S11:AF11" si="3">SUM(C14:C17)</f>
        <v>38</v>
      </c>
      <c r="T11" s="17">
        <f t="shared" si="3"/>
        <v>21</v>
      </c>
      <c r="U11" s="17">
        <f t="shared" si="3"/>
        <v>9</v>
      </c>
      <c r="V11" s="17">
        <f t="shared" si="3"/>
        <v>11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150</v>
      </c>
      <c r="AD11" s="17">
        <f t="shared" si="3"/>
        <v>1</v>
      </c>
      <c r="AE11" s="31">
        <f t="shared" si="3"/>
        <v>85</v>
      </c>
      <c r="AF11" s="31">
        <f t="shared" si="3"/>
        <v>235</v>
      </c>
    </row>
    <row r="12" spans="2:32" ht="23.1" customHeight="1" x14ac:dyDescent="0.25">
      <c r="B12" s="23" t="s">
        <v>39</v>
      </c>
      <c r="C12" s="50">
        <v>4</v>
      </c>
      <c r="D12" s="50">
        <v>7</v>
      </c>
      <c r="E12" s="50">
        <v>1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37</v>
      </c>
      <c r="N12" s="50">
        <v>0</v>
      </c>
      <c r="O12" s="17">
        <f t="shared" si="0"/>
        <v>14</v>
      </c>
      <c r="P12" s="17">
        <f t="shared" si="1"/>
        <v>51</v>
      </c>
      <c r="R12" s="1" t="s">
        <v>8</v>
      </c>
      <c r="S12" s="17">
        <f t="shared" ref="S12:AF12" si="4">SUM(C18:C21)</f>
        <v>40</v>
      </c>
      <c r="T12" s="17">
        <f t="shared" si="4"/>
        <v>18</v>
      </c>
      <c r="U12" s="17">
        <f t="shared" si="4"/>
        <v>6</v>
      </c>
      <c r="V12" s="17">
        <f t="shared" si="4"/>
        <v>12</v>
      </c>
      <c r="W12" s="17">
        <f t="shared" si="4"/>
        <v>0</v>
      </c>
      <c r="X12" s="17">
        <f t="shared" si="4"/>
        <v>0</v>
      </c>
      <c r="Y12" s="17">
        <f t="shared" si="4"/>
        <v>13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181</v>
      </c>
      <c r="AD12" s="17">
        <f t="shared" si="4"/>
        <v>0</v>
      </c>
      <c r="AE12" s="31">
        <f t="shared" si="4"/>
        <v>90</v>
      </c>
      <c r="AF12" s="31">
        <f t="shared" si="4"/>
        <v>271</v>
      </c>
    </row>
    <row r="13" spans="2:32" ht="23.1" customHeight="1" x14ac:dyDescent="0.25">
      <c r="B13" s="23" t="s">
        <v>40</v>
      </c>
      <c r="C13" s="50">
        <v>6</v>
      </c>
      <c r="D13" s="50">
        <v>2</v>
      </c>
      <c r="E13" s="50">
        <v>1</v>
      </c>
      <c r="F13" s="50">
        <v>4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1</v>
      </c>
      <c r="M13" s="50">
        <v>38</v>
      </c>
      <c r="N13" s="50">
        <v>0</v>
      </c>
      <c r="O13" s="17">
        <f t="shared" si="0"/>
        <v>15</v>
      </c>
      <c r="P13" s="17">
        <f t="shared" si="1"/>
        <v>53</v>
      </c>
      <c r="R13" s="1" t="s">
        <v>9</v>
      </c>
      <c r="S13" s="17">
        <f t="shared" ref="S13:AF13" si="5">SUM(C22:C25)</f>
        <v>44</v>
      </c>
      <c r="T13" s="17">
        <f t="shared" si="5"/>
        <v>16</v>
      </c>
      <c r="U13" s="17">
        <f t="shared" si="5"/>
        <v>7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162</v>
      </c>
      <c r="AD13" s="17">
        <f t="shared" si="5"/>
        <v>0</v>
      </c>
      <c r="AE13" s="31">
        <f t="shared" si="5"/>
        <v>87</v>
      </c>
      <c r="AF13" s="31">
        <f t="shared" si="5"/>
        <v>249</v>
      </c>
    </row>
    <row r="14" spans="2:32" ht="23.1" customHeight="1" x14ac:dyDescent="0.25">
      <c r="B14" s="23" t="s">
        <v>41</v>
      </c>
      <c r="C14" s="50">
        <v>6</v>
      </c>
      <c r="D14" s="50">
        <v>4</v>
      </c>
      <c r="E14" s="50">
        <v>3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36</v>
      </c>
      <c r="N14" s="50">
        <v>0</v>
      </c>
      <c r="O14" s="17">
        <f t="shared" si="0"/>
        <v>16</v>
      </c>
      <c r="P14" s="17">
        <f t="shared" si="1"/>
        <v>52</v>
      </c>
      <c r="R14" s="1" t="s">
        <v>10</v>
      </c>
      <c r="S14" s="17">
        <f t="shared" ref="S14:AF14" si="6">SUM(C26:C29)</f>
        <v>61</v>
      </c>
      <c r="T14" s="17">
        <f t="shared" si="6"/>
        <v>23</v>
      </c>
      <c r="U14" s="17">
        <f t="shared" si="6"/>
        <v>12</v>
      </c>
      <c r="V14" s="17">
        <f t="shared" si="6"/>
        <v>12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1</v>
      </c>
      <c r="AB14" s="17">
        <f t="shared" si="6"/>
        <v>1</v>
      </c>
      <c r="AC14" s="17">
        <f t="shared" si="6"/>
        <v>224</v>
      </c>
      <c r="AD14" s="17">
        <f t="shared" si="6"/>
        <v>0</v>
      </c>
      <c r="AE14" s="31">
        <f t="shared" si="6"/>
        <v>114</v>
      </c>
      <c r="AF14" s="31">
        <f t="shared" si="6"/>
        <v>338</v>
      </c>
    </row>
    <row r="15" spans="2:32" ht="23.1" customHeight="1" x14ac:dyDescent="0.25">
      <c r="B15" s="23" t="s">
        <v>42</v>
      </c>
      <c r="C15" s="50">
        <v>12</v>
      </c>
      <c r="D15" s="50">
        <v>4</v>
      </c>
      <c r="E15" s="50">
        <v>1</v>
      </c>
      <c r="F15" s="50">
        <v>4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38</v>
      </c>
      <c r="N15" s="50">
        <v>0</v>
      </c>
      <c r="O15" s="17">
        <f t="shared" si="0"/>
        <v>23</v>
      </c>
      <c r="P15" s="17">
        <f t="shared" si="1"/>
        <v>61</v>
      </c>
      <c r="R15" s="1" t="s">
        <v>11</v>
      </c>
      <c r="S15" s="17">
        <f t="shared" ref="S15:AF15" si="7">SUM(C30:C33)</f>
        <v>63</v>
      </c>
      <c r="T15" s="17">
        <f t="shared" si="7"/>
        <v>21</v>
      </c>
      <c r="U15" s="17">
        <f t="shared" si="7"/>
        <v>10</v>
      </c>
      <c r="V15" s="17">
        <f t="shared" si="7"/>
        <v>11</v>
      </c>
      <c r="W15" s="17">
        <f t="shared" si="7"/>
        <v>0</v>
      </c>
      <c r="X15" s="17">
        <f t="shared" si="7"/>
        <v>0</v>
      </c>
      <c r="Y15" s="17">
        <f t="shared" si="7"/>
        <v>12</v>
      </c>
      <c r="Z15" s="17">
        <f t="shared" si="7"/>
        <v>3</v>
      </c>
      <c r="AA15" s="17">
        <f t="shared" si="7"/>
        <v>0</v>
      </c>
      <c r="AB15" s="17">
        <f t="shared" si="7"/>
        <v>1</v>
      </c>
      <c r="AC15" s="17">
        <f t="shared" si="7"/>
        <v>185</v>
      </c>
      <c r="AD15" s="17">
        <f t="shared" si="7"/>
        <v>0</v>
      </c>
      <c r="AE15" s="31">
        <f t="shared" si="7"/>
        <v>121</v>
      </c>
      <c r="AF15" s="31">
        <f t="shared" si="7"/>
        <v>306</v>
      </c>
    </row>
    <row r="16" spans="2:32" ht="23.1" customHeight="1" x14ac:dyDescent="0.25">
      <c r="B16" s="23" t="s">
        <v>43</v>
      </c>
      <c r="C16" s="50">
        <v>6</v>
      </c>
      <c r="D16" s="50">
        <v>9</v>
      </c>
      <c r="E16" s="50">
        <v>4</v>
      </c>
      <c r="F16" s="50">
        <v>3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39</v>
      </c>
      <c r="N16" s="50">
        <v>1</v>
      </c>
      <c r="O16" s="17">
        <f t="shared" si="0"/>
        <v>24</v>
      </c>
      <c r="P16" s="17">
        <f t="shared" si="1"/>
        <v>63</v>
      </c>
      <c r="R16" s="1" t="s">
        <v>12</v>
      </c>
      <c r="S16" s="17">
        <f t="shared" ref="S16:AF16" si="8">SUM(C34:C37)</f>
        <v>65</v>
      </c>
      <c r="T16" s="17">
        <f t="shared" si="8"/>
        <v>23</v>
      </c>
      <c r="U16" s="17">
        <f t="shared" si="8"/>
        <v>9</v>
      </c>
      <c r="V16" s="17">
        <f t="shared" si="8"/>
        <v>12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168</v>
      </c>
      <c r="AD16" s="17">
        <f t="shared" si="8"/>
        <v>0</v>
      </c>
      <c r="AE16" s="31">
        <f t="shared" si="8"/>
        <v>117</v>
      </c>
      <c r="AF16" s="31">
        <f t="shared" si="8"/>
        <v>285</v>
      </c>
    </row>
    <row r="17" spans="2:32" ht="23.1" customHeight="1" x14ac:dyDescent="0.25">
      <c r="B17" s="23" t="s">
        <v>44</v>
      </c>
      <c r="C17" s="50">
        <v>14</v>
      </c>
      <c r="D17" s="50">
        <v>4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37</v>
      </c>
      <c r="N17" s="50">
        <v>0</v>
      </c>
      <c r="O17" s="17">
        <f t="shared" si="0"/>
        <v>22</v>
      </c>
      <c r="P17" s="17">
        <f t="shared" si="1"/>
        <v>59</v>
      </c>
      <c r="R17" s="1" t="s">
        <v>13</v>
      </c>
      <c r="S17" s="17">
        <f t="shared" ref="S17:AF17" si="9">SUM(C38:C41)</f>
        <v>59</v>
      </c>
      <c r="T17" s="17">
        <f t="shared" si="9"/>
        <v>35</v>
      </c>
      <c r="U17" s="17">
        <f t="shared" si="9"/>
        <v>5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156</v>
      </c>
      <c r="AD17" s="17">
        <f t="shared" si="9"/>
        <v>0</v>
      </c>
      <c r="AE17" s="31">
        <f t="shared" si="9"/>
        <v>115</v>
      </c>
      <c r="AF17" s="31">
        <f t="shared" si="9"/>
        <v>271</v>
      </c>
    </row>
    <row r="18" spans="2:32" ht="23.1" customHeight="1" x14ac:dyDescent="0.25">
      <c r="B18" s="23" t="s">
        <v>45</v>
      </c>
      <c r="C18" s="50">
        <v>16</v>
      </c>
      <c r="D18" s="50">
        <v>6</v>
      </c>
      <c r="E18" s="50">
        <v>2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42</v>
      </c>
      <c r="N18" s="50">
        <v>0</v>
      </c>
      <c r="O18" s="17">
        <f t="shared" si="0"/>
        <v>28</v>
      </c>
      <c r="P18" s="17">
        <f t="shared" si="1"/>
        <v>70</v>
      </c>
      <c r="R18" s="1" t="s">
        <v>14</v>
      </c>
      <c r="S18" s="17">
        <f t="shared" ref="S18:AF18" si="10">SUM(C42:C45)</f>
        <v>40</v>
      </c>
      <c r="T18" s="17">
        <f t="shared" si="10"/>
        <v>24</v>
      </c>
      <c r="U18" s="17">
        <f t="shared" si="10"/>
        <v>9</v>
      </c>
      <c r="V18" s="17">
        <f t="shared" si="10"/>
        <v>13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163</v>
      </c>
      <c r="AD18" s="17">
        <f t="shared" si="10"/>
        <v>0</v>
      </c>
      <c r="AE18" s="31">
        <f t="shared" si="10"/>
        <v>99</v>
      </c>
      <c r="AF18" s="31">
        <f t="shared" si="10"/>
        <v>262</v>
      </c>
    </row>
    <row r="19" spans="2:32" ht="23.1" customHeight="1" x14ac:dyDescent="0.25">
      <c r="B19" s="23" t="s">
        <v>46</v>
      </c>
      <c r="C19" s="50">
        <v>9</v>
      </c>
      <c r="D19" s="50">
        <v>0</v>
      </c>
      <c r="E19" s="50">
        <v>1</v>
      </c>
      <c r="F19" s="50">
        <v>4</v>
      </c>
      <c r="G19" s="50">
        <v>0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52</v>
      </c>
      <c r="N19" s="50">
        <v>0</v>
      </c>
      <c r="O19" s="17">
        <f t="shared" si="0"/>
        <v>19</v>
      </c>
      <c r="P19" s="17">
        <f t="shared" si="1"/>
        <v>71</v>
      </c>
      <c r="R19" s="1" t="s">
        <v>15</v>
      </c>
      <c r="S19" s="17">
        <f t="shared" ref="S19:AF19" si="11">SUM(C46:C49)</f>
        <v>66</v>
      </c>
      <c r="T19" s="17">
        <f t="shared" si="11"/>
        <v>26</v>
      </c>
      <c r="U19" s="17">
        <f t="shared" si="11"/>
        <v>3</v>
      </c>
      <c r="V19" s="17">
        <f t="shared" si="11"/>
        <v>7</v>
      </c>
      <c r="W19" s="17">
        <f t="shared" si="11"/>
        <v>1</v>
      </c>
      <c r="X19" s="17">
        <f t="shared" si="11"/>
        <v>0</v>
      </c>
      <c r="Y19" s="17">
        <f t="shared" si="11"/>
        <v>6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172</v>
      </c>
      <c r="AD19" s="17">
        <f t="shared" si="11"/>
        <v>0</v>
      </c>
      <c r="AE19" s="31">
        <f t="shared" si="11"/>
        <v>111</v>
      </c>
      <c r="AF19" s="31">
        <f t="shared" si="11"/>
        <v>283</v>
      </c>
    </row>
    <row r="20" spans="2:32" ht="23.1" customHeight="1" x14ac:dyDescent="0.25">
      <c r="B20" s="23" t="s">
        <v>47</v>
      </c>
      <c r="C20" s="50">
        <v>8</v>
      </c>
      <c r="D20" s="50">
        <v>5</v>
      </c>
      <c r="E20" s="50">
        <v>1</v>
      </c>
      <c r="F20" s="50">
        <v>2</v>
      </c>
      <c r="G20" s="50">
        <v>0</v>
      </c>
      <c r="H20" s="50">
        <v>0</v>
      </c>
      <c r="I20" s="50">
        <v>5</v>
      </c>
      <c r="J20" s="50">
        <v>0</v>
      </c>
      <c r="K20" s="50">
        <v>0</v>
      </c>
      <c r="L20" s="50">
        <v>0</v>
      </c>
      <c r="M20" s="50">
        <v>46</v>
      </c>
      <c r="N20" s="50">
        <v>0</v>
      </c>
      <c r="O20" s="17">
        <f t="shared" si="0"/>
        <v>21</v>
      </c>
      <c r="P20" s="17">
        <f t="shared" si="1"/>
        <v>67</v>
      </c>
      <c r="R20" s="1" t="s">
        <v>16</v>
      </c>
      <c r="S20" s="17">
        <f t="shared" ref="S20:AF20" si="12">SUM(C50:C53)</f>
        <v>66</v>
      </c>
      <c r="T20" s="17">
        <f t="shared" si="12"/>
        <v>26</v>
      </c>
      <c r="U20" s="17">
        <f t="shared" si="12"/>
        <v>4</v>
      </c>
      <c r="V20" s="17">
        <f t="shared" si="12"/>
        <v>9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172</v>
      </c>
      <c r="AD20" s="17">
        <f t="shared" si="12"/>
        <v>0</v>
      </c>
      <c r="AE20" s="31">
        <f t="shared" si="12"/>
        <v>114</v>
      </c>
      <c r="AF20" s="31">
        <f t="shared" si="12"/>
        <v>286</v>
      </c>
    </row>
    <row r="21" spans="2:32" ht="23.1" customHeight="1" x14ac:dyDescent="0.25">
      <c r="B21" s="23" t="s">
        <v>48</v>
      </c>
      <c r="C21" s="50">
        <v>7</v>
      </c>
      <c r="D21" s="50">
        <v>7</v>
      </c>
      <c r="E21" s="50">
        <v>2</v>
      </c>
      <c r="F21" s="50">
        <v>3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1</v>
      </c>
      <c r="M21" s="50">
        <v>41</v>
      </c>
      <c r="N21" s="50">
        <v>0</v>
      </c>
      <c r="O21" s="17">
        <f t="shared" si="0"/>
        <v>22</v>
      </c>
      <c r="P21" s="17">
        <f t="shared" si="1"/>
        <v>63</v>
      </c>
      <c r="R21" s="36" t="s">
        <v>20</v>
      </c>
      <c r="S21" s="34">
        <f t="shared" ref="S21:AF21" si="13">SUM(C54:C57)</f>
        <v>42</v>
      </c>
      <c r="T21" s="17">
        <f t="shared" si="13"/>
        <v>35</v>
      </c>
      <c r="U21" s="17">
        <f t="shared" si="13"/>
        <v>10</v>
      </c>
      <c r="V21" s="17">
        <f t="shared" si="13"/>
        <v>13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149</v>
      </c>
      <c r="AD21" s="17">
        <f t="shared" si="13"/>
        <v>0</v>
      </c>
      <c r="AE21" s="31">
        <f t="shared" si="13"/>
        <v>107</v>
      </c>
      <c r="AF21" s="31">
        <f t="shared" si="13"/>
        <v>256</v>
      </c>
    </row>
    <row r="22" spans="2:32" ht="23.1" customHeight="1" x14ac:dyDescent="0.25">
      <c r="B22" s="23" t="s">
        <v>49</v>
      </c>
      <c r="C22" s="50">
        <v>14</v>
      </c>
      <c r="D22" s="50">
        <v>4</v>
      </c>
      <c r="E22" s="50">
        <v>2</v>
      </c>
      <c r="F22" s="50">
        <v>4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33</v>
      </c>
      <c r="N22" s="50">
        <v>0</v>
      </c>
      <c r="O22" s="17">
        <f t="shared" si="0"/>
        <v>26</v>
      </c>
      <c r="P22" s="17">
        <f t="shared" si="1"/>
        <v>59</v>
      </c>
      <c r="R22" s="52" t="s">
        <v>90</v>
      </c>
      <c r="S22" s="53">
        <f>MAX(S10:S12)</f>
        <v>40</v>
      </c>
      <c r="T22" s="53">
        <f t="shared" ref="T22:AF22" si="14">MAX(T10:T12)</f>
        <v>21</v>
      </c>
      <c r="U22" s="53">
        <f t="shared" si="14"/>
        <v>9</v>
      </c>
      <c r="V22" s="53">
        <f t="shared" si="14"/>
        <v>15</v>
      </c>
      <c r="W22" s="53">
        <f t="shared" si="14"/>
        <v>0</v>
      </c>
      <c r="X22" s="53">
        <f t="shared" si="14"/>
        <v>0</v>
      </c>
      <c r="Y22" s="53">
        <f t="shared" si="14"/>
        <v>13</v>
      </c>
      <c r="Z22" s="53">
        <f t="shared" si="14"/>
        <v>1</v>
      </c>
      <c r="AA22" s="53">
        <f t="shared" si="14"/>
        <v>3</v>
      </c>
      <c r="AB22" s="53">
        <f t="shared" si="14"/>
        <v>1</v>
      </c>
      <c r="AC22" s="53">
        <f t="shared" si="14"/>
        <v>181</v>
      </c>
      <c r="AD22" s="53">
        <f t="shared" si="14"/>
        <v>1</v>
      </c>
      <c r="AE22" s="40">
        <f t="shared" si="14"/>
        <v>90</v>
      </c>
      <c r="AF22" s="40">
        <f t="shared" si="14"/>
        <v>271</v>
      </c>
    </row>
    <row r="23" spans="2:32" ht="23.1" customHeight="1" x14ac:dyDescent="0.25">
      <c r="B23" s="23" t="s">
        <v>50</v>
      </c>
      <c r="C23" s="50">
        <v>7</v>
      </c>
      <c r="D23" s="50">
        <v>3</v>
      </c>
      <c r="E23" s="50">
        <v>3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44</v>
      </c>
      <c r="N23" s="50">
        <v>0</v>
      </c>
      <c r="O23" s="17">
        <f t="shared" si="0"/>
        <v>17</v>
      </c>
      <c r="P23" s="17">
        <f t="shared" si="1"/>
        <v>61</v>
      </c>
      <c r="R23" s="52" t="s">
        <v>91</v>
      </c>
      <c r="S23" s="53">
        <f>MAX(S13:S18)</f>
        <v>65</v>
      </c>
      <c r="T23" s="53">
        <f t="shared" ref="T23:AF23" si="15">MAX(T13:T18)</f>
        <v>35</v>
      </c>
      <c r="U23" s="53">
        <f t="shared" si="15"/>
        <v>12</v>
      </c>
      <c r="V23" s="53">
        <f t="shared" si="15"/>
        <v>13</v>
      </c>
      <c r="W23" s="53">
        <f t="shared" si="15"/>
        <v>0</v>
      </c>
      <c r="X23" s="53">
        <f t="shared" si="15"/>
        <v>0</v>
      </c>
      <c r="Y23" s="53">
        <f t="shared" si="15"/>
        <v>13</v>
      </c>
      <c r="Z23" s="53">
        <f t="shared" si="15"/>
        <v>3</v>
      </c>
      <c r="AA23" s="53">
        <f t="shared" si="15"/>
        <v>1</v>
      </c>
      <c r="AB23" s="53">
        <f t="shared" si="15"/>
        <v>1</v>
      </c>
      <c r="AC23" s="53">
        <f t="shared" si="15"/>
        <v>224</v>
      </c>
      <c r="AD23" s="53">
        <f t="shared" si="15"/>
        <v>0</v>
      </c>
      <c r="AE23" s="40">
        <f t="shared" si="15"/>
        <v>121</v>
      </c>
      <c r="AF23" s="40">
        <f t="shared" si="15"/>
        <v>338</v>
      </c>
    </row>
    <row r="24" spans="2:32" ht="23.1" customHeight="1" x14ac:dyDescent="0.25">
      <c r="B24" s="23" t="s">
        <v>51</v>
      </c>
      <c r="C24" s="50">
        <v>8</v>
      </c>
      <c r="D24" s="50">
        <v>4</v>
      </c>
      <c r="E24" s="50">
        <v>2</v>
      </c>
      <c r="F24" s="50">
        <v>2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50</v>
      </c>
      <c r="N24" s="50">
        <v>0</v>
      </c>
      <c r="O24" s="17">
        <f t="shared" si="0"/>
        <v>17</v>
      </c>
      <c r="P24" s="17">
        <f t="shared" si="1"/>
        <v>67</v>
      </c>
      <c r="R24" s="52" t="s">
        <v>92</v>
      </c>
      <c r="S24" s="53">
        <f>MAX(S19:S21)</f>
        <v>66</v>
      </c>
      <c r="T24" s="53">
        <f t="shared" ref="T24:AF24" si="16">MAX(T19:T21)</f>
        <v>35</v>
      </c>
      <c r="U24" s="53">
        <f t="shared" si="16"/>
        <v>10</v>
      </c>
      <c r="V24" s="53">
        <f t="shared" si="16"/>
        <v>13</v>
      </c>
      <c r="W24" s="53">
        <f t="shared" si="16"/>
        <v>1</v>
      </c>
      <c r="X24" s="53">
        <f t="shared" si="16"/>
        <v>0</v>
      </c>
      <c r="Y24" s="53">
        <f t="shared" si="16"/>
        <v>7</v>
      </c>
      <c r="Z24" s="53">
        <f t="shared" si="16"/>
        <v>2</v>
      </c>
      <c r="AA24" s="53">
        <f t="shared" si="16"/>
        <v>0</v>
      </c>
      <c r="AB24" s="53">
        <f t="shared" si="16"/>
        <v>0</v>
      </c>
      <c r="AC24" s="53">
        <f t="shared" si="16"/>
        <v>172</v>
      </c>
      <c r="AD24" s="53">
        <f t="shared" si="16"/>
        <v>0</v>
      </c>
      <c r="AE24" s="40">
        <f t="shared" si="16"/>
        <v>114</v>
      </c>
      <c r="AF24" s="40">
        <f t="shared" si="16"/>
        <v>286</v>
      </c>
    </row>
    <row r="25" spans="2:32" ht="23.1" customHeight="1" x14ac:dyDescent="0.25">
      <c r="B25" s="23" t="s">
        <v>52</v>
      </c>
      <c r="C25" s="50">
        <v>15</v>
      </c>
      <c r="D25" s="50">
        <v>5</v>
      </c>
      <c r="E25" s="50">
        <v>0</v>
      </c>
      <c r="F25" s="50">
        <v>3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35</v>
      </c>
      <c r="N25" s="50">
        <v>0</v>
      </c>
      <c r="O25" s="17">
        <f t="shared" si="0"/>
        <v>27</v>
      </c>
      <c r="P25" s="17">
        <f t="shared" si="1"/>
        <v>62</v>
      </c>
      <c r="R25" s="37" t="s">
        <v>85</v>
      </c>
      <c r="S25" s="35">
        <f t="shared" ref="S25:AF25" si="17">SUM(S10:S12)</f>
        <v>103</v>
      </c>
      <c r="T25" s="16">
        <f t="shared" si="17"/>
        <v>56</v>
      </c>
      <c r="U25" s="16">
        <f t="shared" si="17"/>
        <v>18</v>
      </c>
      <c r="V25" s="16">
        <f t="shared" si="17"/>
        <v>38</v>
      </c>
      <c r="W25" s="16">
        <f t="shared" si="17"/>
        <v>0</v>
      </c>
      <c r="X25" s="16">
        <f t="shared" si="17"/>
        <v>0</v>
      </c>
      <c r="Y25" s="16">
        <f t="shared" si="17"/>
        <v>18</v>
      </c>
      <c r="Z25" s="16">
        <f t="shared" si="17"/>
        <v>2</v>
      </c>
      <c r="AA25" s="16">
        <f t="shared" si="17"/>
        <v>3</v>
      </c>
      <c r="AB25" s="16">
        <f t="shared" si="17"/>
        <v>2</v>
      </c>
      <c r="AC25" s="16">
        <f t="shared" si="17"/>
        <v>469</v>
      </c>
      <c r="AD25" s="16">
        <f t="shared" si="17"/>
        <v>1</v>
      </c>
      <c r="AE25" s="32">
        <f t="shared" si="17"/>
        <v>241</v>
      </c>
      <c r="AF25" s="32">
        <f t="shared" si="17"/>
        <v>710</v>
      </c>
    </row>
    <row r="26" spans="2:32" ht="23.1" customHeight="1" x14ac:dyDescent="0.25">
      <c r="B26" s="23" t="s">
        <v>53</v>
      </c>
      <c r="C26" s="50">
        <v>12</v>
      </c>
      <c r="D26" s="50">
        <v>6</v>
      </c>
      <c r="E26" s="50">
        <v>3</v>
      </c>
      <c r="F26" s="50">
        <v>4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60</v>
      </c>
      <c r="N26" s="50">
        <v>0</v>
      </c>
      <c r="O26" s="17">
        <f t="shared" si="0"/>
        <v>27</v>
      </c>
      <c r="P26" s="17">
        <f t="shared" si="1"/>
        <v>87</v>
      </c>
      <c r="R26" s="28" t="s">
        <v>86</v>
      </c>
      <c r="S26" s="16">
        <f t="shared" ref="S26:AF26" si="18">SUM(S13:S18)</f>
        <v>332</v>
      </c>
      <c r="T26" s="16">
        <f t="shared" si="18"/>
        <v>142</v>
      </c>
      <c r="U26" s="16">
        <f t="shared" si="18"/>
        <v>52</v>
      </c>
      <c r="V26" s="16">
        <f t="shared" si="18"/>
        <v>66</v>
      </c>
      <c r="W26" s="16">
        <f t="shared" si="18"/>
        <v>0</v>
      </c>
      <c r="X26" s="16">
        <f t="shared" si="18"/>
        <v>0</v>
      </c>
      <c r="Y26" s="16">
        <f t="shared" si="18"/>
        <v>49</v>
      </c>
      <c r="Z26" s="16">
        <f t="shared" si="18"/>
        <v>8</v>
      </c>
      <c r="AA26" s="16">
        <f t="shared" si="18"/>
        <v>2</v>
      </c>
      <c r="AB26" s="16">
        <f t="shared" si="18"/>
        <v>2</v>
      </c>
      <c r="AC26" s="16">
        <f t="shared" si="18"/>
        <v>1058</v>
      </c>
      <c r="AD26" s="16">
        <f t="shared" si="18"/>
        <v>0</v>
      </c>
      <c r="AE26" s="32">
        <f t="shared" si="18"/>
        <v>653</v>
      </c>
      <c r="AF26" s="32">
        <f t="shared" si="18"/>
        <v>1711</v>
      </c>
    </row>
    <row r="27" spans="2:32" ht="23.1" customHeight="1" x14ac:dyDescent="0.25">
      <c r="B27" s="23" t="s">
        <v>54</v>
      </c>
      <c r="C27" s="50">
        <v>11</v>
      </c>
      <c r="D27" s="50">
        <v>3</v>
      </c>
      <c r="E27" s="50">
        <v>2</v>
      </c>
      <c r="F27" s="50">
        <v>5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61</v>
      </c>
      <c r="N27" s="50">
        <v>0</v>
      </c>
      <c r="O27" s="17">
        <f t="shared" si="0"/>
        <v>21</v>
      </c>
      <c r="P27" s="17">
        <f t="shared" si="1"/>
        <v>82</v>
      </c>
      <c r="R27" s="29" t="s">
        <v>87</v>
      </c>
      <c r="S27" s="16">
        <f t="shared" ref="S27:AF27" si="19">SUM(S19:S21)</f>
        <v>174</v>
      </c>
      <c r="T27" s="16">
        <f t="shared" si="19"/>
        <v>87</v>
      </c>
      <c r="U27" s="16">
        <f t="shared" si="19"/>
        <v>17</v>
      </c>
      <c r="V27" s="16">
        <f t="shared" si="19"/>
        <v>29</v>
      </c>
      <c r="W27" s="16">
        <f t="shared" si="19"/>
        <v>2</v>
      </c>
      <c r="X27" s="16">
        <f t="shared" si="19"/>
        <v>0</v>
      </c>
      <c r="Y27" s="16">
        <f t="shared" si="19"/>
        <v>19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493</v>
      </c>
      <c r="AD27" s="16">
        <f t="shared" si="19"/>
        <v>0</v>
      </c>
      <c r="AE27" s="32">
        <f t="shared" si="19"/>
        <v>332</v>
      </c>
      <c r="AF27" s="32">
        <f t="shared" si="19"/>
        <v>825</v>
      </c>
    </row>
    <row r="28" spans="2:32" ht="23.1" customHeight="1" x14ac:dyDescent="0.25">
      <c r="B28" s="23" t="s">
        <v>55</v>
      </c>
      <c r="C28" s="50">
        <v>21</v>
      </c>
      <c r="D28" s="50">
        <v>9</v>
      </c>
      <c r="E28" s="50">
        <v>3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1</v>
      </c>
      <c r="L28" s="50">
        <v>0</v>
      </c>
      <c r="M28" s="50">
        <v>50</v>
      </c>
      <c r="N28" s="50">
        <v>0</v>
      </c>
      <c r="O28" s="17">
        <f t="shared" si="0"/>
        <v>35</v>
      </c>
      <c r="P28" s="17">
        <f t="shared" si="1"/>
        <v>85</v>
      </c>
      <c r="R28" s="5" t="s">
        <v>17</v>
      </c>
      <c r="S28" s="16">
        <f t="shared" ref="S28:AF28" si="20">SUM(S10:S21)</f>
        <v>609</v>
      </c>
      <c r="T28" s="16">
        <f t="shared" si="20"/>
        <v>285</v>
      </c>
      <c r="U28" s="16">
        <f t="shared" si="20"/>
        <v>87</v>
      </c>
      <c r="V28" s="16">
        <f t="shared" si="20"/>
        <v>133</v>
      </c>
      <c r="W28" s="16">
        <f t="shared" si="20"/>
        <v>2</v>
      </c>
      <c r="X28" s="16">
        <f t="shared" si="20"/>
        <v>0</v>
      </c>
      <c r="Y28" s="16">
        <f t="shared" si="20"/>
        <v>86</v>
      </c>
      <c r="Z28" s="16">
        <f t="shared" si="20"/>
        <v>14</v>
      </c>
      <c r="AA28" s="16">
        <f t="shared" si="20"/>
        <v>5</v>
      </c>
      <c r="AB28" s="16">
        <f t="shared" si="20"/>
        <v>4</v>
      </c>
      <c r="AC28" s="16">
        <f t="shared" si="20"/>
        <v>2020</v>
      </c>
      <c r="AD28" s="16">
        <f t="shared" si="20"/>
        <v>1</v>
      </c>
      <c r="AE28" s="32">
        <f t="shared" si="20"/>
        <v>1226</v>
      </c>
      <c r="AF28" s="32">
        <f t="shared" si="20"/>
        <v>3246</v>
      </c>
    </row>
    <row r="29" spans="2:32" ht="23.1" customHeight="1" x14ac:dyDescent="0.25">
      <c r="B29" s="23" t="s">
        <v>56</v>
      </c>
      <c r="C29" s="50">
        <v>17</v>
      </c>
      <c r="D29" s="50">
        <v>5</v>
      </c>
      <c r="E29" s="50">
        <v>4</v>
      </c>
      <c r="F29" s="50">
        <v>3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53</v>
      </c>
      <c r="N29" s="50">
        <v>0</v>
      </c>
      <c r="O29" s="17">
        <f t="shared" si="0"/>
        <v>31</v>
      </c>
      <c r="P29" s="17">
        <f t="shared" si="1"/>
        <v>84</v>
      </c>
      <c r="R29"/>
      <c r="S29" s="20"/>
      <c r="T29" s="19"/>
    </row>
    <row r="30" spans="2:32" ht="23.1" customHeight="1" x14ac:dyDescent="0.25">
      <c r="B30" s="23" t="s">
        <v>57</v>
      </c>
      <c r="C30" s="50">
        <v>18</v>
      </c>
      <c r="D30" s="50">
        <v>8</v>
      </c>
      <c r="E30" s="50">
        <v>6</v>
      </c>
      <c r="F30" s="50">
        <v>2</v>
      </c>
      <c r="G30" s="50">
        <v>0</v>
      </c>
      <c r="H30" s="50">
        <v>0</v>
      </c>
      <c r="I30" s="50">
        <v>4</v>
      </c>
      <c r="J30" s="50">
        <v>1</v>
      </c>
      <c r="K30" s="50">
        <v>0</v>
      </c>
      <c r="L30" s="50">
        <v>0</v>
      </c>
      <c r="M30" s="50">
        <v>48</v>
      </c>
      <c r="N30" s="50">
        <v>0</v>
      </c>
      <c r="O30" s="17">
        <f t="shared" si="0"/>
        <v>39</v>
      </c>
      <c r="P30" s="17">
        <f t="shared" si="1"/>
        <v>87</v>
      </c>
      <c r="R30"/>
      <c r="S30" s="19"/>
      <c r="T30" s="19"/>
    </row>
    <row r="31" spans="2:32" ht="23.1" customHeight="1" x14ac:dyDescent="0.25">
      <c r="B31" s="24" t="s">
        <v>58</v>
      </c>
      <c r="C31" s="50">
        <v>12</v>
      </c>
      <c r="D31" s="50">
        <v>7</v>
      </c>
      <c r="E31" s="50">
        <v>2</v>
      </c>
      <c r="F31" s="50">
        <v>2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54</v>
      </c>
      <c r="N31" s="50">
        <v>0</v>
      </c>
      <c r="O31" s="17">
        <f t="shared" si="0"/>
        <v>26</v>
      </c>
      <c r="P31" s="17">
        <f t="shared" si="1"/>
        <v>80</v>
      </c>
      <c r="R31"/>
      <c r="S31" s="19"/>
      <c r="T31" s="19"/>
    </row>
    <row r="32" spans="2:32" ht="23.1" customHeight="1" x14ac:dyDescent="0.25">
      <c r="B32" s="24" t="s">
        <v>59</v>
      </c>
      <c r="C32" s="50">
        <v>13</v>
      </c>
      <c r="D32" s="50">
        <v>5</v>
      </c>
      <c r="E32" s="50">
        <v>2</v>
      </c>
      <c r="F32" s="50">
        <v>5</v>
      </c>
      <c r="G32" s="50">
        <v>0</v>
      </c>
      <c r="H32" s="50">
        <v>0</v>
      </c>
      <c r="I32" s="50">
        <v>4</v>
      </c>
      <c r="J32" s="50">
        <v>1</v>
      </c>
      <c r="K32" s="50">
        <v>0</v>
      </c>
      <c r="L32" s="50">
        <v>1</v>
      </c>
      <c r="M32" s="50">
        <v>45</v>
      </c>
      <c r="N32" s="50">
        <v>0</v>
      </c>
      <c r="O32" s="17">
        <f t="shared" si="0"/>
        <v>31</v>
      </c>
      <c r="P32" s="17">
        <f t="shared" si="1"/>
        <v>76</v>
      </c>
      <c r="R32"/>
      <c r="S32" s="19"/>
      <c r="T32" s="19"/>
    </row>
    <row r="33" spans="2:20" ht="23.1" customHeight="1" x14ac:dyDescent="0.25">
      <c r="B33" s="23" t="s">
        <v>60</v>
      </c>
      <c r="C33" s="50">
        <v>20</v>
      </c>
      <c r="D33" s="50">
        <v>1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38</v>
      </c>
      <c r="N33" s="50">
        <v>0</v>
      </c>
      <c r="O33" s="17">
        <f t="shared" si="0"/>
        <v>25</v>
      </c>
      <c r="P33" s="17">
        <f t="shared" si="1"/>
        <v>63</v>
      </c>
      <c r="R33"/>
      <c r="S33" s="19"/>
      <c r="T33" s="19"/>
    </row>
    <row r="34" spans="2:20" ht="23.1" customHeight="1" x14ac:dyDescent="0.25">
      <c r="B34" s="24" t="s">
        <v>61</v>
      </c>
      <c r="C34" s="50">
        <v>9</v>
      </c>
      <c r="D34" s="50">
        <v>7</v>
      </c>
      <c r="E34" s="50">
        <v>1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37</v>
      </c>
      <c r="N34" s="50">
        <v>0</v>
      </c>
      <c r="O34" s="17">
        <f t="shared" si="0"/>
        <v>19</v>
      </c>
      <c r="P34" s="17">
        <f t="shared" si="1"/>
        <v>56</v>
      </c>
      <c r="R34"/>
      <c r="S34" s="19"/>
      <c r="T34" s="19"/>
    </row>
    <row r="35" spans="2:20" ht="23.1" customHeight="1" x14ac:dyDescent="0.25">
      <c r="B35" s="24" t="s">
        <v>62</v>
      </c>
      <c r="C35" s="50">
        <v>20</v>
      </c>
      <c r="D35" s="50">
        <v>5</v>
      </c>
      <c r="E35" s="50">
        <v>4</v>
      </c>
      <c r="F35" s="50">
        <v>2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36</v>
      </c>
      <c r="N35" s="50">
        <v>0</v>
      </c>
      <c r="O35" s="17">
        <f t="shared" si="0"/>
        <v>33</v>
      </c>
      <c r="P35" s="17">
        <f t="shared" si="1"/>
        <v>69</v>
      </c>
      <c r="R35"/>
      <c r="S35" s="19"/>
      <c r="T35" s="19"/>
    </row>
    <row r="36" spans="2:20" ht="23.1" customHeight="1" x14ac:dyDescent="0.25">
      <c r="B36" s="24" t="s">
        <v>63</v>
      </c>
      <c r="C36" s="50">
        <v>15</v>
      </c>
      <c r="D36" s="50">
        <v>7</v>
      </c>
      <c r="E36" s="50">
        <v>2</v>
      </c>
      <c r="F36" s="50">
        <v>2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43</v>
      </c>
      <c r="N36" s="50">
        <v>0</v>
      </c>
      <c r="O36" s="17">
        <f t="shared" si="0"/>
        <v>27</v>
      </c>
      <c r="P36" s="17">
        <f t="shared" si="1"/>
        <v>70</v>
      </c>
      <c r="R36"/>
      <c r="S36" s="19"/>
      <c r="T36" s="19"/>
    </row>
    <row r="37" spans="2:20" ht="23.1" customHeight="1" x14ac:dyDescent="0.25">
      <c r="B37" s="23" t="s">
        <v>64</v>
      </c>
      <c r="C37" s="50">
        <v>21</v>
      </c>
      <c r="D37" s="50">
        <v>4</v>
      </c>
      <c r="E37" s="50">
        <v>2</v>
      </c>
      <c r="F37" s="50">
        <v>7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52</v>
      </c>
      <c r="N37" s="50">
        <v>0</v>
      </c>
      <c r="O37" s="17">
        <f t="shared" si="0"/>
        <v>38</v>
      </c>
      <c r="P37" s="17">
        <f t="shared" si="1"/>
        <v>90</v>
      </c>
      <c r="R37"/>
      <c r="S37" s="19"/>
      <c r="T37" s="19"/>
    </row>
    <row r="38" spans="2:20" ht="23.1" customHeight="1" x14ac:dyDescent="0.25">
      <c r="B38" s="24" t="s">
        <v>65</v>
      </c>
      <c r="C38" s="50">
        <v>12</v>
      </c>
      <c r="D38" s="50">
        <v>6</v>
      </c>
      <c r="E38" s="50">
        <v>2</v>
      </c>
      <c r="F38" s="50">
        <v>2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40</v>
      </c>
      <c r="N38" s="50">
        <v>0</v>
      </c>
      <c r="O38" s="17">
        <f t="shared" si="0"/>
        <v>25</v>
      </c>
      <c r="P38" s="17">
        <f t="shared" si="1"/>
        <v>65</v>
      </c>
      <c r="R38"/>
      <c r="S38" s="19"/>
      <c r="T38" s="19"/>
    </row>
    <row r="39" spans="2:20" ht="23.1" customHeight="1" x14ac:dyDescent="0.25">
      <c r="B39" s="24" t="s">
        <v>66</v>
      </c>
      <c r="C39" s="50">
        <v>13</v>
      </c>
      <c r="D39" s="50">
        <v>8</v>
      </c>
      <c r="E39" s="50">
        <v>1</v>
      </c>
      <c r="F39" s="50">
        <v>3</v>
      </c>
      <c r="G39" s="50">
        <v>0</v>
      </c>
      <c r="H39" s="50">
        <v>0</v>
      </c>
      <c r="I39" s="50">
        <v>0</v>
      </c>
      <c r="J39" s="50">
        <v>0</v>
      </c>
      <c r="K39" s="50">
        <v>1</v>
      </c>
      <c r="L39" s="50">
        <v>0</v>
      </c>
      <c r="M39" s="50">
        <v>35</v>
      </c>
      <c r="N39" s="50">
        <v>0</v>
      </c>
      <c r="O39" s="17">
        <f t="shared" si="0"/>
        <v>26</v>
      </c>
      <c r="P39" s="17">
        <f t="shared" si="1"/>
        <v>61</v>
      </c>
      <c r="R39"/>
      <c r="S39" s="19"/>
      <c r="T39" s="19"/>
    </row>
    <row r="40" spans="2:20" ht="23.1" customHeight="1" x14ac:dyDescent="0.25">
      <c r="B40" s="24" t="s">
        <v>67</v>
      </c>
      <c r="C40" s="50">
        <v>16</v>
      </c>
      <c r="D40" s="50">
        <v>11</v>
      </c>
      <c r="E40" s="50">
        <v>1</v>
      </c>
      <c r="F40" s="50">
        <v>1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43</v>
      </c>
      <c r="N40" s="50">
        <v>0</v>
      </c>
      <c r="O40" s="17">
        <f t="shared" si="0"/>
        <v>31</v>
      </c>
      <c r="P40" s="17">
        <f t="shared" si="1"/>
        <v>74</v>
      </c>
      <c r="R40"/>
      <c r="S40" s="19"/>
      <c r="T40" s="19"/>
    </row>
    <row r="41" spans="2:20" ht="23.1" customHeight="1" x14ac:dyDescent="0.25">
      <c r="B41" s="23" t="s">
        <v>68</v>
      </c>
      <c r="C41" s="50">
        <v>18</v>
      </c>
      <c r="D41" s="50">
        <v>10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38</v>
      </c>
      <c r="N41" s="50">
        <v>0</v>
      </c>
      <c r="O41" s="17">
        <f t="shared" si="0"/>
        <v>33</v>
      </c>
      <c r="P41" s="17">
        <f t="shared" si="1"/>
        <v>71</v>
      </c>
      <c r="R41"/>
      <c r="S41" s="19"/>
      <c r="T41" s="19"/>
    </row>
    <row r="42" spans="2:20" ht="23.1" customHeight="1" x14ac:dyDescent="0.25">
      <c r="B42" s="24" t="s">
        <v>69</v>
      </c>
      <c r="C42" s="50">
        <v>12</v>
      </c>
      <c r="D42" s="50">
        <v>5</v>
      </c>
      <c r="E42" s="50">
        <v>0</v>
      </c>
      <c r="F42" s="50">
        <v>5</v>
      </c>
      <c r="G42" s="50">
        <v>0</v>
      </c>
      <c r="H42" s="50">
        <v>0</v>
      </c>
      <c r="I42" s="50">
        <v>6</v>
      </c>
      <c r="J42" s="50">
        <v>0</v>
      </c>
      <c r="K42" s="50">
        <v>0</v>
      </c>
      <c r="L42" s="50">
        <v>0</v>
      </c>
      <c r="M42" s="50">
        <v>30</v>
      </c>
      <c r="N42" s="50">
        <v>0</v>
      </c>
      <c r="O42" s="17">
        <f t="shared" si="0"/>
        <v>28</v>
      </c>
      <c r="P42" s="17">
        <f t="shared" si="1"/>
        <v>58</v>
      </c>
      <c r="R42"/>
      <c r="S42" s="19"/>
      <c r="T42" s="19"/>
    </row>
    <row r="43" spans="2:20" ht="23.1" customHeight="1" x14ac:dyDescent="0.25">
      <c r="B43" s="23" t="s">
        <v>70</v>
      </c>
      <c r="C43" s="50">
        <v>8</v>
      </c>
      <c r="D43" s="50">
        <v>8</v>
      </c>
      <c r="E43" s="50">
        <v>0</v>
      </c>
      <c r="F43" s="50">
        <v>5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30</v>
      </c>
      <c r="N43" s="50">
        <v>0</v>
      </c>
      <c r="O43" s="17">
        <f t="shared" si="0"/>
        <v>24</v>
      </c>
      <c r="P43" s="17">
        <f t="shared" si="1"/>
        <v>54</v>
      </c>
      <c r="R43"/>
      <c r="S43" s="19"/>
      <c r="T43" s="19"/>
    </row>
    <row r="44" spans="2:20" ht="23.1" customHeight="1" x14ac:dyDescent="0.25">
      <c r="B44" s="25" t="s">
        <v>71</v>
      </c>
      <c r="C44" s="50">
        <v>9</v>
      </c>
      <c r="D44" s="50">
        <v>3</v>
      </c>
      <c r="E44" s="50">
        <v>5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58</v>
      </c>
      <c r="N44" s="50">
        <v>0</v>
      </c>
      <c r="O44" s="17">
        <f t="shared" si="0"/>
        <v>20</v>
      </c>
      <c r="P44" s="17">
        <f t="shared" si="1"/>
        <v>78</v>
      </c>
      <c r="R44"/>
      <c r="S44" s="19"/>
      <c r="T44" s="19"/>
    </row>
    <row r="45" spans="2:20" ht="23.1" customHeight="1" x14ac:dyDescent="0.25">
      <c r="B45" s="23" t="s">
        <v>72</v>
      </c>
      <c r="C45" s="50">
        <v>11</v>
      </c>
      <c r="D45" s="50">
        <v>8</v>
      </c>
      <c r="E45" s="50">
        <v>4</v>
      </c>
      <c r="F45" s="50">
        <v>3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45</v>
      </c>
      <c r="N45" s="50">
        <v>0</v>
      </c>
      <c r="O45" s="17">
        <f t="shared" si="0"/>
        <v>27</v>
      </c>
      <c r="P45" s="17">
        <f t="shared" si="1"/>
        <v>72</v>
      </c>
      <c r="R45"/>
      <c r="S45" s="19"/>
      <c r="T45" s="19"/>
    </row>
    <row r="46" spans="2:20" ht="23.1" customHeight="1" x14ac:dyDescent="0.25">
      <c r="B46" s="24" t="s">
        <v>73</v>
      </c>
      <c r="C46" s="50">
        <v>19</v>
      </c>
      <c r="D46" s="50">
        <v>6</v>
      </c>
      <c r="E46" s="50">
        <v>3</v>
      </c>
      <c r="F46" s="50">
        <v>2</v>
      </c>
      <c r="G46" s="50">
        <v>1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40</v>
      </c>
      <c r="N46" s="50">
        <v>0</v>
      </c>
      <c r="O46" s="17">
        <f t="shared" si="0"/>
        <v>33</v>
      </c>
      <c r="P46" s="17">
        <f t="shared" si="1"/>
        <v>73</v>
      </c>
      <c r="R46" s="19"/>
      <c r="S46" s="19"/>
      <c r="T46"/>
    </row>
    <row r="47" spans="2:20" ht="23.1" customHeight="1" x14ac:dyDescent="0.25">
      <c r="B47" s="24" t="s">
        <v>74</v>
      </c>
      <c r="C47" s="50">
        <v>18</v>
      </c>
      <c r="D47" s="50">
        <v>8</v>
      </c>
      <c r="E47" s="50">
        <v>0</v>
      </c>
      <c r="F47" s="50">
        <v>2</v>
      </c>
      <c r="G47" s="50">
        <v>0</v>
      </c>
      <c r="H47" s="50">
        <v>0</v>
      </c>
      <c r="I47" s="50">
        <v>3</v>
      </c>
      <c r="J47" s="50">
        <v>1</v>
      </c>
      <c r="K47" s="50">
        <v>0</v>
      </c>
      <c r="L47" s="50">
        <v>0</v>
      </c>
      <c r="M47" s="50">
        <v>49</v>
      </c>
      <c r="N47" s="50">
        <v>0</v>
      </c>
      <c r="O47" s="17">
        <f t="shared" si="0"/>
        <v>32</v>
      </c>
      <c r="P47" s="17">
        <f t="shared" si="1"/>
        <v>81</v>
      </c>
      <c r="R47" s="19"/>
      <c r="S47" s="19"/>
      <c r="T47"/>
    </row>
    <row r="48" spans="2:20" ht="23.1" customHeight="1" x14ac:dyDescent="0.25">
      <c r="B48" s="24" t="s">
        <v>75</v>
      </c>
      <c r="C48" s="50">
        <v>13</v>
      </c>
      <c r="D48" s="50">
        <v>10</v>
      </c>
      <c r="E48" s="50">
        <v>0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35</v>
      </c>
      <c r="N48" s="50">
        <v>0</v>
      </c>
      <c r="O48" s="17">
        <f t="shared" si="0"/>
        <v>27</v>
      </c>
      <c r="P48" s="17">
        <f t="shared" si="1"/>
        <v>62</v>
      </c>
      <c r="R48" s="19"/>
      <c r="S48" s="19"/>
      <c r="T48"/>
    </row>
    <row r="49" spans="2:20" ht="23.1" customHeight="1" x14ac:dyDescent="0.25">
      <c r="B49" s="23" t="s">
        <v>76</v>
      </c>
      <c r="C49" s="50">
        <v>16</v>
      </c>
      <c r="D49" s="50">
        <v>2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48</v>
      </c>
      <c r="N49" s="50">
        <v>0</v>
      </c>
      <c r="O49" s="17">
        <f t="shared" si="0"/>
        <v>19</v>
      </c>
      <c r="P49" s="17">
        <f t="shared" si="1"/>
        <v>67</v>
      </c>
      <c r="R49" s="19"/>
      <c r="S49" s="19"/>
      <c r="T49"/>
    </row>
    <row r="50" spans="2:20" ht="23.1" customHeight="1" x14ac:dyDescent="0.25">
      <c r="B50" s="24" t="s">
        <v>77</v>
      </c>
      <c r="C50" s="50">
        <v>19</v>
      </c>
      <c r="D50" s="50">
        <v>6</v>
      </c>
      <c r="E50" s="50">
        <v>3</v>
      </c>
      <c r="F50" s="50">
        <v>2</v>
      </c>
      <c r="G50" s="50">
        <v>1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40</v>
      </c>
      <c r="N50" s="50">
        <v>0</v>
      </c>
      <c r="O50" s="17">
        <f t="shared" si="0"/>
        <v>33</v>
      </c>
      <c r="P50" s="17">
        <f t="shared" si="1"/>
        <v>73</v>
      </c>
      <c r="R50" s="19"/>
      <c r="S50" s="19"/>
      <c r="T50"/>
    </row>
    <row r="51" spans="2:20" ht="23.1" customHeight="1" x14ac:dyDescent="0.25">
      <c r="B51" s="24" t="s">
        <v>78</v>
      </c>
      <c r="C51" s="50">
        <v>18</v>
      </c>
      <c r="D51" s="50">
        <v>8</v>
      </c>
      <c r="E51" s="50">
        <v>1</v>
      </c>
      <c r="F51" s="50">
        <v>2</v>
      </c>
      <c r="G51" s="50">
        <v>0</v>
      </c>
      <c r="H51" s="50">
        <v>0</v>
      </c>
      <c r="I51" s="50">
        <v>3</v>
      </c>
      <c r="J51" s="50">
        <v>1</v>
      </c>
      <c r="K51" s="50">
        <v>0</v>
      </c>
      <c r="L51" s="50">
        <v>0</v>
      </c>
      <c r="M51" s="50">
        <v>49</v>
      </c>
      <c r="N51" s="50">
        <v>0</v>
      </c>
      <c r="O51" s="17">
        <f t="shared" si="0"/>
        <v>33</v>
      </c>
      <c r="P51" s="17">
        <f t="shared" si="1"/>
        <v>82</v>
      </c>
      <c r="R51" s="19"/>
      <c r="S51" s="19"/>
      <c r="T51"/>
    </row>
    <row r="52" spans="2:20" ht="23.1" customHeight="1" x14ac:dyDescent="0.25">
      <c r="B52" s="24" t="s">
        <v>79</v>
      </c>
      <c r="C52" s="50">
        <v>13</v>
      </c>
      <c r="D52" s="50">
        <v>10</v>
      </c>
      <c r="E52" s="50">
        <v>0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35</v>
      </c>
      <c r="N52" s="50">
        <v>0</v>
      </c>
      <c r="O52" s="17">
        <f t="shared" si="0"/>
        <v>27</v>
      </c>
      <c r="P52" s="17">
        <f t="shared" si="1"/>
        <v>62</v>
      </c>
      <c r="R52" s="19"/>
      <c r="S52" s="19"/>
      <c r="T52"/>
    </row>
    <row r="53" spans="2:20" ht="23.1" customHeight="1" x14ac:dyDescent="0.25">
      <c r="B53" s="23" t="s">
        <v>80</v>
      </c>
      <c r="C53" s="50">
        <v>16</v>
      </c>
      <c r="D53" s="50">
        <v>2</v>
      </c>
      <c r="E53" s="50">
        <v>0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48</v>
      </c>
      <c r="N53" s="50">
        <v>0</v>
      </c>
      <c r="O53" s="17">
        <f t="shared" si="0"/>
        <v>21</v>
      </c>
      <c r="P53" s="17">
        <f t="shared" si="1"/>
        <v>69</v>
      </c>
      <c r="R53" s="19"/>
      <c r="S53" s="19"/>
      <c r="T53"/>
    </row>
    <row r="54" spans="2:20" ht="23.1" customHeight="1" x14ac:dyDescent="0.25">
      <c r="B54" s="23" t="s">
        <v>81</v>
      </c>
      <c r="C54" s="50">
        <v>12</v>
      </c>
      <c r="D54" s="50">
        <v>10</v>
      </c>
      <c r="E54" s="50">
        <v>5</v>
      </c>
      <c r="F54" s="50">
        <v>5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42</v>
      </c>
      <c r="N54" s="50">
        <v>0</v>
      </c>
      <c r="O54" s="17">
        <f t="shared" si="0"/>
        <v>33</v>
      </c>
      <c r="P54" s="17">
        <f t="shared" si="1"/>
        <v>75</v>
      </c>
      <c r="R54" s="19"/>
      <c r="S54" s="19"/>
      <c r="T54"/>
    </row>
    <row r="55" spans="2:20" ht="23.1" customHeight="1" x14ac:dyDescent="0.25">
      <c r="B55" s="23" t="s">
        <v>82</v>
      </c>
      <c r="C55" s="50">
        <v>7</v>
      </c>
      <c r="D55" s="50">
        <v>5</v>
      </c>
      <c r="E55" s="50">
        <v>1</v>
      </c>
      <c r="F55" s="50">
        <v>2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37</v>
      </c>
      <c r="N55" s="50">
        <v>0</v>
      </c>
      <c r="O55" s="17">
        <f t="shared" si="0"/>
        <v>15</v>
      </c>
      <c r="P55" s="17">
        <f t="shared" si="1"/>
        <v>52</v>
      </c>
      <c r="R55" s="19"/>
      <c r="S55" s="19"/>
      <c r="T55"/>
    </row>
    <row r="56" spans="2:20" ht="23.1" customHeight="1" x14ac:dyDescent="0.25">
      <c r="B56" s="23" t="s">
        <v>83</v>
      </c>
      <c r="C56" s="50">
        <v>9</v>
      </c>
      <c r="D56" s="50">
        <v>12</v>
      </c>
      <c r="E56" s="50">
        <v>1</v>
      </c>
      <c r="F56" s="50">
        <v>4</v>
      </c>
      <c r="G56" s="50">
        <v>0</v>
      </c>
      <c r="H56" s="50">
        <v>0</v>
      </c>
      <c r="I56" s="50">
        <v>4</v>
      </c>
      <c r="J56" s="50">
        <v>0</v>
      </c>
      <c r="K56" s="50">
        <v>0</v>
      </c>
      <c r="L56" s="50">
        <v>0</v>
      </c>
      <c r="M56" s="50">
        <v>36</v>
      </c>
      <c r="N56" s="50">
        <v>0</v>
      </c>
      <c r="O56" s="17">
        <f t="shared" si="0"/>
        <v>30</v>
      </c>
      <c r="P56" s="17">
        <f t="shared" si="1"/>
        <v>66</v>
      </c>
      <c r="R56" s="19"/>
      <c r="S56" s="19"/>
      <c r="T56"/>
    </row>
    <row r="57" spans="2:20" ht="23.1" customHeight="1" x14ac:dyDescent="0.25">
      <c r="B57" s="23" t="s">
        <v>84</v>
      </c>
      <c r="C57" s="50">
        <v>14</v>
      </c>
      <c r="D57" s="50">
        <v>8</v>
      </c>
      <c r="E57" s="50">
        <v>3</v>
      </c>
      <c r="F57" s="50">
        <v>2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34</v>
      </c>
      <c r="N57" s="50">
        <v>0</v>
      </c>
      <c r="O57" s="17">
        <f t="shared" si="0"/>
        <v>29</v>
      </c>
      <c r="P57" s="17">
        <f t="shared" si="1"/>
        <v>63</v>
      </c>
      <c r="R57" s="19"/>
      <c r="S57" s="19"/>
      <c r="T57"/>
    </row>
    <row r="58" spans="2:20" ht="23.1" customHeight="1" x14ac:dyDescent="0.25">
      <c r="B58" s="54" t="s">
        <v>18</v>
      </c>
      <c r="C58" s="16">
        <f t="shared" ref="C58:P58" si="21">SUM(C10:C57)</f>
        <v>609</v>
      </c>
      <c r="D58" s="16">
        <f t="shared" si="21"/>
        <v>285</v>
      </c>
      <c r="E58" s="16">
        <f t="shared" si="21"/>
        <v>87</v>
      </c>
      <c r="F58" s="16">
        <f t="shared" si="21"/>
        <v>133</v>
      </c>
      <c r="G58" s="16">
        <f t="shared" si="21"/>
        <v>2</v>
      </c>
      <c r="H58" s="16">
        <f t="shared" si="21"/>
        <v>0</v>
      </c>
      <c r="I58" s="16">
        <f t="shared" si="21"/>
        <v>86</v>
      </c>
      <c r="J58" s="16">
        <f t="shared" si="21"/>
        <v>14</v>
      </c>
      <c r="K58" s="16">
        <f t="shared" si="21"/>
        <v>5</v>
      </c>
      <c r="L58" s="16">
        <f t="shared" si="21"/>
        <v>4</v>
      </c>
      <c r="M58" s="16">
        <f t="shared" si="21"/>
        <v>2020</v>
      </c>
      <c r="N58" s="16">
        <f t="shared" si="21"/>
        <v>1</v>
      </c>
      <c r="O58" s="16">
        <f t="shared" si="21"/>
        <v>1226</v>
      </c>
      <c r="P58" s="16">
        <f t="shared" si="21"/>
        <v>3246</v>
      </c>
      <c r="R58" s="19"/>
      <c r="S58" s="19"/>
      <c r="T58"/>
    </row>
    <row r="59" spans="2:20" ht="23.1" customHeight="1" x14ac:dyDescent="0.25">
      <c r="B59" s="54" t="s">
        <v>93</v>
      </c>
      <c r="C59" s="43">
        <f t="shared" ref="C59:N59" si="22">C58/$P$58</f>
        <v>0.1876155268022181</v>
      </c>
      <c r="D59" s="43">
        <f t="shared" si="22"/>
        <v>8.7800369685767099E-2</v>
      </c>
      <c r="E59" s="43">
        <f t="shared" si="22"/>
        <v>2.6802218114602587E-2</v>
      </c>
      <c r="F59" s="43">
        <f t="shared" si="22"/>
        <v>4.0973505853357982E-2</v>
      </c>
      <c r="G59" s="43">
        <f t="shared" si="22"/>
        <v>6.1614294516327791E-4</v>
      </c>
      <c r="H59" s="43">
        <f t="shared" si="22"/>
        <v>0</v>
      </c>
      <c r="I59" s="43">
        <f t="shared" si="22"/>
        <v>2.649414664202095E-2</v>
      </c>
      <c r="J59" s="43">
        <f t="shared" si="22"/>
        <v>4.3130006161429448E-3</v>
      </c>
      <c r="K59" s="43">
        <f t="shared" si="22"/>
        <v>1.5403573629081946E-3</v>
      </c>
      <c r="L59" s="43">
        <f t="shared" si="22"/>
        <v>1.2322858903265558E-3</v>
      </c>
      <c r="M59" s="43">
        <f t="shared" si="22"/>
        <v>0.62230437461491062</v>
      </c>
      <c r="N59" s="43">
        <f t="shared" si="22"/>
        <v>3.0807147258163895E-4</v>
      </c>
      <c r="R59" s="19"/>
      <c r="S59" s="19"/>
      <c r="T59"/>
    </row>
    <row r="60" spans="2:20" ht="23.1" customHeight="1" x14ac:dyDescent="0.25">
      <c r="B60" s="55" t="s">
        <v>94</v>
      </c>
      <c r="C60" s="44">
        <f>C58/$O$58</f>
        <v>0.49673735725938012</v>
      </c>
      <c r="D60" s="44">
        <f t="shared" ref="D60:N60" si="23">D58/$O$58</f>
        <v>0.23246329526916804</v>
      </c>
      <c r="E60" s="44">
        <f t="shared" si="23"/>
        <v>7.096247960848287E-2</v>
      </c>
      <c r="F60" s="44">
        <f t="shared" si="23"/>
        <v>0.10848287112561175</v>
      </c>
      <c r="G60" s="44">
        <f t="shared" si="23"/>
        <v>1.6313213703099511E-3</v>
      </c>
      <c r="H60" s="44">
        <f t="shared" si="23"/>
        <v>0</v>
      </c>
      <c r="I60" s="44">
        <f t="shared" si="23"/>
        <v>7.01468189233279E-2</v>
      </c>
      <c r="J60" s="44">
        <f t="shared" si="23"/>
        <v>1.1419249592169658E-2</v>
      </c>
      <c r="K60" s="44">
        <f t="shared" si="23"/>
        <v>4.0783034257748773E-3</v>
      </c>
      <c r="L60" s="44">
        <f t="shared" si="23"/>
        <v>3.2626427406199023E-3</v>
      </c>
      <c r="M60" s="44"/>
      <c r="N60" s="44">
        <f t="shared" si="23"/>
        <v>8.1566068515497557E-4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'29.09 Kasangati-Matugga'!C3:G3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145" t="str">
        <f>'[1]29.09 Kasangati-Matuga'!D5</f>
        <v>29.09.19</v>
      </c>
      <c r="F5" s="41" t="s">
        <v>1</v>
      </c>
      <c r="G5" s="150" t="str">
        <f>'[1]29.09 Kasangati-Matuga'!G5:H5</f>
        <v>Kiiza-besigye road</v>
      </c>
      <c r="H5" s="151"/>
      <c r="I5" s="14"/>
      <c r="J5" s="2" t="s">
        <v>5</v>
      </c>
      <c r="K5" s="150" t="str">
        <f>'[1]29.09 Kasangati-Matuga'!K5:L5</f>
        <v>Nakiwugwe. Allen</v>
      </c>
      <c r="L5" s="151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150" t="str">
        <f>'[1]23.09- Matuga -Kasangati'!D6:E6</f>
        <v>Matuga</v>
      </c>
      <c r="E6" s="151"/>
      <c r="F6" s="2" t="s">
        <v>2</v>
      </c>
      <c r="G6" s="150" t="str">
        <f>'[1]23.09- Matuga -Kasangati'!G6:H6</f>
        <v>Kasangati</v>
      </c>
      <c r="H6" s="151"/>
      <c r="J6" s="2" t="s">
        <v>21</v>
      </c>
      <c r="K6" s="150" t="str">
        <f>'[1]29.09 Kasangati-Matuga'!K6:L6</f>
        <v>lawrence</v>
      </c>
      <c r="L6" s="151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6" t="s">
        <v>88</v>
      </c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</v>
      </c>
      <c r="D10" s="50">
        <v>1</v>
      </c>
      <c r="E10" s="50">
        <v>2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34</v>
      </c>
      <c r="N10" s="50">
        <v>0</v>
      </c>
      <c r="O10" s="17">
        <f t="shared" ref="O10:O57" si="0">SUM(C10:L10,N10)</f>
        <v>15</v>
      </c>
      <c r="P10" s="17">
        <f t="shared" ref="P10:P57" si="1">SUM(C10:N10)</f>
        <v>49</v>
      </c>
      <c r="R10" s="1" t="s">
        <v>6</v>
      </c>
      <c r="S10" s="17">
        <f t="shared" ref="S10:AF10" si="2">SUM(C10:C13)</f>
        <v>41</v>
      </c>
      <c r="T10" s="17">
        <f t="shared" si="2"/>
        <v>7</v>
      </c>
      <c r="U10" s="17">
        <f t="shared" si="2"/>
        <v>4</v>
      </c>
      <c r="V10" s="17">
        <f t="shared" si="2"/>
        <v>10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151</v>
      </c>
      <c r="AD10" s="17">
        <f t="shared" si="2"/>
        <v>0</v>
      </c>
      <c r="AE10" s="31">
        <f t="shared" si="2"/>
        <v>65</v>
      </c>
      <c r="AF10" s="31">
        <f t="shared" si="2"/>
        <v>216</v>
      </c>
    </row>
    <row r="11" spans="2:32" s="6" customFormat="1" ht="23.1" customHeight="1" x14ac:dyDescent="0.25">
      <c r="B11" s="23" t="s">
        <v>38</v>
      </c>
      <c r="C11" s="50">
        <v>6</v>
      </c>
      <c r="D11" s="50">
        <v>2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38</v>
      </c>
      <c r="N11" s="50">
        <v>0</v>
      </c>
      <c r="O11" s="17">
        <f t="shared" si="0"/>
        <v>9</v>
      </c>
      <c r="P11" s="17">
        <f t="shared" si="1"/>
        <v>47</v>
      </c>
      <c r="R11" s="1" t="s">
        <v>7</v>
      </c>
      <c r="S11" s="17">
        <f t="shared" ref="S11:AF11" si="3">SUM(C14:C17)</f>
        <v>42</v>
      </c>
      <c r="T11" s="17">
        <f t="shared" si="3"/>
        <v>5</v>
      </c>
      <c r="U11" s="17">
        <f t="shared" si="3"/>
        <v>8</v>
      </c>
      <c r="V11" s="17">
        <f t="shared" si="3"/>
        <v>8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171</v>
      </c>
      <c r="AD11" s="17">
        <f t="shared" si="3"/>
        <v>0</v>
      </c>
      <c r="AE11" s="31">
        <f t="shared" si="3"/>
        <v>66</v>
      </c>
      <c r="AF11" s="31">
        <f t="shared" si="3"/>
        <v>237</v>
      </c>
    </row>
    <row r="12" spans="2:32" ht="23.1" customHeight="1" x14ac:dyDescent="0.25">
      <c r="B12" s="23" t="s">
        <v>39</v>
      </c>
      <c r="C12" s="50">
        <v>11</v>
      </c>
      <c r="D12" s="50">
        <v>2</v>
      </c>
      <c r="E12" s="50">
        <v>1</v>
      </c>
      <c r="F12" s="50">
        <v>3</v>
      </c>
      <c r="G12" s="50">
        <v>0</v>
      </c>
      <c r="H12" s="50">
        <v>0</v>
      </c>
      <c r="I12" s="50">
        <v>1</v>
      </c>
      <c r="J12" s="50">
        <v>0</v>
      </c>
      <c r="K12" s="50">
        <v>1</v>
      </c>
      <c r="L12" s="50">
        <v>0</v>
      </c>
      <c r="M12" s="50">
        <v>31</v>
      </c>
      <c r="N12" s="50">
        <v>0</v>
      </c>
      <c r="O12" s="17">
        <f t="shared" si="0"/>
        <v>19</v>
      </c>
      <c r="P12" s="17">
        <f t="shared" si="1"/>
        <v>50</v>
      </c>
      <c r="R12" s="1" t="s">
        <v>8</v>
      </c>
      <c r="S12" s="17">
        <f t="shared" ref="S12:AF12" si="4">SUM(C18:C21)</f>
        <v>67</v>
      </c>
      <c r="T12" s="17">
        <f t="shared" si="4"/>
        <v>18</v>
      </c>
      <c r="U12" s="17">
        <f t="shared" si="4"/>
        <v>8</v>
      </c>
      <c r="V12" s="17">
        <f t="shared" si="4"/>
        <v>16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218</v>
      </c>
      <c r="AD12" s="17">
        <f t="shared" si="4"/>
        <v>0</v>
      </c>
      <c r="AE12" s="31">
        <f t="shared" si="4"/>
        <v>120</v>
      </c>
      <c r="AF12" s="31">
        <f t="shared" si="4"/>
        <v>338</v>
      </c>
    </row>
    <row r="13" spans="2:32" ht="23.1" customHeight="1" x14ac:dyDescent="0.25">
      <c r="B13" s="23" t="s">
        <v>40</v>
      </c>
      <c r="C13" s="50">
        <v>15</v>
      </c>
      <c r="D13" s="50">
        <v>2</v>
      </c>
      <c r="E13" s="50">
        <v>1</v>
      </c>
      <c r="F13" s="50">
        <v>3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48</v>
      </c>
      <c r="N13" s="50">
        <v>0</v>
      </c>
      <c r="O13" s="17">
        <f t="shared" si="0"/>
        <v>22</v>
      </c>
      <c r="P13" s="17">
        <f t="shared" si="1"/>
        <v>70</v>
      </c>
      <c r="R13" s="1" t="s">
        <v>9</v>
      </c>
      <c r="S13" s="17">
        <f t="shared" ref="S13:AF13" si="5">SUM(C22:C25)</f>
        <v>50</v>
      </c>
      <c r="T13" s="17">
        <f t="shared" si="5"/>
        <v>7</v>
      </c>
      <c r="U13" s="17">
        <f t="shared" si="5"/>
        <v>7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194</v>
      </c>
      <c r="AD13" s="17">
        <f t="shared" si="5"/>
        <v>0</v>
      </c>
      <c r="AE13" s="31">
        <f t="shared" si="5"/>
        <v>80</v>
      </c>
      <c r="AF13" s="31">
        <f t="shared" si="5"/>
        <v>274</v>
      </c>
    </row>
    <row r="14" spans="2:32" ht="23.1" customHeight="1" x14ac:dyDescent="0.25">
      <c r="B14" s="23" t="s">
        <v>41</v>
      </c>
      <c r="C14" s="50">
        <v>11</v>
      </c>
      <c r="D14" s="50">
        <v>2</v>
      </c>
      <c r="E14" s="50">
        <v>4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36</v>
      </c>
      <c r="N14" s="50">
        <v>0</v>
      </c>
      <c r="O14" s="17">
        <f t="shared" si="0"/>
        <v>19</v>
      </c>
      <c r="P14" s="17">
        <f t="shared" si="1"/>
        <v>55</v>
      </c>
      <c r="R14" s="1" t="s">
        <v>10</v>
      </c>
      <c r="S14" s="17">
        <f t="shared" ref="S14:AF14" si="6">SUM(C26:C29)</f>
        <v>79</v>
      </c>
      <c r="T14" s="17">
        <f t="shared" si="6"/>
        <v>21</v>
      </c>
      <c r="U14" s="17">
        <f t="shared" si="6"/>
        <v>12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0</v>
      </c>
      <c r="AA14" s="17">
        <f t="shared" si="6"/>
        <v>1</v>
      </c>
      <c r="AB14" s="17">
        <f t="shared" si="6"/>
        <v>1</v>
      </c>
      <c r="AC14" s="17">
        <f t="shared" si="6"/>
        <v>229</v>
      </c>
      <c r="AD14" s="17">
        <f t="shared" si="6"/>
        <v>0</v>
      </c>
      <c r="AE14" s="31">
        <f t="shared" si="6"/>
        <v>139</v>
      </c>
      <c r="AF14" s="31">
        <f t="shared" si="6"/>
        <v>368</v>
      </c>
    </row>
    <row r="15" spans="2:32" ht="23.1" customHeight="1" x14ac:dyDescent="0.25">
      <c r="B15" s="23" t="s">
        <v>42</v>
      </c>
      <c r="C15" s="50">
        <v>13</v>
      </c>
      <c r="D15" s="50">
        <v>1</v>
      </c>
      <c r="E15" s="50">
        <v>2</v>
      </c>
      <c r="F15" s="50">
        <v>1</v>
      </c>
      <c r="G15" s="50">
        <v>1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52</v>
      </c>
      <c r="N15" s="50">
        <v>0</v>
      </c>
      <c r="O15" s="17">
        <f t="shared" si="0"/>
        <v>19</v>
      </c>
      <c r="P15" s="17">
        <f t="shared" si="1"/>
        <v>71</v>
      </c>
      <c r="R15" s="1" t="s">
        <v>11</v>
      </c>
      <c r="S15" s="17">
        <f t="shared" ref="S15:AF15" si="7">SUM(C30:C33)</f>
        <v>60</v>
      </c>
      <c r="T15" s="17">
        <f t="shared" si="7"/>
        <v>5</v>
      </c>
      <c r="U15" s="17">
        <f t="shared" si="7"/>
        <v>8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158</v>
      </c>
      <c r="AD15" s="17">
        <f t="shared" si="7"/>
        <v>0</v>
      </c>
      <c r="AE15" s="31">
        <f t="shared" si="7"/>
        <v>94</v>
      </c>
      <c r="AF15" s="31">
        <f t="shared" si="7"/>
        <v>252</v>
      </c>
    </row>
    <row r="16" spans="2:32" ht="23.1" customHeight="1" x14ac:dyDescent="0.25">
      <c r="B16" s="23" t="s">
        <v>43</v>
      </c>
      <c r="C16" s="50">
        <v>8</v>
      </c>
      <c r="D16" s="50">
        <v>1</v>
      </c>
      <c r="E16" s="50">
        <v>1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51</v>
      </c>
      <c r="N16" s="50">
        <v>0</v>
      </c>
      <c r="O16" s="17">
        <f t="shared" si="0"/>
        <v>13</v>
      </c>
      <c r="P16" s="17">
        <f t="shared" si="1"/>
        <v>64</v>
      </c>
      <c r="R16" s="1" t="s">
        <v>12</v>
      </c>
      <c r="S16" s="17">
        <f t="shared" ref="S16:AF16" si="8">SUM(C34:C37)</f>
        <v>57</v>
      </c>
      <c r="T16" s="17">
        <f t="shared" si="8"/>
        <v>8</v>
      </c>
      <c r="U16" s="17">
        <f t="shared" si="8"/>
        <v>8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116</v>
      </c>
      <c r="AD16" s="17">
        <f t="shared" si="8"/>
        <v>0</v>
      </c>
      <c r="AE16" s="31">
        <f t="shared" si="8"/>
        <v>90</v>
      </c>
      <c r="AF16" s="31">
        <f t="shared" si="8"/>
        <v>206</v>
      </c>
    </row>
    <row r="17" spans="2:32" ht="23.1" customHeight="1" x14ac:dyDescent="0.25">
      <c r="B17" s="23" t="s">
        <v>44</v>
      </c>
      <c r="C17" s="50">
        <v>10</v>
      </c>
      <c r="D17" s="50">
        <v>1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32</v>
      </c>
      <c r="N17" s="50">
        <v>0</v>
      </c>
      <c r="O17" s="17">
        <f t="shared" si="0"/>
        <v>15</v>
      </c>
      <c r="P17" s="17">
        <f t="shared" si="1"/>
        <v>47</v>
      </c>
      <c r="R17" s="1" t="s">
        <v>13</v>
      </c>
      <c r="S17" s="17">
        <f t="shared" ref="S17:AF17" si="9">SUM(C38:C41)</f>
        <v>68</v>
      </c>
      <c r="T17" s="17">
        <f t="shared" si="9"/>
        <v>11</v>
      </c>
      <c r="U17" s="17">
        <f t="shared" si="9"/>
        <v>8</v>
      </c>
      <c r="V17" s="17">
        <f t="shared" si="9"/>
        <v>15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0</v>
      </c>
      <c r="AA17" s="17">
        <f t="shared" si="9"/>
        <v>0</v>
      </c>
      <c r="AB17" s="17">
        <f t="shared" si="9"/>
        <v>2</v>
      </c>
      <c r="AC17" s="17">
        <f t="shared" si="9"/>
        <v>162</v>
      </c>
      <c r="AD17" s="17">
        <f t="shared" si="9"/>
        <v>0</v>
      </c>
      <c r="AE17" s="31">
        <f t="shared" si="9"/>
        <v>110</v>
      </c>
      <c r="AF17" s="31">
        <f t="shared" si="9"/>
        <v>272</v>
      </c>
    </row>
    <row r="18" spans="2:32" ht="23.1" customHeight="1" x14ac:dyDescent="0.25">
      <c r="B18" s="23" t="s">
        <v>45</v>
      </c>
      <c r="C18" s="50">
        <v>16</v>
      </c>
      <c r="D18" s="50">
        <v>9</v>
      </c>
      <c r="E18" s="50">
        <v>0</v>
      </c>
      <c r="F18" s="50">
        <v>4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50</v>
      </c>
      <c r="N18" s="50">
        <v>0</v>
      </c>
      <c r="O18" s="17">
        <f t="shared" si="0"/>
        <v>30</v>
      </c>
      <c r="P18" s="17">
        <f t="shared" si="1"/>
        <v>80</v>
      </c>
      <c r="R18" s="1" t="s">
        <v>14</v>
      </c>
      <c r="S18" s="17">
        <f t="shared" ref="S18:AF18" si="10">SUM(C42:C45)</f>
        <v>60</v>
      </c>
      <c r="T18" s="17">
        <f t="shared" si="10"/>
        <v>10</v>
      </c>
      <c r="U18" s="17">
        <f t="shared" si="10"/>
        <v>10</v>
      </c>
      <c r="V18" s="17">
        <f t="shared" si="10"/>
        <v>8</v>
      </c>
      <c r="W18" s="17">
        <f t="shared" si="10"/>
        <v>1</v>
      </c>
      <c r="X18" s="17">
        <f t="shared" si="10"/>
        <v>0</v>
      </c>
      <c r="Y18" s="17">
        <f t="shared" si="10"/>
        <v>5</v>
      </c>
      <c r="Z18" s="17">
        <f t="shared" si="10"/>
        <v>1</v>
      </c>
      <c r="AA18" s="17">
        <f t="shared" si="10"/>
        <v>1</v>
      </c>
      <c r="AB18" s="17">
        <f t="shared" si="10"/>
        <v>1</v>
      </c>
      <c r="AC18" s="17">
        <f t="shared" si="10"/>
        <v>171</v>
      </c>
      <c r="AD18" s="17">
        <f t="shared" si="10"/>
        <v>0</v>
      </c>
      <c r="AE18" s="31">
        <f t="shared" si="10"/>
        <v>97</v>
      </c>
      <c r="AF18" s="31">
        <f t="shared" si="10"/>
        <v>268</v>
      </c>
    </row>
    <row r="19" spans="2:32" ht="23.1" customHeight="1" x14ac:dyDescent="0.25">
      <c r="B19" s="23" t="s">
        <v>46</v>
      </c>
      <c r="C19" s="50">
        <v>20</v>
      </c>
      <c r="D19" s="50">
        <v>6</v>
      </c>
      <c r="E19" s="50">
        <v>5</v>
      </c>
      <c r="F19" s="50">
        <v>3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82</v>
      </c>
      <c r="N19" s="50">
        <v>0</v>
      </c>
      <c r="O19" s="17">
        <f t="shared" si="0"/>
        <v>36</v>
      </c>
      <c r="P19" s="17">
        <f t="shared" si="1"/>
        <v>118</v>
      </c>
      <c r="R19" s="1" t="s">
        <v>15</v>
      </c>
      <c r="S19" s="17">
        <f t="shared" ref="S19:AF19" si="11">SUM(C46:C49)</f>
        <v>77</v>
      </c>
      <c r="T19" s="17">
        <f t="shared" si="11"/>
        <v>8</v>
      </c>
      <c r="U19" s="17">
        <f t="shared" si="11"/>
        <v>9</v>
      </c>
      <c r="V19" s="17">
        <f t="shared" si="11"/>
        <v>11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158</v>
      </c>
      <c r="AD19" s="17">
        <f t="shared" si="11"/>
        <v>1</v>
      </c>
      <c r="AE19" s="31">
        <f t="shared" si="11"/>
        <v>116</v>
      </c>
      <c r="AF19" s="31">
        <f t="shared" si="11"/>
        <v>274</v>
      </c>
    </row>
    <row r="20" spans="2:32" ht="23.1" customHeight="1" x14ac:dyDescent="0.25">
      <c r="B20" s="23" t="s">
        <v>47</v>
      </c>
      <c r="C20" s="50">
        <v>17</v>
      </c>
      <c r="D20" s="50">
        <v>2</v>
      </c>
      <c r="E20" s="50">
        <v>1</v>
      </c>
      <c r="F20" s="50">
        <v>3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40</v>
      </c>
      <c r="N20" s="50">
        <v>0</v>
      </c>
      <c r="O20" s="17">
        <f t="shared" si="0"/>
        <v>26</v>
      </c>
      <c r="P20" s="17">
        <f t="shared" si="1"/>
        <v>66</v>
      </c>
      <c r="R20" s="1" t="s">
        <v>16</v>
      </c>
      <c r="S20" s="17">
        <f t="shared" ref="S20:AF20" si="12">SUM(C50:C53)</f>
        <v>61</v>
      </c>
      <c r="T20" s="17">
        <f t="shared" si="12"/>
        <v>22</v>
      </c>
      <c r="U20" s="17">
        <f t="shared" si="12"/>
        <v>7</v>
      </c>
      <c r="V20" s="17">
        <f t="shared" si="12"/>
        <v>23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163</v>
      </c>
      <c r="AD20" s="17">
        <f t="shared" si="12"/>
        <v>0</v>
      </c>
      <c r="AE20" s="31">
        <f t="shared" si="12"/>
        <v>120</v>
      </c>
      <c r="AF20" s="31">
        <f t="shared" si="12"/>
        <v>283</v>
      </c>
    </row>
    <row r="21" spans="2:32" ht="23.1" customHeight="1" x14ac:dyDescent="0.25">
      <c r="B21" s="23" t="s">
        <v>48</v>
      </c>
      <c r="C21" s="50">
        <v>14</v>
      </c>
      <c r="D21" s="50">
        <v>1</v>
      </c>
      <c r="E21" s="50">
        <v>2</v>
      </c>
      <c r="F21" s="50">
        <v>6</v>
      </c>
      <c r="G21" s="50">
        <v>0</v>
      </c>
      <c r="H21" s="50">
        <v>0</v>
      </c>
      <c r="I21" s="50">
        <v>4</v>
      </c>
      <c r="J21" s="50">
        <v>0</v>
      </c>
      <c r="K21" s="50">
        <v>1</v>
      </c>
      <c r="L21" s="50">
        <v>0</v>
      </c>
      <c r="M21" s="50">
        <v>46</v>
      </c>
      <c r="N21" s="50">
        <v>0</v>
      </c>
      <c r="O21" s="17">
        <f t="shared" si="0"/>
        <v>28</v>
      </c>
      <c r="P21" s="17">
        <f t="shared" si="1"/>
        <v>74</v>
      </c>
      <c r="R21" s="36" t="s">
        <v>20</v>
      </c>
      <c r="S21" s="34">
        <f t="shared" ref="S21:AF21" si="13">SUM(C54:C57)</f>
        <v>95</v>
      </c>
      <c r="T21" s="17">
        <f t="shared" si="13"/>
        <v>20</v>
      </c>
      <c r="U21" s="17">
        <f t="shared" si="13"/>
        <v>23</v>
      </c>
      <c r="V21" s="17">
        <f t="shared" si="13"/>
        <v>21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161</v>
      </c>
      <c r="AD21" s="17">
        <f t="shared" si="13"/>
        <v>0</v>
      </c>
      <c r="AE21" s="31">
        <f t="shared" si="13"/>
        <v>170</v>
      </c>
      <c r="AF21" s="31">
        <f t="shared" si="13"/>
        <v>331</v>
      </c>
    </row>
    <row r="22" spans="2:32" ht="23.1" customHeight="1" x14ac:dyDescent="0.25">
      <c r="B22" s="23" t="s">
        <v>49</v>
      </c>
      <c r="C22" s="50">
        <v>15</v>
      </c>
      <c r="D22" s="50">
        <v>1</v>
      </c>
      <c r="E22" s="50">
        <v>2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58</v>
      </c>
      <c r="N22" s="50">
        <v>0</v>
      </c>
      <c r="O22" s="17">
        <f t="shared" si="0"/>
        <v>22</v>
      </c>
      <c r="P22" s="17">
        <f t="shared" si="1"/>
        <v>80</v>
      </c>
      <c r="R22" s="52" t="s">
        <v>90</v>
      </c>
      <c r="S22" s="53">
        <f>MAX(S10:S12)</f>
        <v>67</v>
      </c>
      <c r="T22" s="53">
        <f t="shared" ref="T22:AF22" si="14">MAX(T10:T12)</f>
        <v>18</v>
      </c>
      <c r="U22" s="53">
        <f t="shared" si="14"/>
        <v>8</v>
      </c>
      <c r="V22" s="53">
        <f t="shared" si="14"/>
        <v>16</v>
      </c>
      <c r="W22" s="53">
        <f t="shared" si="14"/>
        <v>1</v>
      </c>
      <c r="X22" s="53">
        <f t="shared" si="14"/>
        <v>0</v>
      </c>
      <c r="Y22" s="53">
        <f t="shared" si="14"/>
        <v>10</v>
      </c>
      <c r="Z22" s="53">
        <f t="shared" si="14"/>
        <v>0</v>
      </c>
      <c r="AA22" s="53">
        <f t="shared" si="14"/>
        <v>1</v>
      </c>
      <c r="AB22" s="53">
        <f t="shared" si="14"/>
        <v>0</v>
      </c>
      <c r="AC22" s="53">
        <f t="shared" si="14"/>
        <v>218</v>
      </c>
      <c r="AD22" s="53">
        <f t="shared" si="14"/>
        <v>0</v>
      </c>
      <c r="AE22" s="40">
        <f t="shared" si="14"/>
        <v>120</v>
      </c>
      <c r="AF22" s="40">
        <f t="shared" si="14"/>
        <v>338</v>
      </c>
    </row>
    <row r="23" spans="2:32" ht="23.1" customHeight="1" x14ac:dyDescent="0.25">
      <c r="B23" s="23" t="s">
        <v>50</v>
      </c>
      <c r="C23" s="50">
        <v>12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47</v>
      </c>
      <c r="N23" s="50">
        <v>0</v>
      </c>
      <c r="O23" s="17">
        <f t="shared" si="0"/>
        <v>16</v>
      </c>
      <c r="P23" s="17">
        <f t="shared" si="1"/>
        <v>63</v>
      </c>
      <c r="R23" s="52" t="s">
        <v>91</v>
      </c>
      <c r="S23" s="53">
        <f>MAX(S13:S18)</f>
        <v>79</v>
      </c>
      <c r="T23" s="53">
        <f t="shared" ref="T23:AF23" si="15">MAX(T13:T18)</f>
        <v>21</v>
      </c>
      <c r="U23" s="53">
        <f t="shared" si="15"/>
        <v>12</v>
      </c>
      <c r="V23" s="53">
        <f t="shared" si="15"/>
        <v>15</v>
      </c>
      <c r="W23" s="53">
        <f t="shared" si="15"/>
        <v>1</v>
      </c>
      <c r="X23" s="53">
        <f t="shared" si="15"/>
        <v>0</v>
      </c>
      <c r="Y23" s="53">
        <f t="shared" si="15"/>
        <v>14</v>
      </c>
      <c r="Z23" s="53">
        <f t="shared" si="15"/>
        <v>2</v>
      </c>
      <c r="AA23" s="53">
        <f t="shared" si="15"/>
        <v>1</v>
      </c>
      <c r="AB23" s="53">
        <f t="shared" si="15"/>
        <v>2</v>
      </c>
      <c r="AC23" s="53">
        <f t="shared" si="15"/>
        <v>229</v>
      </c>
      <c r="AD23" s="53">
        <f t="shared" si="15"/>
        <v>0</v>
      </c>
      <c r="AE23" s="40">
        <f t="shared" si="15"/>
        <v>139</v>
      </c>
      <c r="AF23" s="40">
        <f t="shared" si="15"/>
        <v>368</v>
      </c>
    </row>
    <row r="24" spans="2:32" ht="23.1" customHeight="1" x14ac:dyDescent="0.25">
      <c r="B24" s="23" t="s">
        <v>51</v>
      </c>
      <c r="C24" s="50">
        <v>10</v>
      </c>
      <c r="D24" s="50">
        <v>2</v>
      </c>
      <c r="E24" s="50">
        <v>3</v>
      </c>
      <c r="F24" s="50">
        <v>4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48</v>
      </c>
      <c r="N24" s="50">
        <v>0</v>
      </c>
      <c r="O24" s="17">
        <f t="shared" si="0"/>
        <v>22</v>
      </c>
      <c r="P24" s="17">
        <f t="shared" si="1"/>
        <v>70</v>
      </c>
      <c r="R24" s="52" t="s">
        <v>92</v>
      </c>
      <c r="S24" s="53">
        <f>MAX(S19:S21)</f>
        <v>95</v>
      </c>
      <c r="T24" s="53">
        <f t="shared" ref="T24:AF24" si="16">MAX(T19:T21)</f>
        <v>22</v>
      </c>
      <c r="U24" s="53">
        <f t="shared" si="16"/>
        <v>23</v>
      </c>
      <c r="V24" s="53">
        <f t="shared" si="16"/>
        <v>23</v>
      </c>
      <c r="W24" s="53">
        <f t="shared" si="16"/>
        <v>0</v>
      </c>
      <c r="X24" s="53">
        <f t="shared" si="16"/>
        <v>0</v>
      </c>
      <c r="Y24" s="53">
        <f t="shared" si="16"/>
        <v>7</v>
      </c>
      <c r="Z24" s="53">
        <f t="shared" si="16"/>
        <v>4</v>
      </c>
      <c r="AA24" s="53">
        <f t="shared" si="16"/>
        <v>1</v>
      </c>
      <c r="AB24" s="53">
        <f t="shared" si="16"/>
        <v>0</v>
      </c>
      <c r="AC24" s="53">
        <f t="shared" si="16"/>
        <v>163</v>
      </c>
      <c r="AD24" s="53">
        <f t="shared" si="16"/>
        <v>1</v>
      </c>
      <c r="AE24" s="40">
        <f t="shared" si="16"/>
        <v>170</v>
      </c>
      <c r="AF24" s="40">
        <f t="shared" si="16"/>
        <v>331</v>
      </c>
    </row>
    <row r="25" spans="2:32" ht="23.1" customHeight="1" x14ac:dyDescent="0.25">
      <c r="B25" s="23" t="s">
        <v>52</v>
      </c>
      <c r="C25" s="50">
        <v>13</v>
      </c>
      <c r="D25" s="50">
        <v>3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41</v>
      </c>
      <c r="N25" s="50">
        <v>0</v>
      </c>
      <c r="O25" s="17">
        <f t="shared" si="0"/>
        <v>20</v>
      </c>
      <c r="P25" s="17">
        <f t="shared" si="1"/>
        <v>61</v>
      </c>
      <c r="R25" s="37" t="s">
        <v>85</v>
      </c>
      <c r="S25" s="35">
        <f t="shared" ref="S25:AF25" si="17">SUM(S10:S12)</f>
        <v>150</v>
      </c>
      <c r="T25" s="16">
        <f t="shared" si="17"/>
        <v>30</v>
      </c>
      <c r="U25" s="16">
        <f t="shared" si="17"/>
        <v>20</v>
      </c>
      <c r="V25" s="16">
        <f t="shared" si="17"/>
        <v>34</v>
      </c>
      <c r="W25" s="16">
        <f t="shared" si="17"/>
        <v>1</v>
      </c>
      <c r="X25" s="16">
        <f t="shared" si="17"/>
        <v>0</v>
      </c>
      <c r="Y25" s="16">
        <f t="shared" si="17"/>
        <v>14</v>
      </c>
      <c r="Z25" s="16">
        <f t="shared" si="17"/>
        <v>0</v>
      </c>
      <c r="AA25" s="16">
        <f t="shared" si="17"/>
        <v>2</v>
      </c>
      <c r="AB25" s="16">
        <f t="shared" si="17"/>
        <v>0</v>
      </c>
      <c r="AC25" s="16">
        <f t="shared" si="17"/>
        <v>540</v>
      </c>
      <c r="AD25" s="16">
        <f t="shared" si="17"/>
        <v>0</v>
      </c>
      <c r="AE25" s="32">
        <f t="shared" si="17"/>
        <v>251</v>
      </c>
      <c r="AF25" s="32">
        <f t="shared" si="17"/>
        <v>791</v>
      </c>
    </row>
    <row r="26" spans="2:32" ht="23.1" customHeight="1" x14ac:dyDescent="0.25">
      <c r="B26" s="23" t="s">
        <v>53</v>
      </c>
      <c r="C26" s="50">
        <v>25</v>
      </c>
      <c r="D26" s="50">
        <v>8</v>
      </c>
      <c r="E26" s="50">
        <v>3</v>
      </c>
      <c r="F26" s="50">
        <v>5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1</v>
      </c>
      <c r="M26" s="50">
        <v>57</v>
      </c>
      <c r="N26" s="50">
        <v>0</v>
      </c>
      <c r="O26" s="17">
        <f t="shared" si="0"/>
        <v>44</v>
      </c>
      <c r="P26" s="17">
        <f t="shared" si="1"/>
        <v>101</v>
      </c>
      <c r="R26" s="28" t="s">
        <v>86</v>
      </c>
      <c r="S26" s="16">
        <f t="shared" ref="S26:AF26" si="18">SUM(S13:S18)</f>
        <v>374</v>
      </c>
      <c r="T26" s="16">
        <f t="shared" si="18"/>
        <v>62</v>
      </c>
      <c r="U26" s="16">
        <f t="shared" si="18"/>
        <v>53</v>
      </c>
      <c r="V26" s="16">
        <f t="shared" si="18"/>
        <v>62</v>
      </c>
      <c r="W26" s="16">
        <f t="shared" si="18"/>
        <v>1</v>
      </c>
      <c r="X26" s="16">
        <f t="shared" si="18"/>
        <v>0</v>
      </c>
      <c r="Y26" s="16">
        <f t="shared" si="18"/>
        <v>48</v>
      </c>
      <c r="Z26" s="16">
        <f t="shared" si="18"/>
        <v>4</v>
      </c>
      <c r="AA26" s="16">
        <f t="shared" si="18"/>
        <v>2</v>
      </c>
      <c r="AB26" s="16">
        <f t="shared" si="18"/>
        <v>4</v>
      </c>
      <c r="AC26" s="16">
        <f t="shared" si="18"/>
        <v>1030</v>
      </c>
      <c r="AD26" s="16">
        <f t="shared" si="18"/>
        <v>0</v>
      </c>
      <c r="AE26" s="32">
        <f t="shared" si="18"/>
        <v>610</v>
      </c>
      <c r="AF26" s="32">
        <f t="shared" si="18"/>
        <v>1640</v>
      </c>
    </row>
    <row r="27" spans="2:32" ht="23.1" customHeight="1" x14ac:dyDescent="0.25">
      <c r="B27" s="23" t="s">
        <v>54</v>
      </c>
      <c r="C27" s="50">
        <v>24</v>
      </c>
      <c r="D27" s="50">
        <v>5</v>
      </c>
      <c r="E27" s="50">
        <v>2</v>
      </c>
      <c r="F27" s="50">
        <v>1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0</v>
      </c>
      <c r="M27" s="50">
        <v>72</v>
      </c>
      <c r="N27" s="50">
        <v>0</v>
      </c>
      <c r="O27" s="17">
        <f t="shared" si="0"/>
        <v>36</v>
      </c>
      <c r="P27" s="17">
        <f t="shared" si="1"/>
        <v>108</v>
      </c>
      <c r="R27" s="29" t="s">
        <v>87</v>
      </c>
      <c r="S27" s="16">
        <f t="shared" ref="S27:AF27" si="19">SUM(S19:S21)</f>
        <v>233</v>
      </c>
      <c r="T27" s="16">
        <f t="shared" si="19"/>
        <v>50</v>
      </c>
      <c r="U27" s="16">
        <f t="shared" si="19"/>
        <v>39</v>
      </c>
      <c r="V27" s="16">
        <f t="shared" si="19"/>
        <v>55</v>
      </c>
      <c r="W27" s="16">
        <f t="shared" si="19"/>
        <v>0</v>
      </c>
      <c r="X27" s="16">
        <f t="shared" si="19"/>
        <v>0</v>
      </c>
      <c r="Y27" s="16">
        <f t="shared" si="19"/>
        <v>20</v>
      </c>
      <c r="Z27" s="16">
        <f t="shared" si="19"/>
        <v>7</v>
      </c>
      <c r="AA27" s="16">
        <f t="shared" si="19"/>
        <v>1</v>
      </c>
      <c r="AB27" s="16">
        <f t="shared" si="19"/>
        <v>0</v>
      </c>
      <c r="AC27" s="16">
        <f t="shared" si="19"/>
        <v>482</v>
      </c>
      <c r="AD27" s="16">
        <f t="shared" si="19"/>
        <v>1</v>
      </c>
      <c r="AE27" s="32">
        <f t="shared" si="19"/>
        <v>406</v>
      </c>
      <c r="AF27" s="32">
        <f t="shared" si="19"/>
        <v>888</v>
      </c>
    </row>
    <row r="28" spans="2:32" ht="23.1" customHeight="1" x14ac:dyDescent="0.25">
      <c r="B28" s="23" t="s">
        <v>55</v>
      </c>
      <c r="C28" s="50">
        <v>16</v>
      </c>
      <c r="D28" s="50">
        <v>3</v>
      </c>
      <c r="E28" s="50">
        <v>3</v>
      </c>
      <c r="F28" s="50">
        <v>2</v>
      </c>
      <c r="G28" s="50">
        <v>0</v>
      </c>
      <c r="H28" s="50">
        <v>0</v>
      </c>
      <c r="I28" s="50">
        <v>4</v>
      </c>
      <c r="J28" s="50">
        <v>0</v>
      </c>
      <c r="K28" s="50">
        <v>1</v>
      </c>
      <c r="L28" s="50">
        <v>0</v>
      </c>
      <c r="M28" s="50">
        <v>52</v>
      </c>
      <c r="N28" s="50">
        <v>0</v>
      </c>
      <c r="O28" s="17">
        <f t="shared" si="0"/>
        <v>29</v>
      </c>
      <c r="P28" s="17">
        <f t="shared" si="1"/>
        <v>81</v>
      </c>
      <c r="R28" s="5" t="s">
        <v>17</v>
      </c>
      <c r="S28" s="16">
        <f t="shared" ref="S28:AF28" si="20">SUM(S10:S21)</f>
        <v>757</v>
      </c>
      <c r="T28" s="16">
        <f t="shared" si="20"/>
        <v>142</v>
      </c>
      <c r="U28" s="16">
        <f t="shared" si="20"/>
        <v>112</v>
      </c>
      <c r="V28" s="16">
        <f t="shared" si="20"/>
        <v>151</v>
      </c>
      <c r="W28" s="16">
        <f t="shared" si="20"/>
        <v>2</v>
      </c>
      <c r="X28" s="16">
        <f t="shared" si="20"/>
        <v>0</v>
      </c>
      <c r="Y28" s="16">
        <f t="shared" si="20"/>
        <v>82</v>
      </c>
      <c r="Z28" s="16">
        <f t="shared" si="20"/>
        <v>11</v>
      </c>
      <c r="AA28" s="16">
        <f t="shared" si="20"/>
        <v>5</v>
      </c>
      <c r="AB28" s="16">
        <f t="shared" si="20"/>
        <v>4</v>
      </c>
      <c r="AC28" s="16">
        <f t="shared" si="20"/>
        <v>2052</v>
      </c>
      <c r="AD28" s="16">
        <f t="shared" si="20"/>
        <v>1</v>
      </c>
      <c r="AE28" s="32">
        <f t="shared" si="20"/>
        <v>1267</v>
      </c>
      <c r="AF28" s="32">
        <f t="shared" si="20"/>
        <v>3319</v>
      </c>
    </row>
    <row r="29" spans="2:32" ht="23.1" customHeight="1" x14ac:dyDescent="0.25">
      <c r="B29" s="23" t="s">
        <v>56</v>
      </c>
      <c r="C29" s="50">
        <v>14</v>
      </c>
      <c r="D29" s="50">
        <v>5</v>
      </c>
      <c r="E29" s="50">
        <v>4</v>
      </c>
      <c r="F29" s="50">
        <v>3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48</v>
      </c>
      <c r="N29" s="50">
        <v>0</v>
      </c>
      <c r="O29" s="17">
        <f t="shared" si="0"/>
        <v>30</v>
      </c>
      <c r="P29" s="17">
        <f t="shared" si="1"/>
        <v>78</v>
      </c>
      <c r="R29"/>
      <c r="S29" s="20"/>
      <c r="T29" s="19"/>
    </row>
    <row r="30" spans="2:32" ht="23.1" customHeight="1" x14ac:dyDescent="0.25">
      <c r="B30" s="23" t="s">
        <v>57</v>
      </c>
      <c r="C30" s="50">
        <v>21</v>
      </c>
      <c r="D30" s="50">
        <v>2</v>
      </c>
      <c r="E30" s="50">
        <v>1</v>
      </c>
      <c r="F30" s="50">
        <v>4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55</v>
      </c>
      <c r="N30" s="50">
        <v>0</v>
      </c>
      <c r="O30" s="17">
        <f t="shared" si="0"/>
        <v>30</v>
      </c>
      <c r="P30" s="17">
        <f t="shared" si="1"/>
        <v>85</v>
      </c>
      <c r="R30"/>
      <c r="S30" s="19"/>
      <c r="T30" s="19"/>
    </row>
    <row r="31" spans="2:32" ht="23.1" customHeight="1" x14ac:dyDescent="0.25">
      <c r="B31" s="24" t="s">
        <v>58</v>
      </c>
      <c r="C31" s="50">
        <v>14</v>
      </c>
      <c r="D31" s="50">
        <v>1</v>
      </c>
      <c r="E31" s="50">
        <v>1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40</v>
      </c>
      <c r="N31" s="50">
        <v>0</v>
      </c>
      <c r="O31" s="17">
        <f t="shared" si="0"/>
        <v>20</v>
      </c>
      <c r="P31" s="17">
        <f t="shared" si="1"/>
        <v>60</v>
      </c>
      <c r="R31"/>
      <c r="S31" s="19"/>
      <c r="T31" s="19"/>
    </row>
    <row r="32" spans="2:32" ht="23.1" customHeight="1" x14ac:dyDescent="0.25">
      <c r="B32" s="24" t="s">
        <v>59</v>
      </c>
      <c r="C32" s="50">
        <v>9</v>
      </c>
      <c r="D32" s="50">
        <v>2</v>
      </c>
      <c r="E32" s="50">
        <v>1</v>
      </c>
      <c r="F32" s="50">
        <v>1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34</v>
      </c>
      <c r="N32" s="50">
        <v>0</v>
      </c>
      <c r="O32" s="17">
        <f t="shared" si="0"/>
        <v>17</v>
      </c>
      <c r="P32" s="17">
        <f t="shared" si="1"/>
        <v>51</v>
      </c>
      <c r="R32"/>
      <c r="S32" s="19"/>
      <c r="T32" s="19"/>
    </row>
    <row r="33" spans="2:20" ht="23.1" customHeight="1" x14ac:dyDescent="0.25">
      <c r="B33" s="23" t="s">
        <v>60</v>
      </c>
      <c r="C33" s="50">
        <v>16</v>
      </c>
      <c r="D33" s="50">
        <v>0</v>
      </c>
      <c r="E33" s="50">
        <v>5</v>
      </c>
      <c r="F33" s="50">
        <v>2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0</v>
      </c>
      <c r="M33" s="50">
        <v>29</v>
      </c>
      <c r="N33" s="50">
        <v>0</v>
      </c>
      <c r="O33" s="17">
        <f t="shared" si="0"/>
        <v>27</v>
      </c>
      <c r="P33" s="17">
        <f t="shared" si="1"/>
        <v>56</v>
      </c>
      <c r="R33"/>
      <c r="S33" s="19"/>
      <c r="T33" s="19"/>
    </row>
    <row r="34" spans="2:20" ht="23.1" customHeight="1" x14ac:dyDescent="0.25">
      <c r="B34" s="24" t="s">
        <v>61</v>
      </c>
      <c r="C34" s="50">
        <v>9</v>
      </c>
      <c r="D34" s="50">
        <v>1</v>
      </c>
      <c r="E34" s="50">
        <v>1</v>
      </c>
      <c r="F34" s="50">
        <v>4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17</v>
      </c>
      <c r="N34" s="50">
        <v>0</v>
      </c>
      <c r="O34" s="17">
        <f t="shared" si="0"/>
        <v>16</v>
      </c>
      <c r="P34" s="17">
        <f t="shared" si="1"/>
        <v>33</v>
      </c>
      <c r="R34"/>
      <c r="S34" s="19"/>
      <c r="T34" s="19"/>
    </row>
    <row r="35" spans="2:20" ht="23.1" customHeight="1" x14ac:dyDescent="0.25">
      <c r="B35" s="24" t="s">
        <v>62</v>
      </c>
      <c r="C35" s="50">
        <v>8</v>
      </c>
      <c r="D35" s="50">
        <v>3</v>
      </c>
      <c r="E35" s="50">
        <v>5</v>
      </c>
      <c r="F35" s="50">
        <v>3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0</v>
      </c>
      <c r="M35" s="50">
        <v>30</v>
      </c>
      <c r="N35" s="50">
        <v>0</v>
      </c>
      <c r="O35" s="17">
        <f t="shared" si="0"/>
        <v>23</v>
      </c>
      <c r="P35" s="17">
        <f t="shared" si="1"/>
        <v>53</v>
      </c>
      <c r="R35"/>
      <c r="S35" s="19"/>
      <c r="T35" s="19"/>
    </row>
    <row r="36" spans="2:20" ht="23.1" customHeight="1" x14ac:dyDescent="0.25">
      <c r="B36" s="24" t="s">
        <v>63</v>
      </c>
      <c r="C36" s="50">
        <v>35</v>
      </c>
      <c r="D36" s="50">
        <v>4</v>
      </c>
      <c r="E36" s="50">
        <v>2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53</v>
      </c>
      <c r="N36" s="50">
        <v>0</v>
      </c>
      <c r="O36" s="17">
        <f t="shared" si="0"/>
        <v>44</v>
      </c>
      <c r="P36" s="17">
        <f t="shared" si="1"/>
        <v>97</v>
      </c>
      <c r="R36"/>
      <c r="S36" s="19"/>
      <c r="T36" s="19"/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16</v>
      </c>
      <c r="N37" s="50">
        <v>0</v>
      </c>
      <c r="O37" s="17">
        <f t="shared" si="0"/>
        <v>7</v>
      </c>
      <c r="P37" s="17">
        <f t="shared" si="1"/>
        <v>23</v>
      </c>
      <c r="R37"/>
      <c r="S37" s="19"/>
      <c r="T37" s="19"/>
    </row>
    <row r="38" spans="2:20" ht="23.1" customHeight="1" x14ac:dyDescent="0.25">
      <c r="B38" s="24" t="s">
        <v>65</v>
      </c>
      <c r="C38" s="50">
        <v>24</v>
      </c>
      <c r="D38" s="50">
        <v>2</v>
      </c>
      <c r="E38" s="50">
        <v>3</v>
      </c>
      <c r="F38" s="50">
        <v>7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37</v>
      </c>
      <c r="N38" s="50">
        <v>0</v>
      </c>
      <c r="O38" s="17">
        <f t="shared" si="0"/>
        <v>38</v>
      </c>
      <c r="P38" s="17">
        <f t="shared" si="1"/>
        <v>75</v>
      </c>
      <c r="R38"/>
      <c r="S38" s="19"/>
      <c r="T38" s="19"/>
    </row>
    <row r="39" spans="2:20" ht="23.1" customHeight="1" x14ac:dyDescent="0.25">
      <c r="B39" s="24" t="s">
        <v>66</v>
      </c>
      <c r="C39" s="50">
        <v>8</v>
      </c>
      <c r="D39" s="50">
        <v>2</v>
      </c>
      <c r="E39" s="50">
        <v>1</v>
      </c>
      <c r="F39" s="50">
        <v>3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29</v>
      </c>
      <c r="N39" s="50">
        <v>0</v>
      </c>
      <c r="O39" s="17">
        <f t="shared" si="0"/>
        <v>16</v>
      </c>
      <c r="P39" s="17">
        <f t="shared" si="1"/>
        <v>45</v>
      </c>
      <c r="R39"/>
      <c r="S39" s="19"/>
      <c r="T39" s="19"/>
    </row>
    <row r="40" spans="2:20" ht="23.1" customHeight="1" x14ac:dyDescent="0.25">
      <c r="B40" s="24" t="s">
        <v>67</v>
      </c>
      <c r="C40" s="50">
        <v>14</v>
      </c>
      <c r="D40" s="50">
        <v>5</v>
      </c>
      <c r="E40" s="50">
        <v>2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2</v>
      </c>
      <c r="M40" s="50">
        <v>55</v>
      </c>
      <c r="N40" s="50">
        <v>0</v>
      </c>
      <c r="O40" s="17">
        <f t="shared" si="0"/>
        <v>26</v>
      </c>
      <c r="P40" s="17">
        <f t="shared" si="1"/>
        <v>81</v>
      </c>
      <c r="R40"/>
      <c r="S40" s="19"/>
      <c r="T40" s="19"/>
    </row>
    <row r="41" spans="2:20" ht="23.1" customHeight="1" x14ac:dyDescent="0.25">
      <c r="B41" s="23" t="s">
        <v>68</v>
      </c>
      <c r="C41" s="50">
        <v>22</v>
      </c>
      <c r="D41" s="50">
        <v>2</v>
      </c>
      <c r="E41" s="50">
        <v>2</v>
      </c>
      <c r="F41" s="50">
        <v>3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41</v>
      </c>
      <c r="N41" s="50">
        <v>0</v>
      </c>
      <c r="O41" s="17">
        <f t="shared" si="0"/>
        <v>30</v>
      </c>
      <c r="P41" s="17">
        <f t="shared" si="1"/>
        <v>71</v>
      </c>
      <c r="R41"/>
      <c r="S41" s="19"/>
      <c r="T41" s="19"/>
    </row>
    <row r="42" spans="2:20" ht="23.1" customHeight="1" x14ac:dyDescent="0.25">
      <c r="B42" s="24" t="s">
        <v>69</v>
      </c>
      <c r="C42" s="50">
        <v>12</v>
      </c>
      <c r="D42" s="50">
        <v>1</v>
      </c>
      <c r="E42" s="50">
        <v>0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42</v>
      </c>
      <c r="N42" s="50">
        <v>0</v>
      </c>
      <c r="O42" s="17">
        <f t="shared" si="0"/>
        <v>15</v>
      </c>
      <c r="P42" s="17">
        <f t="shared" si="1"/>
        <v>57</v>
      </c>
      <c r="R42"/>
      <c r="S42" s="19"/>
      <c r="T42" s="19"/>
    </row>
    <row r="43" spans="2:20" ht="23.1" customHeight="1" x14ac:dyDescent="0.25">
      <c r="B43" s="23" t="s">
        <v>70</v>
      </c>
      <c r="C43" s="50">
        <v>17</v>
      </c>
      <c r="D43" s="50">
        <v>4</v>
      </c>
      <c r="E43" s="50">
        <v>4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1</v>
      </c>
      <c r="M43" s="50">
        <v>45</v>
      </c>
      <c r="N43" s="50">
        <v>0</v>
      </c>
      <c r="O43" s="17">
        <f t="shared" si="0"/>
        <v>28</v>
      </c>
      <c r="P43" s="17">
        <f t="shared" si="1"/>
        <v>73</v>
      </c>
      <c r="R43"/>
      <c r="S43" s="19"/>
      <c r="T43" s="19"/>
    </row>
    <row r="44" spans="2:20" ht="23.1" customHeight="1" x14ac:dyDescent="0.25">
      <c r="B44" s="25" t="s">
        <v>71</v>
      </c>
      <c r="C44" s="50">
        <v>11</v>
      </c>
      <c r="D44" s="50">
        <v>2</v>
      </c>
      <c r="E44" s="50">
        <v>4</v>
      </c>
      <c r="F44" s="50">
        <v>4</v>
      </c>
      <c r="G44" s="50">
        <v>1</v>
      </c>
      <c r="H44" s="50">
        <v>0</v>
      </c>
      <c r="I44" s="50">
        <v>1</v>
      </c>
      <c r="J44" s="50">
        <v>0</v>
      </c>
      <c r="K44" s="50">
        <v>1</v>
      </c>
      <c r="L44" s="50">
        <v>0</v>
      </c>
      <c r="M44" s="50">
        <v>49</v>
      </c>
      <c r="N44" s="50">
        <v>0</v>
      </c>
      <c r="O44" s="17">
        <f t="shared" si="0"/>
        <v>24</v>
      </c>
      <c r="P44" s="17">
        <f t="shared" si="1"/>
        <v>73</v>
      </c>
      <c r="R44"/>
      <c r="S44" s="19"/>
      <c r="T44" s="19"/>
    </row>
    <row r="45" spans="2:20" ht="23.1" customHeight="1" x14ac:dyDescent="0.25">
      <c r="B45" s="23" t="s">
        <v>72</v>
      </c>
      <c r="C45" s="50">
        <v>20</v>
      </c>
      <c r="D45" s="50">
        <v>3</v>
      </c>
      <c r="E45" s="50">
        <v>2</v>
      </c>
      <c r="F45" s="50">
        <v>1</v>
      </c>
      <c r="G45" s="50">
        <v>0</v>
      </c>
      <c r="H45" s="50">
        <v>0</v>
      </c>
      <c r="I45" s="50">
        <v>3</v>
      </c>
      <c r="J45" s="50">
        <v>1</v>
      </c>
      <c r="K45" s="50">
        <v>0</v>
      </c>
      <c r="L45" s="50">
        <v>0</v>
      </c>
      <c r="M45" s="50">
        <v>35</v>
      </c>
      <c r="N45" s="50">
        <v>0</v>
      </c>
      <c r="O45" s="17">
        <f t="shared" si="0"/>
        <v>30</v>
      </c>
      <c r="P45" s="17">
        <f t="shared" si="1"/>
        <v>65</v>
      </c>
      <c r="R45"/>
      <c r="S45" s="19"/>
      <c r="T45" s="19"/>
    </row>
    <row r="46" spans="2:20" ht="23.1" customHeight="1" x14ac:dyDescent="0.25">
      <c r="B46" s="24" t="s">
        <v>73</v>
      </c>
      <c r="C46" s="50">
        <v>19</v>
      </c>
      <c r="D46" s="50">
        <v>3</v>
      </c>
      <c r="E46" s="50">
        <v>2</v>
      </c>
      <c r="F46" s="50">
        <v>3</v>
      </c>
      <c r="G46" s="50">
        <v>0</v>
      </c>
      <c r="H46" s="50">
        <v>0</v>
      </c>
      <c r="I46" s="50">
        <v>4</v>
      </c>
      <c r="J46" s="50">
        <v>0</v>
      </c>
      <c r="K46" s="50">
        <v>0</v>
      </c>
      <c r="L46" s="50">
        <v>0</v>
      </c>
      <c r="M46" s="50">
        <v>36</v>
      </c>
      <c r="N46" s="50">
        <v>1</v>
      </c>
      <c r="O46" s="17">
        <f t="shared" si="0"/>
        <v>32</v>
      </c>
      <c r="P46" s="17">
        <f t="shared" si="1"/>
        <v>68</v>
      </c>
      <c r="R46" s="19"/>
      <c r="S46" s="19"/>
      <c r="T46"/>
    </row>
    <row r="47" spans="2:20" ht="23.1" customHeight="1" x14ac:dyDescent="0.25">
      <c r="B47" s="24" t="s">
        <v>74</v>
      </c>
      <c r="C47" s="50">
        <v>20</v>
      </c>
      <c r="D47" s="50">
        <v>2</v>
      </c>
      <c r="E47" s="50">
        <v>2</v>
      </c>
      <c r="F47" s="50">
        <v>3</v>
      </c>
      <c r="G47" s="50">
        <v>0</v>
      </c>
      <c r="H47" s="50">
        <v>0</v>
      </c>
      <c r="I47" s="50">
        <v>2</v>
      </c>
      <c r="J47" s="50">
        <v>1</v>
      </c>
      <c r="K47" s="50">
        <v>1</v>
      </c>
      <c r="L47" s="50">
        <v>0</v>
      </c>
      <c r="M47" s="50">
        <v>53</v>
      </c>
      <c r="N47" s="50">
        <v>0</v>
      </c>
      <c r="O47" s="17">
        <f t="shared" si="0"/>
        <v>31</v>
      </c>
      <c r="P47" s="17">
        <f t="shared" si="1"/>
        <v>84</v>
      </c>
      <c r="R47" s="19"/>
      <c r="S47" s="19"/>
      <c r="T47"/>
    </row>
    <row r="48" spans="2:20" ht="23.1" customHeight="1" x14ac:dyDescent="0.25">
      <c r="B48" s="24" t="s">
        <v>75</v>
      </c>
      <c r="C48" s="50">
        <v>14</v>
      </c>
      <c r="D48" s="50">
        <v>1</v>
      </c>
      <c r="E48" s="50">
        <v>3</v>
      </c>
      <c r="F48" s="50">
        <v>3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35</v>
      </c>
      <c r="N48" s="50">
        <v>0</v>
      </c>
      <c r="O48" s="17">
        <f t="shared" si="0"/>
        <v>23</v>
      </c>
      <c r="P48" s="17">
        <f t="shared" si="1"/>
        <v>58</v>
      </c>
      <c r="R48" s="19"/>
      <c r="S48" s="19"/>
      <c r="T48"/>
    </row>
    <row r="49" spans="2:20" ht="23.1" customHeight="1" x14ac:dyDescent="0.25">
      <c r="B49" s="23" t="s">
        <v>76</v>
      </c>
      <c r="C49" s="50">
        <v>24</v>
      </c>
      <c r="D49" s="50">
        <v>2</v>
      </c>
      <c r="E49" s="50">
        <v>2</v>
      </c>
      <c r="F49" s="50">
        <v>2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34</v>
      </c>
      <c r="N49" s="50">
        <v>0</v>
      </c>
      <c r="O49" s="17">
        <f t="shared" si="0"/>
        <v>30</v>
      </c>
      <c r="P49" s="17">
        <f t="shared" si="1"/>
        <v>64</v>
      </c>
      <c r="R49" s="19"/>
      <c r="S49" s="19"/>
      <c r="T49"/>
    </row>
    <row r="50" spans="2:20" ht="23.1" customHeight="1" x14ac:dyDescent="0.25">
      <c r="B50" s="24" t="s">
        <v>77</v>
      </c>
      <c r="C50" s="50">
        <v>20</v>
      </c>
      <c r="D50" s="50">
        <v>5</v>
      </c>
      <c r="E50" s="50">
        <v>2</v>
      </c>
      <c r="F50" s="50">
        <v>4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45</v>
      </c>
      <c r="N50" s="50">
        <v>0</v>
      </c>
      <c r="O50" s="17">
        <f t="shared" si="0"/>
        <v>33</v>
      </c>
      <c r="P50" s="17">
        <f t="shared" si="1"/>
        <v>78</v>
      </c>
      <c r="R50" s="19"/>
      <c r="S50" s="19"/>
      <c r="T50"/>
    </row>
    <row r="51" spans="2:20" ht="23.1" customHeight="1" x14ac:dyDescent="0.25">
      <c r="B51" s="24" t="s">
        <v>78</v>
      </c>
      <c r="C51" s="50">
        <v>18</v>
      </c>
      <c r="D51" s="50">
        <v>5</v>
      </c>
      <c r="E51" s="50">
        <v>1</v>
      </c>
      <c r="F51" s="50">
        <v>8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40</v>
      </c>
      <c r="N51" s="50">
        <v>0</v>
      </c>
      <c r="O51" s="17">
        <f t="shared" si="0"/>
        <v>34</v>
      </c>
      <c r="P51" s="17">
        <f t="shared" si="1"/>
        <v>74</v>
      </c>
      <c r="R51" s="19"/>
      <c r="S51" s="19"/>
      <c r="T51"/>
    </row>
    <row r="52" spans="2:20" ht="23.1" customHeight="1" x14ac:dyDescent="0.25">
      <c r="B52" s="24" t="s">
        <v>79</v>
      </c>
      <c r="C52" s="50">
        <v>13</v>
      </c>
      <c r="D52" s="50">
        <v>7</v>
      </c>
      <c r="E52" s="50">
        <v>2</v>
      </c>
      <c r="F52" s="50">
        <v>4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43</v>
      </c>
      <c r="N52" s="50">
        <v>0</v>
      </c>
      <c r="O52" s="17">
        <f t="shared" si="0"/>
        <v>28</v>
      </c>
      <c r="P52" s="17">
        <f t="shared" si="1"/>
        <v>71</v>
      </c>
      <c r="R52" s="19"/>
      <c r="S52" s="19"/>
      <c r="T52"/>
    </row>
    <row r="53" spans="2:20" ht="23.1" customHeight="1" x14ac:dyDescent="0.25">
      <c r="B53" s="23" t="s">
        <v>80</v>
      </c>
      <c r="C53" s="50">
        <v>10</v>
      </c>
      <c r="D53" s="50">
        <v>5</v>
      </c>
      <c r="E53" s="50">
        <v>2</v>
      </c>
      <c r="F53" s="50">
        <v>7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35</v>
      </c>
      <c r="N53" s="50">
        <v>0</v>
      </c>
      <c r="O53" s="17">
        <f t="shared" si="0"/>
        <v>25</v>
      </c>
      <c r="P53" s="17">
        <f t="shared" si="1"/>
        <v>60</v>
      </c>
      <c r="R53" s="19"/>
      <c r="S53" s="19"/>
      <c r="T53"/>
    </row>
    <row r="54" spans="2:20" ht="23.1" customHeight="1" x14ac:dyDescent="0.25">
      <c r="B54" s="23" t="s">
        <v>81</v>
      </c>
      <c r="C54" s="50">
        <v>21</v>
      </c>
      <c r="D54" s="50">
        <v>1</v>
      </c>
      <c r="E54" s="50">
        <v>6</v>
      </c>
      <c r="F54" s="50">
        <v>4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0</v>
      </c>
      <c r="M54" s="50">
        <v>43</v>
      </c>
      <c r="N54" s="50">
        <v>0</v>
      </c>
      <c r="O54" s="17">
        <f t="shared" si="0"/>
        <v>35</v>
      </c>
      <c r="P54" s="17">
        <f t="shared" si="1"/>
        <v>78</v>
      </c>
      <c r="R54" s="19"/>
      <c r="S54" s="19"/>
      <c r="T54"/>
    </row>
    <row r="55" spans="2:20" ht="23.1" customHeight="1" x14ac:dyDescent="0.25">
      <c r="B55" s="23" t="s">
        <v>82</v>
      </c>
      <c r="C55" s="50">
        <v>23</v>
      </c>
      <c r="D55" s="50">
        <v>1</v>
      </c>
      <c r="E55" s="50">
        <v>7</v>
      </c>
      <c r="F55" s="50">
        <v>7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45</v>
      </c>
      <c r="N55" s="50">
        <v>0</v>
      </c>
      <c r="O55" s="17">
        <f t="shared" si="0"/>
        <v>39</v>
      </c>
      <c r="P55" s="17">
        <f t="shared" si="1"/>
        <v>84</v>
      </c>
      <c r="R55" s="19"/>
      <c r="S55" s="19"/>
      <c r="T55"/>
    </row>
    <row r="56" spans="2:20" ht="23.1" customHeight="1" x14ac:dyDescent="0.25">
      <c r="B56" s="23" t="s">
        <v>83</v>
      </c>
      <c r="C56" s="50">
        <v>31</v>
      </c>
      <c r="D56" s="50">
        <v>9</v>
      </c>
      <c r="E56" s="50">
        <v>2</v>
      </c>
      <c r="F56" s="50">
        <v>5</v>
      </c>
      <c r="G56" s="50">
        <v>0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32</v>
      </c>
      <c r="N56" s="50">
        <v>0</v>
      </c>
      <c r="O56" s="17">
        <f t="shared" si="0"/>
        <v>52</v>
      </c>
      <c r="P56" s="17">
        <f t="shared" si="1"/>
        <v>84</v>
      </c>
      <c r="R56" s="19"/>
      <c r="S56" s="19"/>
      <c r="T56"/>
    </row>
    <row r="57" spans="2:20" ht="23.1" customHeight="1" x14ac:dyDescent="0.25">
      <c r="B57" s="23" t="s">
        <v>84</v>
      </c>
      <c r="C57" s="50">
        <v>20</v>
      </c>
      <c r="D57" s="50">
        <v>9</v>
      </c>
      <c r="E57" s="50">
        <v>8</v>
      </c>
      <c r="F57" s="50">
        <v>5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0</v>
      </c>
      <c r="M57" s="50">
        <v>41</v>
      </c>
      <c r="N57" s="50">
        <v>0</v>
      </c>
      <c r="O57" s="17">
        <f t="shared" si="0"/>
        <v>44</v>
      </c>
      <c r="P57" s="17">
        <f t="shared" si="1"/>
        <v>85</v>
      </c>
      <c r="R57" s="19"/>
      <c r="S57" s="19"/>
      <c r="T57"/>
    </row>
    <row r="58" spans="2:20" ht="23.1" customHeight="1" x14ac:dyDescent="0.25">
      <c r="B58" s="54" t="s">
        <v>18</v>
      </c>
      <c r="C58" s="16">
        <f t="shared" ref="C58:P58" si="21">SUM(C10:C57)</f>
        <v>757</v>
      </c>
      <c r="D58" s="16">
        <f t="shared" si="21"/>
        <v>142</v>
      </c>
      <c r="E58" s="16">
        <f t="shared" si="21"/>
        <v>112</v>
      </c>
      <c r="F58" s="16">
        <f t="shared" si="21"/>
        <v>151</v>
      </c>
      <c r="G58" s="16">
        <f t="shared" si="21"/>
        <v>2</v>
      </c>
      <c r="H58" s="16">
        <f t="shared" si="21"/>
        <v>0</v>
      </c>
      <c r="I58" s="16">
        <f t="shared" si="21"/>
        <v>82</v>
      </c>
      <c r="J58" s="16">
        <f t="shared" si="21"/>
        <v>11</v>
      </c>
      <c r="K58" s="16">
        <f t="shared" si="21"/>
        <v>5</v>
      </c>
      <c r="L58" s="16">
        <f t="shared" si="21"/>
        <v>4</v>
      </c>
      <c r="M58" s="16">
        <f t="shared" si="21"/>
        <v>2052</v>
      </c>
      <c r="N58" s="16">
        <f t="shared" si="21"/>
        <v>1</v>
      </c>
      <c r="O58" s="16">
        <f t="shared" si="21"/>
        <v>1267</v>
      </c>
      <c r="P58" s="16">
        <f t="shared" si="21"/>
        <v>3319</v>
      </c>
      <c r="R58" s="19"/>
      <c r="S58" s="19"/>
      <c r="T58"/>
    </row>
    <row r="59" spans="2:20" ht="23.1" customHeight="1" x14ac:dyDescent="0.25">
      <c r="B59" s="54" t="s">
        <v>93</v>
      </c>
      <c r="C59" s="43">
        <f t="shared" ref="C59:N59" si="22">C58/$P$58</f>
        <v>0.22808074721301597</v>
      </c>
      <c r="D59" s="43">
        <f t="shared" si="22"/>
        <v>4.2783971075625191E-2</v>
      </c>
      <c r="E59" s="43">
        <f t="shared" si="22"/>
        <v>3.3745103946971979E-2</v>
      </c>
      <c r="F59" s="43">
        <f t="shared" si="22"/>
        <v>4.5495631214221149E-2</v>
      </c>
      <c r="G59" s="43">
        <f t="shared" si="22"/>
        <v>6.0259114191021392E-4</v>
      </c>
      <c r="H59" s="43">
        <f t="shared" si="22"/>
        <v>0</v>
      </c>
      <c r="I59" s="43">
        <f t="shared" si="22"/>
        <v>2.470623681831877E-2</v>
      </c>
      <c r="J59" s="43">
        <f t="shared" si="22"/>
        <v>3.3142512805061767E-3</v>
      </c>
      <c r="K59" s="43">
        <f t="shared" si="22"/>
        <v>1.5064778547755348E-3</v>
      </c>
      <c r="L59" s="43">
        <f t="shared" si="22"/>
        <v>1.2051822838204278E-3</v>
      </c>
      <c r="M59" s="43">
        <f t="shared" si="22"/>
        <v>0.61825851159987943</v>
      </c>
      <c r="N59" s="43">
        <f t="shared" si="22"/>
        <v>3.0129557095510696E-4</v>
      </c>
      <c r="R59" s="19"/>
      <c r="S59" s="19"/>
      <c r="T59"/>
    </row>
    <row r="60" spans="2:20" ht="23.1" customHeight="1" x14ac:dyDescent="0.25">
      <c r="B60" s="55" t="s">
        <v>94</v>
      </c>
      <c r="C60" s="44">
        <f>C58/$O$58</f>
        <v>0.59747434885556427</v>
      </c>
      <c r="D60" s="44">
        <f t="shared" ref="D60:N60" si="23">D58/$O$58</f>
        <v>0.11207576953433307</v>
      </c>
      <c r="E60" s="44">
        <f t="shared" si="23"/>
        <v>8.8397790055248615E-2</v>
      </c>
      <c r="F60" s="44">
        <f t="shared" si="23"/>
        <v>0.11917916337805841</v>
      </c>
      <c r="G60" s="44">
        <f t="shared" si="23"/>
        <v>1.5785319652722968E-3</v>
      </c>
      <c r="H60" s="44">
        <f t="shared" si="23"/>
        <v>0</v>
      </c>
      <c r="I60" s="44">
        <f t="shared" si="23"/>
        <v>6.4719810576164161E-2</v>
      </c>
      <c r="J60" s="44">
        <f t="shared" si="23"/>
        <v>8.6819258089976328E-3</v>
      </c>
      <c r="K60" s="44">
        <f t="shared" si="23"/>
        <v>3.9463299131807421E-3</v>
      </c>
      <c r="L60" s="44">
        <f t="shared" si="23"/>
        <v>3.1570639305445935E-3</v>
      </c>
      <c r="M60" s="44"/>
      <c r="N60" s="44">
        <f t="shared" si="23"/>
        <v>7.8926598263614838E-4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1:32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1:32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1:32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S83" zoomScale="60" workbookViewId="0">
      <selection activeCell="AB80" sqref="AB8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'29.09 Matugga-Kasangati'!C3:G3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157" t="s">
        <v>163</v>
      </c>
      <c r="E5" s="158"/>
      <c r="F5" s="41" t="s">
        <v>1</v>
      </c>
      <c r="G5" s="150" t="str">
        <f>'29.09 Kasangati-Matugga'!G5:H5</f>
        <v>Kiiza-besigye road</v>
      </c>
      <c r="H5" s="151"/>
      <c r="I5" s="14"/>
      <c r="J5" s="2" t="s">
        <v>5</v>
      </c>
      <c r="K5" s="150" t="str">
        <f>'29.09 Kasangati-Matugga'!K5:L5</f>
        <v>Nakiwugwe. Allen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tr">
        <f>'29.09 Kasangati-Matugga'!D6:E6</f>
        <v>Kasangati</v>
      </c>
      <c r="E6" s="151"/>
      <c r="F6" s="2" t="s">
        <v>2</v>
      </c>
      <c r="G6" s="150" t="str">
        <f>'29.09 Kasangati-Matugga'!G6:H6</f>
        <v>matugga</v>
      </c>
      <c r="H6" s="151"/>
      <c r="J6" s="2" t="s">
        <v>21</v>
      </c>
      <c r="K6" s="150" t="str">
        <f>'29.09 Kasangati-Matugga'!K6:L6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AVERAGE('23.09- Kasangati-Matuga'!C10,'24.09 Kasangati-Matugga'!C10,'25.09 Kasangati-Matugga'!C10,'27.09 Matugga-Kasangati'!C10,'26.09 Kasangati-Matugga-24h'!C10,'28.09 Kasangati-Matugga-24h'!C10,'29.09 Kasangati-Matugga'!C10)</f>
        <v>13</v>
      </c>
      <c r="D10" s="49">
        <f>AVERAGE('23.09- Kasangati-Matuga'!D10,'24.09 Kasangati-Matugga'!D10,'25.09 Kasangati-Matugga'!D10,'27.09 Matugga-Kasangati'!D10,'26.09 Kasangati-Matugga-24h'!D10,'28.09 Kasangati-Matugga-24h'!D10,'29.09 Kasangati-Matugga'!D10)</f>
        <v>3.8571428571428572</v>
      </c>
      <c r="E10" s="49">
        <f>AVERAGE('23.09- Kasangati-Matuga'!E10,'24.09 Kasangati-Matugga'!E10,'25.09 Kasangati-Matugga'!E10,'27.09 Matugga-Kasangati'!E10,'26.09 Kasangati-Matugga-24h'!E10,'28.09 Kasangati-Matugga-24h'!E10,'29.09 Kasangati-Matugga'!E10)</f>
        <v>1.7142857142857142</v>
      </c>
      <c r="F10" s="49">
        <f>AVERAGE('23.09- Kasangati-Matuga'!F10,'24.09 Kasangati-Matugga'!F10,'25.09 Kasangati-Matugga'!F10,'27.09 Matugga-Kasangati'!F10,'26.09 Kasangati-Matugga-24h'!F10,'28.09 Kasangati-Matugga-24h'!F10,'29.09 Kasangati-Matugga'!F10)</f>
        <v>4.8571428571428568</v>
      </c>
      <c r="G10" s="49">
        <f>AVERAGE('23.09- Kasangati-Matuga'!G10,'24.09 Kasangati-Matugga'!G10,'25.09 Kasangati-Matugga'!G10,'27.09 Matugga-Kasangati'!G10,'26.09 Kasangati-Matugga-24h'!G10,'28.09 Kasangati-Matugga-24h'!G10,'29.09 Kasangati-Matugga'!G10)</f>
        <v>0.14285714285714285</v>
      </c>
      <c r="H10" s="49">
        <f>AVERAGE('23.09- Kasangati-Matuga'!H10,'24.09 Kasangati-Matugga'!H10,'25.09 Kasangati-Matugga'!H10,'27.09 Matugga-Kasangati'!H10,'26.09 Kasangati-Matugga-24h'!H10,'28.09 Kasangati-Matugga-24h'!H10,'29.09 Kasangati-Matugga'!H10)</f>
        <v>0</v>
      </c>
      <c r="I10" s="49">
        <f>AVERAGE('23.09- Kasangati-Matuga'!I10,'24.09 Kasangati-Matugga'!I10,'25.09 Kasangati-Matugga'!I10,'27.09 Matugga-Kasangati'!I10,'26.09 Kasangati-Matugga-24h'!I10,'28.09 Kasangati-Matugga-24h'!I10,'29.09 Kasangati-Matugga'!I10)</f>
        <v>1.7142857142857142</v>
      </c>
      <c r="J10" s="49">
        <f>AVERAGE('23.09- Kasangati-Matuga'!J10,'24.09 Kasangati-Matugga'!J10,'25.09 Kasangati-Matugga'!J10,'27.09 Matugga-Kasangati'!J10,'26.09 Kasangati-Matugga-24h'!J10,'28.09 Kasangati-Matugga-24h'!J10,'29.09 Kasangati-Matugga'!J10)</f>
        <v>0.42857142857142855</v>
      </c>
      <c r="K10" s="49">
        <f>AVERAGE('23.09- Kasangati-Matuga'!K10,'24.09 Kasangati-Matugga'!K10,'25.09 Kasangati-Matugga'!K10,'27.09 Matugga-Kasangati'!K10,'26.09 Kasangati-Matugga-24h'!K10,'28.09 Kasangati-Matugga-24h'!K10,'29.09 Kasangati-Matugga'!K10)</f>
        <v>0.5714285714285714</v>
      </c>
      <c r="L10" s="49">
        <f>AVERAGE('23.09- Kasangati-Matuga'!L10,'24.09 Kasangati-Matugga'!L10,'25.09 Kasangati-Matugga'!L10,'27.09 Matugga-Kasangati'!L10,'26.09 Kasangati-Matugga-24h'!L10,'28.09 Kasangati-Matugga-24h'!L10,'29.09 Kasangati-Matugga'!L10)</f>
        <v>0.42857142857142855</v>
      </c>
      <c r="M10" s="49">
        <f>AVERAGE('23.09- Kasangati-Matuga'!M10,'24.09 Kasangati-Matugga'!M10,'25.09 Kasangati-Matugga'!M10,'27.09 Matugga-Kasangati'!M10,'26.09 Kasangati-Matugga-24h'!M10,'28.09 Kasangati-Matugga-24h'!M10,'29.09 Kasangati-Matugga'!M10)</f>
        <v>37.714285714285715</v>
      </c>
      <c r="N10" s="49">
        <f>AVERAGE('23.09- Kasangati-Matuga'!N10,'24.09 Kasangati-Matugga'!N10,'25.09 Kasangati-Matugga'!N10,'27.09 Matugga-Kasangati'!N10,'26.09 Kasangati-Matugga-24h'!N10,'28.09 Kasangati-Matugga-24h'!N10,'29.09 Kasangati-Matugga'!N10)</f>
        <v>0</v>
      </c>
      <c r="O10" s="15">
        <f t="shared" ref="O10:O58" si="0">SUM(C10:L10,N10)</f>
        <v>26.714285714285715</v>
      </c>
      <c r="P10" s="15">
        <f t="shared" ref="P10:P58" si="1">SUM(C10:N10)</f>
        <v>64.428571428571431</v>
      </c>
      <c r="R10" s="1" t="s">
        <v>6</v>
      </c>
      <c r="S10" s="17">
        <f t="shared" ref="S10:AF10" si="2">SUM(C10:C13)</f>
        <v>46.857142857142861</v>
      </c>
      <c r="T10" s="17">
        <f t="shared" si="2"/>
        <v>14.142857142857142</v>
      </c>
      <c r="U10" s="17">
        <f t="shared" si="2"/>
        <v>6.1428571428571423</v>
      </c>
      <c r="V10" s="17">
        <f t="shared" si="2"/>
        <v>14.857142857142856</v>
      </c>
      <c r="W10" s="17">
        <f t="shared" si="2"/>
        <v>0.5714285714285714</v>
      </c>
      <c r="X10" s="17">
        <f t="shared" si="2"/>
        <v>0</v>
      </c>
      <c r="Y10" s="17">
        <f t="shared" si="2"/>
        <v>7</v>
      </c>
      <c r="Z10" s="17">
        <f t="shared" si="2"/>
        <v>2.4285714285714288</v>
      </c>
      <c r="AA10" s="17">
        <f t="shared" si="2"/>
        <v>0.99999999999999989</v>
      </c>
      <c r="AB10" s="17">
        <f t="shared" si="2"/>
        <v>0.85714285714285698</v>
      </c>
      <c r="AC10" s="17">
        <f t="shared" si="2"/>
        <v>160.71428571428572</v>
      </c>
      <c r="AD10" s="17">
        <f t="shared" si="2"/>
        <v>0</v>
      </c>
      <c r="AE10" s="31">
        <f t="shared" si="2"/>
        <v>93.857142857142861</v>
      </c>
      <c r="AF10" s="31">
        <f t="shared" si="2"/>
        <v>254.57142857142858</v>
      </c>
    </row>
    <row r="11" spans="2:32" s="6" customFormat="1" ht="23.1" customHeight="1" x14ac:dyDescent="0.25">
      <c r="B11" s="23" t="s">
        <v>38</v>
      </c>
      <c r="C11" s="49">
        <f>AVERAGE('23.09- Kasangati-Matuga'!C11,'24.09 Kasangati-Matugga'!C11,'25.09 Kasangati-Matugga'!C11,'27.09 Matugga-Kasangati'!C11,'26.09 Kasangati-Matugga-24h'!C11,'28.09 Kasangati-Matugga-24h'!C11,'29.09 Kasangati-Matugga'!C11)</f>
        <v>11.857142857142858</v>
      </c>
      <c r="D11" s="49">
        <f>AVERAGE('23.09- Kasangati-Matuga'!D11,'24.09 Kasangati-Matugga'!D11,'25.09 Kasangati-Matugga'!D11,'27.09 Matugga-Kasangati'!D11,'26.09 Kasangati-Matugga-24h'!D11,'28.09 Kasangati-Matugga-24h'!D11,'29.09 Kasangati-Matugga'!D11)</f>
        <v>2.8571428571428572</v>
      </c>
      <c r="E11" s="49">
        <f>AVERAGE('23.09- Kasangati-Matuga'!E11,'24.09 Kasangati-Matugga'!E11,'25.09 Kasangati-Matugga'!E11,'27.09 Matugga-Kasangati'!E11,'26.09 Kasangati-Matugga-24h'!E11,'28.09 Kasangati-Matugga-24h'!E11,'29.09 Kasangati-Matugga'!E11)</f>
        <v>1.1428571428571428</v>
      </c>
      <c r="F11" s="49">
        <f>AVERAGE('23.09- Kasangati-Matuga'!F11,'24.09 Kasangati-Matugga'!F11,'25.09 Kasangati-Matugga'!F11,'27.09 Matugga-Kasangati'!F11,'26.09 Kasangati-Matugga-24h'!F11,'28.09 Kasangati-Matugga-24h'!F11,'29.09 Kasangati-Matugga'!F11)</f>
        <v>3.8571428571428572</v>
      </c>
      <c r="G11" s="49">
        <f>AVERAGE('23.09- Kasangati-Matuga'!G11,'24.09 Kasangati-Matugga'!G11,'25.09 Kasangati-Matugga'!G11,'27.09 Matugga-Kasangati'!G11,'26.09 Kasangati-Matugga-24h'!G11,'28.09 Kasangati-Matugga-24h'!G11,'29.09 Kasangati-Matugga'!G11)</f>
        <v>0.42857142857142855</v>
      </c>
      <c r="H11" s="49">
        <f>AVERAGE('23.09- Kasangati-Matuga'!H11,'24.09 Kasangati-Matugga'!H11,'25.09 Kasangati-Matugga'!H11,'27.09 Matugga-Kasangati'!H11,'26.09 Kasangati-Matugga-24h'!H11,'28.09 Kasangati-Matugga-24h'!H11,'29.09 Kasangati-Matugga'!H11)</f>
        <v>0</v>
      </c>
      <c r="I11" s="49">
        <f>AVERAGE('23.09- Kasangati-Matuga'!I11,'24.09 Kasangati-Matugga'!I11,'25.09 Kasangati-Matugga'!I11,'27.09 Matugga-Kasangati'!I11,'26.09 Kasangati-Matugga-24h'!I11,'28.09 Kasangati-Matugga-24h'!I11,'29.09 Kasangati-Matugga'!I11)</f>
        <v>2.2857142857142856</v>
      </c>
      <c r="J11" s="49">
        <f>AVERAGE('23.09- Kasangati-Matuga'!J11,'24.09 Kasangati-Matugga'!J11,'25.09 Kasangati-Matugga'!J11,'27.09 Matugga-Kasangati'!J11,'26.09 Kasangati-Matugga-24h'!J11,'28.09 Kasangati-Matugga-24h'!J11,'29.09 Kasangati-Matugga'!J11)</f>
        <v>0.5714285714285714</v>
      </c>
      <c r="K11" s="49">
        <f>AVERAGE('23.09- Kasangati-Matuga'!K11,'24.09 Kasangati-Matugga'!K11,'25.09 Kasangati-Matugga'!K11,'27.09 Matugga-Kasangati'!K11,'26.09 Kasangati-Matugga-24h'!K11,'28.09 Kasangati-Matugga-24h'!K11,'29.09 Kasangati-Matugga'!K11)</f>
        <v>0.14285714285714285</v>
      </c>
      <c r="L11" s="49">
        <f>AVERAGE('23.09- Kasangati-Matuga'!L11,'24.09 Kasangati-Matugga'!L11,'25.09 Kasangati-Matugga'!L11,'27.09 Matugga-Kasangati'!L11,'26.09 Kasangati-Matugga-24h'!L11,'28.09 Kasangati-Matugga-24h'!L11,'29.09 Kasangati-Matugga'!L11)</f>
        <v>0</v>
      </c>
      <c r="M11" s="49">
        <f>AVERAGE('23.09- Kasangati-Matuga'!M11,'24.09 Kasangati-Matugga'!M11,'25.09 Kasangati-Matugga'!M11,'27.09 Matugga-Kasangati'!M11,'26.09 Kasangati-Matugga-24h'!M11,'28.09 Kasangati-Matugga-24h'!M11,'29.09 Kasangati-Matugga'!M11)</f>
        <v>40.285714285714285</v>
      </c>
      <c r="N11" s="49">
        <f>AVERAGE('23.09- Kasangati-Matuga'!N11,'24.09 Kasangati-Matugga'!N11,'25.09 Kasangati-Matugga'!N11,'27.09 Matugga-Kasangati'!N11,'26.09 Kasangati-Matugga-24h'!N11,'28.09 Kasangati-Matugga-24h'!N11,'29.09 Kasangati-Matugga'!N11)</f>
        <v>0</v>
      </c>
      <c r="O11" s="15">
        <f t="shared" si="0"/>
        <v>23.142857142857142</v>
      </c>
      <c r="P11" s="15">
        <f t="shared" si="1"/>
        <v>63.428571428571431</v>
      </c>
      <c r="R11" s="1" t="s">
        <v>7</v>
      </c>
      <c r="S11" s="17">
        <f t="shared" ref="S11:AF11" si="3">SUM(C14:C17)</f>
        <v>42</v>
      </c>
      <c r="T11" s="17">
        <f t="shared" si="3"/>
        <v>15.714285714285715</v>
      </c>
      <c r="U11" s="17">
        <f t="shared" si="3"/>
        <v>8.8571428571428559</v>
      </c>
      <c r="V11" s="17">
        <f t="shared" si="3"/>
        <v>11.285714285714285</v>
      </c>
      <c r="W11" s="17">
        <f t="shared" si="3"/>
        <v>0</v>
      </c>
      <c r="X11" s="17">
        <f t="shared" si="3"/>
        <v>0</v>
      </c>
      <c r="Y11" s="17">
        <f t="shared" si="3"/>
        <v>6.7142857142857144</v>
      </c>
      <c r="Z11" s="17">
        <f t="shared" si="3"/>
        <v>2</v>
      </c>
      <c r="AA11" s="17">
        <f t="shared" si="3"/>
        <v>0.42857142857142855</v>
      </c>
      <c r="AB11" s="17">
        <f t="shared" si="3"/>
        <v>0.2857142857142857</v>
      </c>
      <c r="AC11" s="17">
        <f t="shared" si="3"/>
        <v>186.14285714285714</v>
      </c>
      <c r="AD11" s="17">
        <f t="shared" si="3"/>
        <v>0.14285714285714285</v>
      </c>
      <c r="AE11" s="31">
        <f t="shared" si="3"/>
        <v>87.428571428571431</v>
      </c>
      <c r="AF11" s="31">
        <f t="shared" si="3"/>
        <v>273.57142857142856</v>
      </c>
    </row>
    <row r="12" spans="2:32" ht="23.1" customHeight="1" x14ac:dyDescent="0.25">
      <c r="B12" s="23" t="s">
        <v>39</v>
      </c>
      <c r="C12" s="49">
        <f>AVERAGE('23.09- Kasangati-Matuga'!C12,'24.09 Kasangati-Matugga'!C12,'25.09 Kasangati-Matugga'!C12,'27.09 Matugga-Kasangati'!C12,'26.09 Kasangati-Matugga-24h'!C12,'28.09 Kasangati-Matugga-24h'!C12,'29.09 Kasangati-Matugga'!C12)</f>
        <v>10.857142857142858</v>
      </c>
      <c r="D12" s="49">
        <f>AVERAGE('23.09- Kasangati-Matuga'!D12,'24.09 Kasangati-Matugga'!D12,'25.09 Kasangati-Matugga'!D12,'27.09 Matugga-Kasangati'!D12,'26.09 Kasangati-Matugga-24h'!D12,'28.09 Kasangati-Matugga-24h'!D12,'29.09 Kasangati-Matugga'!D12)</f>
        <v>3.4285714285714284</v>
      </c>
      <c r="E12" s="49">
        <f>AVERAGE('23.09- Kasangati-Matuga'!E12,'24.09 Kasangati-Matugga'!E12,'25.09 Kasangati-Matugga'!E12,'27.09 Matugga-Kasangati'!E12,'26.09 Kasangati-Matugga-24h'!E12,'28.09 Kasangati-Matugga-24h'!E12,'29.09 Kasangati-Matugga'!E12)</f>
        <v>1.2857142857142858</v>
      </c>
      <c r="F12" s="49">
        <f>AVERAGE('23.09- Kasangati-Matuga'!F12,'24.09 Kasangati-Matugga'!F12,'25.09 Kasangati-Matugga'!F12,'27.09 Matugga-Kasangati'!F12,'26.09 Kasangati-Matugga-24h'!F12,'28.09 Kasangati-Matugga-24h'!F12,'29.09 Kasangati-Matugga'!F12)</f>
        <v>3.5714285714285716</v>
      </c>
      <c r="G12" s="49">
        <f>AVERAGE('23.09- Kasangati-Matuga'!G12,'24.09 Kasangati-Matugga'!G12,'25.09 Kasangati-Matugga'!G12,'27.09 Matugga-Kasangati'!G12,'26.09 Kasangati-Matugga-24h'!G12,'28.09 Kasangati-Matugga-24h'!G12,'29.09 Kasangati-Matugga'!G12)</f>
        <v>0</v>
      </c>
      <c r="H12" s="49">
        <f>AVERAGE('23.09- Kasangati-Matuga'!H12,'24.09 Kasangati-Matugga'!H12,'25.09 Kasangati-Matugga'!H12,'27.09 Matugga-Kasangati'!H12,'26.09 Kasangati-Matugga-24h'!H12,'28.09 Kasangati-Matugga-24h'!H12,'29.09 Kasangati-Matugga'!H12)</f>
        <v>0</v>
      </c>
      <c r="I12" s="49">
        <f>AVERAGE('23.09- Kasangati-Matuga'!I12,'24.09 Kasangati-Matugga'!I12,'25.09 Kasangati-Matugga'!I12,'27.09 Matugga-Kasangati'!I12,'26.09 Kasangati-Matugga-24h'!I12,'28.09 Kasangati-Matugga-24h'!I12,'29.09 Kasangati-Matugga'!I12)</f>
        <v>1.5714285714285714</v>
      </c>
      <c r="J12" s="49">
        <f>AVERAGE('23.09- Kasangati-Matuga'!J12,'24.09 Kasangati-Matugga'!J12,'25.09 Kasangati-Matugga'!J12,'27.09 Matugga-Kasangati'!J12,'26.09 Kasangati-Matugga-24h'!J12,'28.09 Kasangati-Matugga-24h'!J12,'29.09 Kasangati-Matugga'!J12)</f>
        <v>0.42857142857142855</v>
      </c>
      <c r="K12" s="49">
        <f>AVERAGE('23.09- Kasangati-Matuga'!K12,'24.09 Kasangati-Matugga'!K12,'25.09 Kasangati-Matugga'!K12,'27.09 Matugga-Kasangati'!K12,'26.09 Kasangati-Matugga-24h'!K12,'28.09 Kasangati-Matugga-24h'!K12,'29.09 Kasangati-Matugga'!K12)</f>
        <v>0.2857142857142857</v>
      </c>
      <c r="L12" s="49">
        <f>AVERAGE('23.09- Kasangati-Matuga'!L12,'24.09 Kasangati-Matugga'!L12,'25.09 Kasangati-Matugga'!L12,'27.09 Matugga-Kasangati'!L12,'26.09 Kasangati-Matugga-24h'!L12,'28.09 Kasangati-Matugga-24h'!L12,'29.09 Kasangati-Matugga'!L12)</f>
        <v>0.2857142857142857</v>
      </c>
      <c r="M12" s="49">
        <f>AVERAGE('23.09- Kasangati-Matuga'!M12,'24.09 Kasangati-Matugga'!M12,'25.09 Kasangati-Matugga'!M12,'27.09 Matugga-Kasangati'!M12,'26.09 Kasangati-Matugga-24h'!M12,'28.09 Kasangati-Matugga-24h'!M12,'29.09 Kasangati-Matugga'!M12)</f>
        <v>41.142857142857146</v>
      </c>
      <c r="N12" s="49">
        <f>AVERAGE('23.09- Kasangati-Matuga'!N12,'24.09 Kasangati-Matugga'!N12,'25.09 Kasangati-Matugga'!N12,'27.09 Matugga-Kasangati'!N12,'26.09 Kasangati-Matugga-24h'!N12,'28.09 Kasangati-Matugga-24h'!N12,'29.09 Kasangati-Matugga'!N12)</f>
        <v>0</v>
      </c>
      <c r="O12" s="15">
        <f t="shared" si="0"/>
        <v>21.714285714285715</v>
      </c>
      <c r="P12" s="15">
        <f t="shared" si="1"/>
        <v>62.857142857142861</v>
      </c>
      <c r="R12" s="1" t="s">
        <v>8</v>
      </c>
      <c r="S12" s="17">
        <f t="shared" ref="S12:AF12" si="4">SUM(C18:C21)</f>
        <v>35.714285714285708</v>
      </c>
      <c r="T12" s="17">
        <f t="shared" si="4"/>
        <v>14.714285714285715</v>
      </c>
      <c r="U12" s="17">
        <f t="shared" si="4"/>
        <v>10</v>
      </c>
      <c r="V12" s="17">
        <f t="shared" si="4"/>
        <v>10.857142857142858</v>
      </c>
      <c r="W12" s="17">
        <f t="shared" si="4"/>
        <v>0</v>
      </c>
      <c r="X12" s="17">
        <f t="shared" si="4"/>
        <v>0.14285714285714285</v>
      </c>
      <c r="Y12" s="17">
        <f t="shared" si="4"/>
        <v>8.7142857142857153</v>
      </c>
      <c r="Z12" s="17">
        <f t="shared" si="4"/>
        <v>2.4285714285714288</v>
      </c>
      <c r="AA12" s="17">
        <f t="shared" si="4"/>
        <v>0.42857142857142855</v>
      </c>
      <c r="AB12" s="17">
        <f t="shared" si="4"/>
        <v>0.42857142857142855</v>
      </c>
      <c r="AC12" s="17">
        <f t="shared" si="4"/>
        <v>178.71428571428572</v>
      </c>
      <c r="AD12" s="17">
        <f t="shared" si="4"/>
        <v>0</v>
      </c>
      <c r="AE12" s="31">
        <f t="shared" si="4"/>
        <v>83.428571428571431</v>
      </c>
      <c r="AF12" s="31">
        <f t="shared" si="4"/>
        <v>262.14285714285711</v>
      </c>
    </row>
    <row r="13" spans="2:32" ht="23.1" customHeight="1" x14ac:dyDescent="0.25">
      <c r="B13" s="23" t="s">
        <v>40</v>
      </c>
      <c r="C13" s="49">
        <f>AVERAGE('23.09- Kasangati-Matuga'!C13,'24.09 Kasangati-Matugga'!C13,'25.09 Kasangati-Matugga'!C13,'27.09 Matugga-Kasangati'!C13,'26.09 Kasangati-Matugga-24h'!C13,'28.09 Kasangati-Matugga-24h'!C13,'29.09 Kasangati-Matugga'!C13)</f>
        <v>11.142857142857142</v>
      </c>
      <c r="D13" s="49">
        <f>AVERAGE('23.09- Kasangati-Matuga'!D13,'24.09 Kasangati-Matugga'!D13,'25.09 Kasangati-Matugga'!D13,'27.09 Matugga-Kasangati'!D13,'26.09 Kasangati-Matugga-24h'!D13,'28.09 Kasangati-Matugga-24h'!D13,'29.09 Kasangati-Matugga'!D13)</f>
        <v>4</v>
      </c>
      <c r="E13" s="49">
        <f>AVERAGE('23.09- Kasangati-Matuga'!E13,'24.09 Kasangati-Matugga'!E13,'25.09 Kasangati-Matugga'!E13,'27.09 Matugga-Kasangati'!E13,'26.09 Kasangati-Matugga-24h'!E13,'28.09 Kasangati-Matugga-24h'!E13,'29.09 Kasangati-Matugga'!E13)</f>
        <v>2</v>
      </c>
      <c r="F13" s="49">
        <f>AVERAGE('23.09- Kasangati-Matuga'!F13,'24.09 Kasangati-Matugga'!F13,'25.09 Kasangati-Matugga'!F13,'27.09 Matugga-Kasangati'!F13,'26.09 Kasangati-Matugga-24h'!F13,'28.09 Kasangati-Matugga-24h'!F13,'29.09 Kasangati-Matugga'!F13)</f>
        <v>2.5714285714285716</v>
      </c>
      <c r="G13" s="49">
        <f>AVERAGE('23.09- Kasangati-Matuga'!G13,'24.09 Kasangati-Matugga'!G13,'25.09 Kasangati-Matugga'!G13,'27.09 Matugga-Kasangati'!G13,'26.09 Kasangati-Matugga-24h'!G13,'28.09 Kasangati-Matugga-24h'!G13,'29.09 Kasangati-Matugga'!G13)</f>
        <v>0</v>
      </c>
      <c r="H13" s="49">
        <f>AVERAGE('23.09- Kasangati-Matuga'!H13,'24.09 Kasangati-Matugga'!H13,'25.09 Kasangati-Matugga'!H13,'27.09 Matugga-Kasangati'!H13,'26.09 Kasangati-Matugga-24h'!H13,'28.09 Kasangati-Matugga-24h'!H13,'29.09 Kasangati-Matugga'!H13)</f>
        <v>0</v>
      </c>
      <c r="I13" s="49">
        <f>AVERAGE('23.09- Kasangati-Matuga'!I13,'24.09 Kasangati-Matugga'!I13,'25.09 Kasangati-Matugga'!I13,'27.09 Matugga-Kasangati'!I13,'26.09 Kasangati-Matugga-24h'!I13,'28.09 Kasangati-Matugga-24h'!I13,'29.09 Kasangati-Matugga'!I13)</f>
        <v>1.4285714285714286</v>
      </c>
      <c r="J13" s="49">
        <f>AVERAGE('23.09- Kasangati-Matuga'!J13,'24.09 Kasangati-Matugga'!J13,'25.09 Kasangati-Matugga'!J13,'27.09 Matugga-Kasangati'!J13,'26.09 Kasangati-Matugga-24h'!J13,'28.09 Kasangati-Matugga-24h'!J13,'29.09 Kasangati-Matugga'!J13)</f>
        <v>1</v>
      </c>
      <c r="K13" s="49">
        <f>AVERAGE('23.09- Kasangati-Matuga'!K13,'24.09 Kasangati-Matugga'!K13,'25.09 Kasangati-Matugga'!K13,'27.09 Matugga-Kasangati'!K13,'26.09 Kasangati-Matugga-24h'!K13,'28.09 Kasangati-Matugga-24h'!K13,'29.09 Kasangati-Matugga'!K13)</f>
        <v>0</v>
      </c>
      <c r="L13" s="49">
        <f>AVERAGE('23.09- Kasangati-Matuga'!L13,'24.09 Kasangati-Matugga'!L13,'25.09 Kasangati-Matugga'!L13,'27.09 Matugga-Kasangati'!L13,'26.09 Kasangati-Matugga-24h'!L13,'28.09 Kasangati-Matugga-24h'!L13,'29.09 Kasangati-Matugga'!L13)</f>
        <v>0.14285714285714285</v>
      </c>
      <c r="M13" s="49">
        <f>AVERAGE('23.09- Kasangati-Matuga'!M13,'24.09 Kasangati-Matugga'!M13,'25.09 Kasangati-Matugga'!M13,'27.09 Matugga-Kasangati'!M13,'26.09 Kasangati-Matugga-24h'!M13,'28.09 Kasangati-Matugga-24h'!M13,'29.09 Kasangati-Matugga'!M13)</f>
        <v>41.571428571428569</v>
      </c>
      <c r="N13" s="49">
        <f>AVERAGE('23.09- Kasangati-Matuga'!N13,'24.09 Kasangati-Matugga'!N13,'25.09 Kasangati-Matugga'!N13,'27.09 Matugga-Kasangati'!N13,'26.09 Kasangati-Matugga-24h'!N13,'28.09 Kasangati-Matugga-24h'!N13,'29.09 Kasangati-Matugga'!N13)</f>
        <v>0</v>
      </c>
      <c r="O13" s="15">
        <f t="shared" si="0"/>
        <v>22.285714285714285</v>
      </c>
      <c r="P13" s="15">
        <f t="shared" si="1"/>
        <v>63.857142857142854</v>
      </c>
      <c r="R13" s="1" t="s">
        <v>9</v>
      </c>
      <c r="S13" s="17">
        <f t="shared" ref="S13:AF13" si="5">SUM(C22:C25)</f>
        <v>39.571428571428569</v>
      </c>
      <c r="T13" s="17">
        <f t="shared" si="5"/>
        <v>15.142857142857142</v>
      </c>
      <c r="U13" s="17">
        <f t="shared" si="5"/>
        <v>8.8571428571428577</v>
      </c>
      <c r="V13" s="17">
        <f t="shared" si="5"/>
        <v>7.2857142857142856</v>
      </c>
      <c r="W13" s="17">
        <f t="shared" si="5"/>
        <v>0.42857142857142855</v>
      </c>
      <c r="X13" s="17">
        <f t="shared" si="5"/>
        <v>0.14285714285714285</v>
      </c>
      <c r="Y13" s="17">
        <f t="shared" si="5"/>
        <v>12</v>
      </c>
      <c r="Z13" s="17">
        <f t="shared" si="5"/>
        <v>4.2857142857142856</v>
      </c>
      <c r="AA13" s="17">
        <f t="shared" si="5"/>
        <v>0.42857142857142855</v>
      </c>
      <c r="AB13" s="17">
        <f t="shared" si="5"/>
        <v>0.42857142857142855</v>
      </c>
      <c r="AC13" s="17">
        <f t="shared" si="5"/>
        <v>148.85714285714286</v>
      </c>
      <c r="AD13" s="17">
        <f t="shared" si="5"/>
        <v>0</v>
      </c>
      <c r="AE13" s="31">
        <f t="shared" si="5"/>
        <v>88.571428571428569</v>
      </c>
      <c r="AF13" s="31">
        <f t="shared" si="5"/>
        <v>237.42857142857142</v>
      </c>
    </row>
    <row r="14" spans="2:32" ht="23.1" customHeight="1" x14ac:dyDescent="0.25">
      <c r="B14" s="23" t="s">
        <v>41</v>
      </c>
      <c r="C14" s="49">
        <f>AVERAGE('23.09- Kasangati-Matuga'!C14,'24.09 Kasangati-Matugga'!C14,'25.09 Kasangati-Matugga'!C14,'27.09 Matugga-Kasangati'!C14,'26.09 Kasangati-Matugga-24h'!C14,'28.09 Kasangati-Matugga-24h'!C14,'29.09 Kasangati-Matugga'!C14)</f>
        <v>11.857142857142858</v>
      </c>
      <c r="D14" s="49">
        <f>AVERAGE('23.09- Kasangati-Matuga'!D14,'24.09 Kasangati-Matugga'!D14,'25.09 Kasangati-Matugga'!D14,'27.09 Matugga-Kasangati'!D14,'26.09 Kasangati-Matugga-24h'!D14,'28.09 Kasangati-Matugga-24h'!D14,'29.09 Kasangati-Matugga'!D14)</f>
        <v>4</v>
      </c>
      <c r="E14" s="49">
        <f>AVERAGE('23.09- Kasangati-Matuga'!E14,'24.09 Kasangati-Matugga'!E14,'25.09 Kasangati-Matugga'!E14,'27.09 Matugga-Kasangati'!E14,'26.09 Kasangati-Matugga-24h'!E14,'28.09 Kasangati-Matugga-24h'!E14,'29.09 Kasangati-Matugga'!E14)</f>
        <v>3.2857142857142856</v>
      </c>
      <c r="F14" s="49">
        <f>AVERAGE('23.09- Kasangati-Matuga'!F14,'24.09 Kasangati-Matugga'!F14,'25.09 Kasangati-Matugga'!F14,'27.09 Matugga-Kasangati'!F14,'26.09 Kasangati-Matugga-24h'!F14,'28.09 Kasangati-Matugga-24h'!F14,'29.09 Kasangati-Matugga'!F14)</f>
        <v>2.7142857142857144</v>
      </c>
      <c r="G14" s="49">
        <f>AVERAGE('23.09- Kasangati-Matuga'!G14,'24.09 Kasangati-Matugga'!G14,'25.09 Kasangati-Matugga'!G14,'27.09 Matugga-Kasangati'!G14,'26.09 Kasangati-Matugga-24h'!G14,'28.09 Kasangati-Matugga-24h'!G14,'29.09 Kasangati-Matugga'!G14)</f>
        <v>0</v>
      </c>
      <c r="H14" s="49">
        <f>AVERAGE('23.09- Kasangati-Matuga'!H14,'24.09 Kasangati-Matugga'!H14,'25.09 Kasangati-Matugga'!H14,'27.09 Matugga-Kasangati'!H14,'26.09 Kasangati-Matugga-24h'!H14,'28.09 Kasangati-Matugga-24h'!H14,'29.09 Kasangati-Matugga'!H14)</f>
        <v>0</v>
      </c>
      <c r="I14" s="49">
        <f>AVERAGE('23.09- Kasangati-Matuga'!I14,'24.09 Kasangati-Matugga'!I14,'25.09 Kasangati-Matugga'!I14,'27.09 Matugga-Kasangati'!I14,'26.09 Kasangati-Matugga-24h'!I14,'28.09 Kasangati-Matugga-24h'!I14,'29.09 Kasangati-Matugga'!I14)</f>
        <v>1.1428571428571428</v>
      </c>
      <c r="J14" s="49">
        <f>AVERAGE('23.09- Kasangati-Matuga'!J14,'24.09 Kasangati-Matugga'!J14,'25.09 Kasangati-Matugga'!J14,'27.09 Matugga-Kasangati'!J14,'26.09 Kasangati-Matugga-24h'!J14,'28.09 Kasangati-Matugga-24h'!J14,'29.09 Kasangati-Matugga'!J14)</f>
        <v>0.14285714285714285</v>
      </c>
      <c r="K14" s="49">
        <f>AVERAGE('23.09- Kasangati-Matuga'!K14,'24.09 Kasangati-Matugga'!K14,'25.09 Kasangati-Matugga'!K14,'27.09 Matugga-Kasangati'!K14,'26.09 Kasangati-Matugga-24h'!K14,'28.09 Kasangati-Matugga-24h'!K14,'29.09 Kasangati-Matugga'!K14)</f>
        <v>0.14285714285714285</v>
      </c>
      <c r="L14" s="49">
        <f>AVERAGE('23.09- Kasangati-Matuga'!L14,'24.09 Kasangati-Matugga'!L14,'25.09 Kasangati-Matugga'!L14,'27.09 Matugga-Kasangati'!L14,'26.09 Kasangati-Matugga-24h'!L14,'28.09 Kasangati-Matugga-24h'!L14,'29.09 Kasangati-Matugga'!L14)</f>
        <v>0.14285714285714285</v>
      </c>
      <c r="M14" s="49">
        <f>AVERAGE('23.09- Kasangati-Matuga'!M14,'24.09 Kasangati-Matugga'!M14,'25.09 Kasangati-Matugga'!M14,'27.09 Matugga-Kasangati'!M14,'26.09 Kasangati-Matugga-24h'!M14,'28.09 Kasangati-Matugga-24h'!M14,'29.09 Kasangati-Matugga'!M14)</f>
        <v>43.285714285714285</v>
      </c>
      <c r="N14" s="49">
        <f>AVERAGE('23.09- Kasangati-Matuga'!N14,'24.09 Kasangati-Matugga'!N14,'25.09 Kasangati-Matugga'!N14,'27.09 Matugga-Kasangati'!N14,'26.09 Kasangati-Matugga-24h'!N14,'28.09 Kasangati-Matugga-24h'!N14,'29.09 Kasangati-Matugga'!N14)</f>
        <v>0</v>
      </c>
      <c r="O14" s="15">
        <f t="shared" si="0"/>
        <v>23.428571428571427</v>
      </c>
      <c r="P14" s="15">
        <f t="shared" si="1"/>
        <v>66.714285714285708</v>
      </c>
      <c r="R14" s="1" t="s">
        <v>10</v>
      </c>
      <c r="S14" s="17">
        <f t="shared" ref="S14:AF14" si="6">SUM(C26:C29)</f>
        <v>34.857142857142854</v>
      </c>
      <c r="T14" s="17">
        <f t="shared" si="6"/>
        <v>19</v>
      </c>
      <c r="U14" s="17">
        <f t="shared" si="6"/>
        <v>11</v>
      </c>
      <c r="V14" s="17">
        <f t="shared" si="6"/>
        <v>9</v>
      </c>
      <c r="W14" s="17">
        <f t="shared" si="6"/>
        <v>0.8571428571428571</v>
      </c>
      <c r="X14" s="17">
        <f t="shared" si="6"/>
        <v>0</v>
      </c>
      <c r="Y14" s="17">
        <f t="shared" si="6"/>
        <v>8.1428571428571423</v>
      </c>
      <c r="Z14" s="17">
        <f t="shared" si="6"/>
        <v>4.5714285714285721</v>
      </c>
      <c r="AA14" s="17">
        <f t="shared" si="6"/>
        <v>1.5714285714285712</v>
      </c>
      <c r="AB14" s="17">
        <f t="shared" si="6"/>
        <v>0.42857142857142855</v>
      </c>
      <c r="AC14" s="17">
        <f t="shared" si="6"/>
        <v>153</v>
      </c>
      <c r="AD14" s="17">
        <f t="shared" si="6"/>
        <v>8</v>
      </c>
      <c r="AE14" s="31">
        <f t="shared" si="6"/>
        <v>97.428571428571416</v>
      </c>
      <c r="AF14" s="31">
        <f t="shared" si="6"/>
        <v>250.42857142857142</v>
      </c>
    </row>
    <row r="15" spans="2:32" ht="23.1" customHeight="1" x14ac:dyDescent="0.25">
      <c r="B15" s="23" t="s">
        <v>42</v>
      </c>
      <c r="C15" s="49">
        <f>AVERAGE('23.09- Kasangati-Matuga'!C15,'24.09 Kasangati-Matugga'!C15,'25.09 Kasangati-Matugga'!C15,'27.09 Matugga-Kasangati'!C15,'26.09 Kasangati-Matugga-24h'!C15,'28.09 Kasangati-Matugga-24h'!C15,'29.09 Kasangati-Matugga'!C15)</f>
        <v>10.571428571428571</v>
      </c>
      <c r="D15" s="49">
        <f>AVERAGE('23.09- Kasangati-Matuga'!D15,'24.09 Kasangati-Matugga'!D15,'25.09 Kasangati-Matugga'!D15,'27.09 Matugga-Kasangati'!D15,'26.09 Kasangati-Matugga-24h'!D15,'28.09 Kasangati-Matugga-24h'!D15,'29.09 Kasangati-Matugga'!D15)</f>
        <v>3.4285714285714284</v>
      </c>
      <c r="E15" s="49">
        <f>AVERAGE('23.09- Kasangati-Matuga'!E15,'24.09 Kasangati-Matugga'!E15,'25.09 Kasangati-Matugga'!E15,'27.09 Matugga-Kasangati'!E15,'26.09 Kasangati-Matugga-24h'!E15,'28.09 Kasangati-Matugga-24h'!E15,'29.09 Kasangati-Matugga'!E15)</f>
        <v>1.5714285714285714</v>
      </c>
      <c r="F15" s="49">
        <f>AVERAGE('23.09- Kasangati-Matuga'!F15,'24.09 Kasangati-Matugga'!F15,'25.09 Kasangati-Matugga'!F15,'27.09 Matugga-Kasangati'!F15,'26.09 Kasangati-Matugga-24h'!F15,'28.09 Kasangati-Matugga-24h'!F15,'29.09 Kasangati-Matugga'!F15)</f>
        <v>2.8571428571428572</v>
      </c>
      <c r="G15" s="49">
        <f>AVERAGE('23.09- Kasangati-Matuga'!G15,'24.09 Kasangati-Matugga'!G15,'25.09 Kasangati-Matugga'!G15,'27.09 Matugga-Kasangati'!G15,'26.09 Kasangati-Matugga-24h'!G15,'28.09 Kasangati-Matugga-24h'!G15,'29.09 Kasangati-Matugga'!G15)</f>
        <v>0</v>
      </c>
      <c r="H15" s="49">
        <f>AVERAGE('23.09- Kasangati-Matuga'!H15,'24.09 Kasangati-Matugga'!H15,'25.09 Kasangati-Matugga'!H15,'27.09 Matugga-Kasangati'!H15,'26.09 Kasangati-Matugga-24h'!H15,'28.09 Kasangati-Matugga-24h'!H15,'29.09 Kasangati-Matugga'!H15)</f>
        <v>0</v>
      </c>
      <c r="I15" s="49">
        <f>AVERAGE('23.09- Kasangati-Matuga'!I15,'24.09 Kasangati-Matugga'!I15,'25.09 Kasangati-Matugga'!I15,'27.09 Matugga-Kasangati'!I15,'26.09 Kasangati-Matugga-24h'!I15,'28.09 Kasangati-Matugga-24h'!I15,'29.09 Kasangati-Matugga'!I15)</f>
        <v>2</v>
      </c>
      <c r="J15" s="49">
        <f>AVERAGE('23.09- Kasangati-Matuga'!J15,'24.09 Kasangati-Matugga'!J15,'25.09 Kasangati-Matugga'!J15,'27.09 Matugga-Kasangati'!J15,'26.09 Kasangati-Matugga-24h'!J15,'28.09 Kasangati-Matugga-24h'!J15,'29.09 Kasangati-Matugga'!J15)</f>
        <v>0.5714285714285714</v>
      </c>
      <c r="K15" s="49">
        <f>AVERAGE('23.09- Kasangati-Matuga'!K15,'24.09 Kasangati-Matugga'!K15,'25.09 Kasangati-Matugga'!K15,'27.09 Matugga-Kasangati'!K15,'26.09 Kasangati-Matugga-24h'!K15,'28.09 Kasangati-Matugga-24h'!K15,'29.09 Kasangati-Matugga'!K15)</f>
        <v>0.2857142857142857</v>
      </c>
      <c r="L15" s="49">
        <f>AVERAGE('23.09- Kasangati-Matuga'!L15,'24.09 Kasangati-Matugga'!L15,'25.09 Kasangati-Matugga'!L15,'27.09 Matugga-Kasangati'!L15,'26.09 Kasangati-Matugga-24h'!L15,'28.09 Kasangati-Matugga-24h'!L15,'29.09 Kasangati-Matugga'!L15)</f>
        <v>0.14285714285714285</v>
      </c>
      <c r="M15" s="49">
        <f>AVERAGE('23.09- Kasangati-Matuga'!M15,'24.09 Kasangati-Matugga'!M15,'25.09 Kasangati-Matugga'!M15,'27.09 Matugga-Kasangati'!M15,'26.09 Kasangati-Matugga-24h'!M15,'28.09 Kasangati-Matugga-24h'!M15,'29.09 Kasangati-Matugga'!M15)</f>
        <v>48.285714285714285</v>
      </c>
      <c r="N15" s="49">
        <f>AVERAGE('23.09- Kasangati-Matuga'!N15,'24.09 Kasangati-Matugga'!N15,'25.09 Kasangati-Matugga'!N15,'27.09 Matugga-Kasangati'!N15,'26.09 Kasangati-Matugga-24h'!N15,'28.09 Kasangati-Matugga-24h'!N15,'29.09 Kasangati-Matugga'!N15)</f>
        <v>0</v>
      </c>
      <c r="O15" s="15">
        <f t="shared" si="0"/>
        <v>21.428571428571427</v>
      </c>
      <c r="P15" s="15">
        <f t="shared" si="1"/>
        <v>69.714285714285708</v>
      </c>
      <c r="R15" s="1" t="s">
        <v>11</v>
      </c>
      <c r="S15" s="17">
        <f t="shared" ref="S15:AF15" si="7">SUM(C30:C33)</f>
        <v>36.714285714285715</v>
      </c>
      <c r="T15" s="17">
        <f t="shared" si="7"/>
        <v>14.714285714285715</v>
      </c>
      <c r="U15" s="17">
        <f t="shared" si="7"/>
        <v>11.571428571428569</v>
      </c>
      <c r="V15" s="17">
        <f t="shared" si="7"/>
        <v>8.7142857142857153</v>
      </c>
      <c r="W15" s="17">
        <f t="shared" si="7"/>
        <v>0.5714285714285714</v>
      </c>
      <c r="X15" s="17">
        <f t="shared" si="7"/>
        <v>0</v>
      </c>
      <c r="Y15" s="17">
        <f t="shared" si="7"/>
        <v>9.2857142857142847</v>
      </c>
      <c r="Z15" s="17">
        <f t="shared" si="7"/>
        <v>4</v>
      </c>
      <c r="AA15" s="17">
        <f t="shared" si="7"/>
        <v>0.85714285714285721</v>
      </c>
      <c r="AB15" s="17">
        <f t="shared" si="7"/>
        <v>0.71428571428571419</v>
      </c>
      <c r="AC15" s="17">
        <f t="shared" si="7"/>
        <v>143.85714285714286</v>
      </c>
      <c r="AD15" s="17">
        <f t="shared" si="7"/>
        <v>0</v>
      </c>
      <c r="AE15" s="31">
        <f t="shared" si="7"/>
        <v>87.142857142857153</v>
      </c>
      <c r="AF15" s="31">
        <f t="shared" si="7"/>
        <v>231</v>
      </c>
    </row>
    <row r="16" spans="2:32" ht="23.1" customHeight="1" x14ac:dyDescent="0.25">
      <c r="B16" s="23" t="s">
        <v>43</v>
      </c>
      <c r="C16" s="49">
        <f>AVERAGE('23.09- Kasangati-Matuga'!C16,'24.09 Kasangati-Matugga'!C16,'25.09 Kasangati-Matugga'!C16,'27.09 Matugga-Kasangati'!C16,'26.09 Kasangati-Matugga-24h'!C16,'28.09 Kasangati-Matugga-24h'!C16,'29.09 Kasangati-Matugga'!C16)</f>
        <v>8.8571428571428577</v>
      </c>
      <c r="D16" s="49">
        <f>AVERAGE('23.09- Kasangati-Matuga'!D16,'24.09 Kasangati-Matugga'!D16,'25.09 Kasangati-Matugga'!D16,'27.09 Matugga-Kasangati'!D16,'26.09 Kasangati-Matugga-24h'!D16,'28.09 Kasangati-Matugga-24h'!D16,'29.09 Kasangati-Matugga'!D16)</f>
        <v>3.4285714285714284</v>
      </c>
      <c r="E16" s="49">
        <f>AVERAGE('23.09- Kasangati-Matuga'!E16,'24.09 Kasangati-Matugga'!E16,'25.09 Kasangati-Matugga'!E16,'27.09 Matugga-Kasangati'!E16,'26.09 Kasangati-Matugga-24h'!E16,'28.09 Kasangati-Matugga-24h'!E16,'29.09 Kasangati-Matugga'!E16)</f>
        <v>2.2857142857142856</v>
      </c>
      <c r="F16" s="49">
        <f>AVERAGE('23.09- Kasangati-Matuga'!F16,'24.09 Kasangati-Matugga'!F16,'25.09 Kasangati-Matugga'!F16,'27.09 Matugga-Kasangati'!F16,'26.09 Kasangati-Matugga-24h'!F16,'28.09 Kasangati-Matugga-24h'!F16,'29.09 Kasangati-Matugga'!F16)</f>
        <v>2.7142857142857144</v>
      </c>
      <c r="G16" s="49">
        <f>AVERAGE('23.09- Kasangati-Matuga'!G16,'24.09 Kasangati-Matugga'!G16,'25.09 Kasangati-Matugga'!G16,'27.09 Matugga-Kasangati'!G16,'26.09 Kasangati-Matugga-24h'!G16,'28.09 Kasangati-Matugga-24h'!G16,'29.09 Kasangati-Matugga'!G16)</f>
        <v>0</v>
      </c>
      <c r="H16" s="49">
        <f>AVERAGE('23.09- Kasangati-Matuga'!H16,'24.09 Kasangati-Matugga'!H16,'25.09 Kasangati-Matugga'!H16,'27.09 Matugga-Kasangati'!H16,'26.09 Kasangati-Matugga-24h'!H16,'28.09 Kasangati-Matugga-24h'!H16,'29.09 Kasangati-Matugga'!H16)</f>
        <v>0</v>
      </c>
      <c r="I16" s="49">
        <f>AVERAGE('23.09- Kasangati-Matuga'!I16,'24.09 Kasangati-Matugga'!I16,'25.09 Kasangati-Matugga'!I16,'27.09 Matugga-Kasangati'!I16,'26.09 Kasangati-Matugga-24h'!I16,'28.09 Kasangati-Matugga-24h'!I16,'29.09 Kasangati-Matugga'!I16)</f>
        <v>1.5714285714285714</v>
      </c>
      <c r="J16" s="49">
        <f>AVERAGE('23.09- Kasangati-Matuga'!J16,'24.09 Kasangati-Matugga'!J16,'25.09 Kasangati-Matugga'!J16,'27.09 Matugga-Kasangati'!J16,'26.09 Kasangati-Matugga-24h'!J16,'28.09 Kasangati-Matugga-24h'!J16,'29.09 Kasangati-Matugga'!J16)</f>
        <v>0.5714285714285714</v>
      </c>
      <c r="K16" s="49">
        <f>AVERAGE('23.09- Kasangati-Matuga'!K16,'24.09 Kasangati-Matugga'!K16,'25.09 Kasangati-Matugga'!K16,'27.09 Matugga-Kasangati'!K16,'26.09 Kasangati-Matugga-24h'!K16,'28.09 Kasangati-Matugga-24h'!K16,'29.09 Kasangati-Matugga'!K16)</f>
        <v>0</v>
      </c>
      <c r="L16" s="49">
        <f>AVERAGE('23.09- Kasangati-Matuga'!L16,'24.09 Kasangati-Matugga'!L16,'25.09 Kasangati-Matugga'!L16,'27.09 Matugga-Kasangati'!L16,'26.09 Kasangati-Matugga-24h'!L16,'28.09 Kasangati-Matugga-24h'!L16,'29.09 Kasangati-Matugga'!L16)</f>
        <v>0</v>
      </c>
      <c r="M16" s="49">
        <f>AVERAGE('23.09- Kasangati-Matuga'!M16,'24.09 Kasangati-Matugga'!M16,'25.09 Kasangati-Matugga'!M16,'27.09 Matugga-Kasangati'!M16,'26.09 Kasangati-Matugga-24h'!M16,'28.09 Kasangati-Matugga-24h'!M16,'29.09 Kasangati-Matugga'!M16)</f>
        <v>49.285714285714285</v>
      </c>
      <c r="N16" s="49">
        <f>AVERAGE('23.09- Kasangati-Matuga'!N16,'24.09 Kasangati-Matugga'!N16,'25.09 Kasangati-Matugga'!N16,'27.09 Matugga-Kasangati'!N16,'26.09 Kasangati-Matugga-24h'!N16,'28.09 Kasangati-Matugga-24h'!N16,'29.09 Kasangati-Matugga'!N16)</f>
        <v>0.14285714285714285</v>
      </c>
      <c r="O16" s="15">
        <f t="shared" si="0"/>
        <v>19.571428571428577</v>
      </c>
      <c r="P16" s="15">
        <f t="shared" si="1"/>
        <v>68.857142857142861</v>
      </c>
      <c r="R16" s="1" t="s">
        <v>12</v>
      </c>
      <c r="S16" s="17">
        <f t="shared" ref="S16:AF16" si="8">SUM(C34:C37)</f>
        <v>39.714285714285715</v>
      </c>
      <c r="T16" s="17">
        <f t="shared" si="8"/>
        <v>17.142857142857142</v>
      </c>
      <c r="U16" s="17">
        <f t="shared" si="8"/>
        <v>9.2857142857142865</v>
      </c>
      <c r="V16" s="17">
        <f t="shared" si="8"/>
        <v>10.571428571428571</v>
      </c>
      <c r="W16" s="17">
        <f t="shared" si="8"/>
        <v>0.5714285714285714</v>
      </c>
      <c r="X16" s="17">
        <f t="shared" si="8"/>
        <v>0</v>
      </c>
      <c r="Y16" s="17">
        <f t="shared" si="8"/>
        <v>9.571428571428573</v>
      </c>
      <c r="Z16" s="17">
        <f t="shared" si="8"/>
        <v>2.4285714285714288</v>
      </c>
      <c r="AA16" s="17">
        <f t="shared" si="8"/>
        <v>0.8571428571428571</v>
      </c>
      <c r="AB16" s="17">
        <f t="shared" si="8"/>
        <v>0.14285714285714285</v>
      </c>
      <c r="AC16" s="17">
        <f t="shared" si="8"/>
        <v>123</v>
      </c>
      <c r="AD16" s="17">
        <f t="shared" si="8"/>
        <v>0</v>
      </c>
      <c r="AE16" s="31">
        <f t="shared" si="8"/>
        <v>90.285714285714278</v>
      </c>
      <c r="AF16" s="31">
        <f t="shared" si="8"/>
        <v>213.28571428571428</v>
      </c>
    </row>
    <row r="17" spans="2:32" ht="23.1" customHeight="1" x14ac:dyDescent="0.25">
      <c r="B17" s="23" t="s">
        <v>44</v>
      </c>
      <c r="C17" s="49">
        <f>AVERAGE('23.09- Kasangati-Matuga'!C17,'24.09 Kasangati-Matugga'!C17,'25.09 Kasangati-Matugga'!C17,'27.09 Matugga-Kasangati'!C17,'26.09 Kasangati-Matugga-24h'!C17,'28.09 Kasangati-Matugga-24h'!C17,'29.09 Kasangati-Matugga'!C17)</f>
        <v>10.714285714285714</v>
      </c>
      <c r="D17" s="49">
        <f>AVERAGE('23.09- Kasangati-Matuga'!D17,'24.09 Kasangati-Matugga'!D17,'25.09 Kasangati-Matugga'!D17,'27.09 Matugga-Kasangati'!D17,'26.09 Kasangati-Matugga-24h'!D17,'28.09 Kasangati-Matugga-24h'!D17,'29.09 Kasangati-Matugga'!D17)</f>
        <v>4.8571428571428568</v>
      </c>
      <c r="E17" s="49">
        <f>AVERAGE('23.09- Kasangati-Matuga'!E17,'24.09 Kasangati-Matugga'!E17,'25.09 Kasangati-Matugga'!E17,'27.09 Matugga-Kasangati'!E17,'26.09 Kasangati-Matugga-24h'!E17,'28.09 Kasangati-Matugga-24h'!E17,'29.09 Kasangati-Matugga'!E17)</f>
        <v>1.7142857142857142</v>
      </c>
      <c r="F17" s="49">
        <f>AVERAGE('23.09- Kasangati-Matuga'!F17,'24.09 Kasangati-Matugga'!F17,'25.09 Kasangati-Matugga'!F17,'27.09 Matugga-Kasangati'!F17,'26.09 Kasangati-Matugga-24h'!F17,'28.09 Kasangati-Matugga-24h'!F17,'29.09 Kasangati-Matugga'!F17)</f>
        <v>3</v>
      </c>
      <c r="G17" s="49">
        <f>AVERAGE('23.09- Kasangati-Matuga'!G17,'24.09 Kasangati-Matugga'!G17,'25.09 Kasangati-Matugga'!G17,'27.09 Matugga-Kasangati'!G17,'26.09 Kasangati-Matugga-24h'!G17,'28.09 Kasangati-Matugga-24h'!G17,'29.09 Kasangati-Matugga'!G17)</f>
        <v>0</v>
      </c>
      <c r="H17" s="49">
        <f>AVERAGE('23.09- Kasangati-Matuga'!H17,'24.09 Kasangati-Matugga'!H17,'25.09 Kasangati-Matugga'!H17,'27.09 Matugga-Kasangati'!H17,'26.09 Kasangati-Matugga-24h'!H17,'28.09 Kasangati-Matugga-24h'!H17,'29.09 Kasangati-Matugga'!H17)</f>
        <v>0</v>
      </c>
      <c r="I17" s="49">
        <f>AVERAGE('23.09- Kasangati-Matuga'!I17,'24.09 Kasangati-Matugga'!I17,'25.09 Kasangati-Matugga'!I17,'27.09 Matugga-Kasangati'!I17,'26.09 Kasangati-Matugga-24h'!I17,'28.09 Kasangati-Matugga-24h'!I17,'29.09 Kasangati-Matugga'!I17)</f>
        <v>2</v>
      </c>
      <c r="J17" s="49">
        <f>AVERAGE('23.09- Kasangati-Matuga'!J17,'24.09 Kasangati-Matugga'!J17,'25.09 Kasangati-Matugga'!J17,'27.09 Matugga-Kasangati'!J17,'26.09 Kasangati-Matugga-24h'!J17,'28.09 Kasangati-Matugga-24h'!J17,'29.09 Kasangati-Matugga'!J17)</f>
        <v>0.7142857142857143</v>
      </c>
      <c r="K17" s="49">
        <f>AVERAGE('23.09- Kasangati-Matuga'!K17,'24.09 Kasangati-Matugga'!K17,'25.09 Kasangati-Matugga'!K17,'27.09 Matugga-Kasangati'!K17,'26.09 Kasangati-Matugga-24h'!K17,'28.09 Kasangati-Matugga-24h'!K17,'29.09 Kasangati-Matugga'!K17)</f>
        <v>0</v>
      </c>
      <c r="L17" s="49">
        <f>AVERAGE('23.09- Kasangati-Matuga'!L17,'24.09 Kasangati-Matugga'!L17,'25.09 Kasangati-Matugga'!L17,'27.09 Matugga-Kasangati'!L17,'26.09 Kasangati-Matugga-24h'!L17,'28.09 Kasangati-Matugga-24h'!L17,'29.09 Kasangati-Matugga'!L17)</f>
        <v>0</v>
      </c>
      <c r="M17" s="49">
        <f>AVERAGE('23.09- Kasangati-Matuga'!M17,'24.09 Kasangati-Matugga'!M17,'25.09 Kasangati-Matugga'!M17,'27.09 Matugga-Kasangati'!M17,'26.09 Kasangati-Matugga-24h'!M17,'28.09 Kasangati-Matugga-24h'!M17,'29.09 Kasangati-Matugga'!M17)</f>
        <v>45.285714285714285</v>
      </c>
      <c r="N17" s="49">
        <f>AVERAGE('23.09- Kasangati-Matuga'!N17,'24.09 Kasangati-Matugga'!N17,'25.09 Kasangati-Matugga'!N17,'27.09 Matugga-Kasangati'!N17,'26.09 Kasangati-Matugga-24h'!N17,'28.09 Kasangati-Matugga-24h'!N17,'29.09 Kasangati-Matugga'!N17)</f>
        <v>0</v>
      </c>
      <c r="O17" s="15">
        <f t="shared" si="0"/>
        <v>23</v>
      </c>
      <c r="P17" s="15">
        <f t="shared" si="1"/>
        <v>68.285714285714278</v>
      </c>
      <c r="R17" s="1" t="s">
        <v>13</v>
      </c>
      <c r="S17" s="17">
        <f t="shared" ref="S17:AF17" si="9">SUM(C38:C41)</f>
        <v>37</v>
      </c>
      <c r="T17" s="17">
        <f t="shared" si="9"/>
        <v>14.142857142857142</v>
      </c>
      <c r="U17" s="17">
        <f t="shared" si="9"/>
        <v>8.5714285714285712</v>
      </c>
      <c r="V17" s="17">
        <f t="shared" si="9"/>
        <v>8.7142857142857135</v>
      </c>
      <c r="W17" s="17">
        <f t="shared" si="9"/>
        <v>0.14285714285714285</v>
      </c>
      <c r="X17" s="17">
        <f t="shared" si="9"/>
        <v>0</v>
      </c>
      <c r="Y17" s="17">
        <f t="shared" si="9"/>
        <v>9.5714285714285712</v>
      </c>
      <c r="Z17" s="17">
        <f t="shared" si="9"/>
        <v>2.8571428571428572</v>
      </c>
      <c r="AA17" s="17">
        <f t="shared" si="9"/>
        <v>1.1428571428571428</v>
      </c>
      <c r="AB17" s="17">
        <f t="shared" si="9"/>
        <v>0.2857142857142857</v>
      </c>
      <c r="AC17" s="17">
        <f t="shared" si="9"/>
        <v>115.85714285714286</v>
      </c>
      <c r="AD17" s="17">
        <f t="shared" si="9"/>
        <v>0</v>
      </c>
      <c r="AE17" s="31">
        <f t="shared" si="9"/>
        <v>82.428571428571431</v>
      </c>
      <c r="AF17" s="31">
        <f t="shared" si="9"/>
        <v>198.28571428571428</v>
      </c>
    </row>
    <row r="18" spans="2:32" ht="23.1" customHeight="1" x14ac:dyDescent="0.25">
      <c r="B18" s="23" t="s">
        <v>45</v>
      </c>
      <c r="C18" s="49">
        <f>AVERAGE('23.09- Kasangati-Matuga'!C18,'24.09 Kasangati-Matugga'!C18,'25.09 Kasangati-Matugga'!C18,'27.09 Matugga-Kasangati'!C18,'26.09 Kasangati-Matugga-24h'!C18,'28.09 Kasangati-Matugga-24h'!C18,'29.09 Kasangati-Matugga'!C18)</f>
        <v>10.714285714285714</v>
      </c>
      <c r="D18" s="49">
        <f>AVERAGE('23.09- Kasangati-Matuga'!D18,'24.09 Kasangati-Matugga'!D18,'25.09 Kasangati-Matugga'!D18,'27.09 Matugga-Kasangati'!D18,'26.09 Kasangati-Matugga-24h'!D18,'28.09 Kasangati-Matugga-24h'!D18,'29.09 Kasangati-Matugga'!D18)</f>
        <v>3.8571428571428572</v>
      </c>
      <c r="E18" s="49">
        <f>AVERAGE('23.09- Kasangati-Matuga'!E18,'24.09 Kasangati-Matugga'!E18,'25.09 Kasangati-Matugga'!E18,'27.09 Matugga-Kasangati'!E18,'26.09 Kasangati-Matugga-24h'!E18,'28.09 Kasangati-Matugga-24h'!E18,'29.09 Kasangati-Matugga'!E18)</f>
        <v>1.1428571428571428</v>
      </c>
      <c r="F18" s="49">
        <f>AVERAGE('23.09- Kasangati-Matuga'!F18,'24.09 Kasangati-Matugga'!F18,'25.09 Kasangati-Matugga'!F18,'27.09 Matugga-Kasangati'!F18,'26.09 Kasangati-Matugga-24h'!F18,'28.09 Kasangati-Matugga-24h'!F18,'29.09 Kasangati-Matugga'!F18)</f>
        <v>3.7142857142857144</v>
      </c>
      <c r="G18" s="49">
        <f>AVERAGE('23.09- Kasangati-Matuga'!G18,'24.09 Kasangati-Matugga'!G18,'25.09 Kasangati-Matugga'!G18,'27.09 Matugga-Kasangati'!G18,'26.09 Kasangati-Matugga-24h'!G18,'28.09 Kasangati-Matugga-24h'!G18,'29.09 Kasangati-Matugga'!G18)</f>
        <v>0</v>
      </c>
      <c r="H18" s="49">
        <f>AVERAGE('23.09- Kasangati-Matuga'!H18,'24.09 Kasangati-Matugga'!H18,'25.09 Kasangati-Matugga'!H18,'27.09 Matugga-Kasangati'!H18,'26.09 Kasangati-Matugga-24h'!H18,'28.09 Kasangati-Matugga-24h'!H18,'29.09 Kasangati-Matugga'!H18)</f>
        <v>0</v>
      </c>
      <c r="I18" s="49">
        <f>AVERAGE('23.09- Kasangati-Matuga'!I18,'24.09 Kasangati-Matugga'!I18,'25.09 Kasangati-Matugga'!I18,'27.09 Matugga-Kasangati'!I18,'26.09 Kasangati-Matugga-24h'!I18,'28.09 Kasangati-Matugga-24h'!I18,'29.09 Kasangati-Matugga'!I18)</f>
        <v>2</v>
      </c>
      <c r="J18" s="49">
        <f>AVERAGE('23.09- Kasangati-Matuga'!J18,'24.09 Kasangati-Matugga'!J18,'25.09 Kasangati-Matugga'!J18,'27.09 Matugga-Kasangati'!J18,'26.09 Kasangati-Matugga-24h'!J18,'28.09 Kasangati-Matugga-24h'!J18,'29.09 Kasangati-Matugga'!J18)</f>
        <v>0.2857142857142857</v>
      </c>
      <c r="K18" s="49">
        <f>AVERAGE('23.09- Kasangati-Matuga'!K18,'24.09 Kasangati-Matugga'!K18,'25.09 Kasangati-Matugga'!K18,'27.09 Matugga-Kasangati'!K18,'26.09 Kasangati-Matugga-24h'!K18,'28.09 Kasangati-Matugga-24h'!K18,'29.09 Kasangati-Matugga'!K18)</f>
        <v>0.14285714285714285</v>
      </c>
      <c r="L18" s="49">
        <f>AVERAGE('23.09- Kasangati-Matuga'!L18,'24.09 Kasangati-Matugga'!L18,'25.09 Kasangati-Matugga'!L18,'27.09 Matugga-Kasangati'!L18,'26.09 Kasangati-Matugga-24h'!L18,'28.09 Kasangati-Matugga-24h'!L18,'29.09 Kasangati-Matugga'!L18)</f>
        <v>0.2857142857142857</v>
      </c>
      <c r="M18" s="49">
        <f>AVERAGE('23.09- Kasangati-Matuga'!M18,'24.09 Kasangati-Matugga'!M18,'25.09 Kasangati-Matugga'!M18,'27.09 Matugga-Kasangati'!M18,'26.09 Kasangati-Matugga-24h'!M18,'28.09 Kasangati-Matugga-24h'!M18,'29.09 Kasangati-Matugga'!M18)</f>
        <v>45.714285714285715</v>
      </c>
      <c r="N18" s="49">
        <f>AVERAGE('23.09- Kasangati-Matuga'!N18,'24.09 Kasangati-Matugga'!N18,'25.09 Kasangati-Matugga'!N18,'27.09 Matugga-Kasangati'!N18,'26.09 Kasangati-Matugga-24h'!N18,'28.09 Kasangati-Matugga-24h'!N18,'29.09 Kasangati-Matugga'!N18)</f>
        <v>0</v>
      </c>
      <c r="O18" s="15">
        <f t="shared" si="0"/>
        <v>22.142857142857139</v>
      </c>
      <c r="P18" s="15">
        <f t="shared" si="1"/>
        <v>67.857142857142861</v>
      </c>
      <c r="R18" s="1" t="s">
        <v>14</v>
      </c>
      <c r="S18" s="17">
        <f t="shared" ref="S18:AF18" si="10">SUM(C42:C45)</f>
        <v>39.714285714285715</v>
      </c>
      <c r="T18" s="17">
        <f t="shared" si="10"/>
        <v>14</v>
      </c>
      <c r="U18" s="17">
        <f t="shared" si="10"/>
        <v>10.285714285714286</v>
      </c>
      <c r="V18" s="17">
        <f t="shared" si="10"/>
        <v>10.428571428571429</v>
      </c>
      <c r="W18" s="17">
        <f t="shared" si="10"/>
        <v>0</v>
      </c>
      <c r="X18" s="17">
        <f t="shared" si="10"/>
        <v>0</v>
      </c>
      <c r="Y18" s="17">
        <f t="shared" si="10"/>
        <v>10.714285714285715</v>
      </c>
      <c r="Z18" s="17">
        <f t="shared" si="10"/>
        <v>1.714285714285714</v>
      </c>
      <c r="AA18" s="17">
        <f t="shared" si="10"/>
        <v>0.14285714285714285</v>
      </c>
      <c r="AB18" s="17">
        <f t="shared" si="10"/>
        <v>0.14285714285714285</v>
      </c>
      <c r="AC18" s="17">
        <f t="shared" si="10"/>
        <v>135.28571428571428</v>
      </c>
      <c r="AD18" s="17">
        <f t="shared" si="10"/>
        <v>0</v>
      </c>
      <c r="AE18" s="31">
        <f t="shared" si="10"/>
        <v>87.142857142857139</v>
      </c>
      <c r="AF18" s="31">
        <f t="shared" si="10"/>
        <v>222.42857142857144</v>
      </c>
    </row>
    <row r="19" spans="2:32" ht="23.1" customHeight="1" x14ac:dyDescent="0.25">
      <c r="B19" s="23" t="s">
        <v>46</v>
      </c>
      <c r="C19" s="49">
        <f>AVERAGE('23.09- Kasangati-Matuga'!C19,'24.09 Kasangati-Matugga'!C19,'25.09 Kasangati-Matugga'!C19,'27.09 Matugga-Kasangati'!C19,'26.09 Kasangati-Matugga-24h'!C19,'28.09 Kasangati-Matugga-24h'!C19,'29.09 Kasangati-Matugga'!C19)</f>
        <v>9.1428571428571423</v>
      </c>
      <c r="D19" s="49">
        <f>AVERAGE('23.09- Kasangati-Matuga'!D19,'24.09 Kasangati-Matugga'!D19,'25.09 Kasangati-Matugga'!D19,'27.09 Matugga-Kasangati'!D19,'26.09 Kasangati-Matugga-24h'!D19,'28.09 Kasangati-Matugga-24h'!D19,'29.09 Kasangati-Matugga'!D19)</f>
        <v>4</v>
      </c>
      <c r="E19" s="49">
        <f>AVERAGE('23.09- Kasangati-Matuga'!E19,'24.09 Kasangati-Matugga'!E19,'25.09 Kasangati-Matugga'!E19,'27.09 Matugga-Kasangati'!E19,'26.09 Kasangati-Matugga-24h'!E19,'28.09 Kasangati-Matugga-24h'!E19,'29.09 Kasangati-Matugga'!E19)</f>
        <v>3.4285714285714284</v>
      </c>
      <c r="F19" s="49">
        <f>AVERAGE('23.09- Kasangati-Matuga'!F19,'24.09 Kasangati-Matugga'!F19,'25.09 Kasangati-Matugga'!F19,'27.09 Matugga-Kasangati'!F19,'26.09 Kasangati-Matugga-24h'!F19,'28.09 Kasangati-Matugga-24h'!F19,'29.09 Kasangati-Matugga'!F19)</f>
        <v>2.2857142857142856</v>
      </c>
      <c r="G19" s="49">
        <f>AVERAGE('23.09- Kasangati-Matuga'!G19,'24.09 Kasangati-Matugga'!G19,'25.09 Kasangati-Matugga'!G19,'27.09 Matugga-Kasangati'!G19,'26.09 Kasangati-Matugga-24h'!G19,'28.09 Kasangati-Matugga-24h'!G19,'29.09 Kasangati-Matugga'!G19)</f>
        <v>0</v>
      </c>
      <c r="H19" s="49">
        <f>AVERAGE('23.09- Kasangati-Matuga'!H19,'24.09 Kasangati-Matugga'!H19,'25.09 Kasangati-Matugga'!H19,'27.09 Matugga-Kasangati'!H19,'26.09 Kasangati-Matugga-24h'!H19,'28.09 Kasangati-Matugga-24h'!H19,'29.09 Kasangati-Matugga'!H19)</f>
        <v>0.14285714285714285</v>
      </c>
      <c r="I19" s="49">
        <f>AVERAGE('23.09- Kasangati-Matuga'!I19,'24.09 Kasangati-Matugga'!I19,'25.09 Kasangati-Matugga'!I19,'27.09 Matugga-Kasangati'!I19,'26.09 Kasangati-Matugga-24h'!I19,'28.09 Kasangati-Matugga-24h'!I19,'29.09 Kasangati-Matugga'!I19)</f>
        <v>2.7142857142857144</v>
      </c>
      <c r="J19" s="49">
        <f>AVERAGE('23.09- Kasangati-Matuga'!J19,'24.09 Kasangati-Matugga'!J19,'25.09 Kasangati-Matugga'!J19,'27.09 Matugga-Kasangati'!J19,'26.09 Kasangati-Matugga-24h'!J19,'28.09 Kasangati-Matugga-24h'!J19,'29.09 Kasangati-Matugga'!J19)</f>
        <v>0.7142857142857143</v>
      </c>
      <c r="K19" s="49">
        <f>AVERAGE('23.09- Kasangati-Matuga'!K19,'24.09 Kasangati-Matugga'!K19,'25.09 Kasangati-Matugga'!K19,'27.09 Matugga-Kasangati'!K19,'26.09 Kasangati-Matugga-24h'!K19,'28.09 Kasangati-Matugga-24h'!K19,'29.09 Kasangati-Matugga'!K19)</f>
        <v>0</v>
      </c>
      <c r="L19" s="49">
        <f>AVERAGE('23.09- Kasangati-Matuga'!L19,'24.09 Kasangati-Matugga'!L19,'25.09 Kasangati-Matugga'!L19,'27.09 Matugga-Kasangati'!L19,'26.09 Kasangati-Matugga-24h'!L19,'28.09 Kasangati-Matugga-24h'!L19,'29.09 Kasangati-Matugga'!L19)</f>
        <v>0</v>
      </c>
      <c r="M19" s="49">
        <f>AVERAGE('23.09- Kasangati-Matuga'!M19,'24.09 Kasangati-Matugga'!M19,'25.09 Kasangati-Matugga'!M19,'27.09 Matugga-Kasangati'!M19,'26.09 Kasangati-Matugga-24h'!M19,'28.09 Kasangati-Matugga-24h'!M19,'29.09 Kasangati-Matugga'!M19)</f>
        <v>46.571428571428569</v>
      </c>
      <c r="N19" s="49">
        <f>AVERAGE('23.09- Kasangati-Matuga'!N19,'24.09 Kasangati-Matugga'!N19,'25.09 Kasangati-Matugga'!N19,'27.09 Matugga-Kasangati'!N19,'26.09 Kasangati-Matugga-24h'!N19,'28.09 Kasangati-Matugga-24h'!N19,'29.09 Kasangati-Matugga'!N19)</f>
        <v>0</v>
      </c>
      <c r="O19" s="15">
        <f t="shared" si="0"/>
        <v>22.428571428571427</v>
      </c>
      <c r="P19" s="15">
        <f t="shared" si="1"/>
        <v>69</v>
      </c>
      <c r="R19" s="1" t="s">
        <v>15</v>
      </c>
      <c r="S19" s="17">
        <f t="shared" ref="S19:AF19" si="11">SUM(C46:C49)</f>
        <v>54</v>
      </c>
      <c r="T19" s="17">
        <f t="shared" si="11"/>
        <v>19.142857142857142</v>
      </c>
      <c r="U19" s="17">
        <f t="shared" si="11"/>
        <v>9.2857142857142847</v>
      </c>
      <c r="V19" s="17">
        <f t="shared" si="11"/>
        <v>12.285714285714285</v>
      </c>
      <c r="W19" s="17">
        <f t="shared" si="11"/>
        <v>0.8571428571428571</v>
      </c>
      <c r="X19" s="17">
        <f t="shared" si="11"/>
        <v>0.2857142857142857</v>
      </c>
      <c r="Y19" s="17">
        <f t="shared" si="11"/>
        <v>8.8571428571428577</v>
      </c>
      <c r="Z19" s="17">
        <f t="shared" si="11"/>
        <v>3.2857142857142856</v>
      </c>
      <c r="AA19" s="17">
        <f t="shared" si="11"/>
        <v>0.42857142857142855</v>
      </c>
      <c r="AB19" s="17">
        <f t="shared" si="11"/>
        <v>0.42857142857142855</v>
      </c>
      <c r="AC19" s="17">
        <f t="shared" si="11"/>
        <v>147.57142857142858</v>
      </c>
      <c r="AD19" s="17">
        <f t="shared" si="11"/>
        <v>0</v>
      </c>
      <c r="AE19" s="31">
        <f t="shared" si="11"/>
        <v>108.85714285714285</v>
      </c>
      <c r="AF19" s="31">
        <f t="shared" si="11"/>
        <v>256.42857142857144</v>
      </c>
    </row>
    <row r="20" spans="2:32" ht="23.1" customHeight="1" x14ac:dyDescent="0.25">
      <c r="B20" s="23" t="s">
        <v>47</v>
      </c>
      <c r="C20" s="49">
        <f>AVERAGE('23.09- Kasangati-Matuga'!C20,'24.09 Kasangati-Matugga'!C20,'25.09 Kasangati-Matugga'!C20,'27.09 Matugga-Kasangati'!C20,'26.09 Kasangati-Matugga-24h'!C20,'28.09 Kasangati-Matugga-24h'!C20,'29.09 Kasangati-Matugga'!C20)</f>
        <v>8.5714285714285712</v>
      </c>
      <c r="D20" s="49">
        <f>AVERAGE('23.09- Kasangati-Matuga'!D20,'24.09 Kasangati-Matugga'!D20,'25.09 Kasangati-Matugga'!D20,'27.09 Matugga-Kasangati'!D20,'26.09 Kasangati-Matugga-24h'!D20,'28.09 Kasangati-Matugga-24h'!D20,'29.09 Kasangati-Matugga'!D20)</f>
        <v>4</v>
      </c>
      <c r="E20" s="49">
        <f>AVERAGE('23.09- Kasangati-Matuga'!E20,'24.09 Kasangati-Matugga'!E20,'25.09 Kasangati-Matugga'!E20,'27.09 Matugga-Kasangati'!E20,'26.09 Kasangati-Matugga-24h'!E20,'28.09 Kasangati-Matugga-24h'!E20,'29.09 Kasangati-Matugga'!E20)</f>
        <v>2.7142857142857144</v>
      </c>
      <c r="F20" s="49">
        <f>AVERAGE('23.09- Kasangati-Matuga'!F20,'24.09 Kasangati-Matugga'!F20,'25.09 Kasangati-Matugga'!F20,'27.09 Matugga-Kasangati'!F20,'26.09 Kasangati-Matugga-24h'!F20,'28.09 Kasangati-Matugga-24h'!F20,'29.09 Kasangati-Matugga'!F20)</f>
        <v>2</v>
      </c>
      <c r="G20" s="49">
        <f>AVERAGE('23.09- Kasangati-Matuga'!G20,'24.09 Kasangati-Matugga'!G20,'25.09 Kasangati-Matugga'!G20,'27.09 Matugga-Kasangati'!G20,'26.09 Kasangati-Matugga-24h'!G20,'28.09 Kasangati-Matugga-24h'!G20,'29.09 Kasangati-Matugga'!G20)</f>
        <v>0</v>
      </c>
      <c r="H20" s="49">
        <f>AVERAGE('23.09- Kasangati-Matuga'!H20,'24.09 Kasangati-Matugga'!H20,'25.09 Kasangati-Matugga'!H20,'27.09 Matugga-Kasangati'!H20,'26.09 Kasangati-Matugga-24h'!H20,'28.09 Kasangati-Matugga-24h'!H20,'29.09 Kasangati-Matugga'!H20)</f>
        <v>0</v>
      </c>
      <c r="I20" s="49">
        <f>AVERAGE('23.09- Kasangati-Matuga'!I20,'24.09 Kasangati-Matugga'!I20,'25.09 Kasangati-Matugga'!I20,'27.09 Matugga-Kasangati'!I20,'26.09 Kasangati-Matugga-24h'!I20,'28.09 Kasangati-Matugga-24h'!I20,'29.09 Kasangati-Matugga'!I20)</f>
        <v>2.5714285714285716</v>
      </c>
      <c r="J20" s="49">
        <f>AVERAGE('23.09- Kasangati-Matuga'!J20,'24.09 Kasangati-Matugga'!J20,'25.09 Kasangati-Matugga'!J20,'27.09 Matugga-Kasangati'!J20,'26.09 Kasangati-Matugga-24h'!J20,'28.09 Kasangati-Matugga-24h'!J20,'29.09 Kasangati-Matugga'!J20)</f>
        <v>0.8571428571428571</v>
      </c>
      <c r="K20" s="49">
        <f>AVERAGE('23.09- Kasangati-Matuga'!K20,'24.09 Kasangati-Matugga'!K20,'25.09 Kasangati-Matugga'!K20,'27.09 Matugga-Kasangati'!K20,'26.09 Kasangati-Matugga-24h'!K20,'28.09 Kasangati-Matugga-24h'!K20,'29.09 Kasangati-Matugga'!K20)</f>
        <v>0.14285714285714285</v>
      </c>
      <c r="L20" s="49">
        <f>AVERAGE('23.09- Kasangati-Matuga'!L20,'24.09 Kasangati-Matugga'!L20,'25.09 Kasangati-Matugga'!L20,'27.09 Matugga-Kasangati'!L20,'26.09 Kasangati-Matugga-24h'!L20,'28.09 Kasangati-Matugga-24h'!L20,'29.09 Kasangati-Matugga'!L20)</f>
        <v>0</v>
      </c>
      <c r="M20" s="49">
        <f>AVERAGE('23.09- Kasangati-Matuga'!M20,'24.09 Kasangati-Matugga'!M20,'25.09 Kasangati-Matugga'!M20,'27.09 Matugga-Kasangati'!M20,'26.09 Kasangati-Matugga-24h'!M20,'28.09 Kasangati-Matugga-24h'!M20,'29.09 Kasangati-Matugga'!M20)</f>
        <v>43.857142857142854</v>
      </c>
      <c r="N20" s="49">
        <f>AVERAGE('23.09- Kasangati-Matuga'!N20,'24.09 Kasangati-Matugga'!N20,'25.09 Kasangati-Matugga'!N20,'27.09 Matugga-Kasangati'!N20,'26.09 Kasangati-Matugga-24h'!N20,'28.09 Kasangati-Matugga-24h'!N20,'29.09 Kasangati-Matugga'!N20)</f>
        <v>0</v>
      </c>
      <c r="O20" s="15">
        <f t="shared" si="0"/>
        <v>20.857142857142858</v>
      </c>
      <c r="P20" s="15">
        <f t="shared" si="1"/>
        <v>64.714285714285708</v>
      </c>
      <c r="R20" s="1" t="s">
        <v>16</v>
      </c>
      <c r="S20" s="17">
        <f t="shared" ref="S20:AF20" si="12">SUM(C50:C53)</f>
        <v>52.285714285714285</v>
      </c>
      <c r="T20" s="17">
        <f t="shared" si="12"/>
        <v>27.285714285714285</v>
      </c>
      <c r="U20" s="17">
        <f t="shared" si="12"/>
        <v>11.142857142857142</v>
      </c>
      <c r="V20" s="17">
        <f t="shared" si="12"/>
        <v>15.857142857142858</v>
      </c>
      <c r="W20" s="17">
        <f t="shared" si="12"/>
        <v>0.71428571428571419</v>
      </c>
      <c r="X20" s="17">
        <f t="shared" si="12"/>
        <v>0.42857142857142855</v>
      </c>
      <c r="Y20" s="17">
        <f t="shared" si="12"/>
        <v>8.571428571428573</v>
      </c>
      <c r="Z20" s="17">
        <f t="shared" si="12"/>
        <v>2.7142857142857144</v>
      </c>
      <c r="AA20" s="17">
        <f t="shared" si="12"/>
        <v>1</v>
      </c>
      <c r="AB20" s="17">
        <f t="shared" si="12"/>
        <v>0.42857142857142855</v>
      </c>
      <c r="AC20" s="17">
        <f t="shared" si="12"/>
        <v>159.85714285714283</v>
      </c>
      <c r="AD20" s="17">
        <f t="shared" si="12"/>
        <v>0.14285714285714285</v>
      </c>
      <c r="AE20" s="31">
        <f t="shared" si="12"/>
        <v>120.57142857142858</v>
      </c>
      <c r="AF20" s="31">
        <f t="shared" si="12"/>
        <v>280.42857142857144</v>
      </c>
    </row>
    <row r="21" spans="2:32" ht="23.1" customHeight="1" x14ac:dyDescent="0.25">
      <c r="B21" s="23" t="s">
        <v>48</v>
      </c>
      <c r="C21" s="49">
        <f>AVERAGE('23.09- Kasangati-Matuga'!C21,'24.09 Kasangati-Matugga'!C21,'25.09 Kasangati-Matugga'!C21,'27.09 Matugga-Kasangati'!C21,'26.09 Kasangati-Matugga-24h'!C21,'28.09 Kasangati-Matugga-24h'!C21,'29.09 Kasangati-Matugga'!C21)</f>
        <v>7.2857142857142856</v>
      </c>
      <c r="D21" s="49">
        <f>AVERAGE('23.09- Kasangati-Matuga'!D21,'24.09 Kasangati-Matugga'!D21,'25.09 Kasangati-Matugga'!D21,'27.09 Matugga-Kasangati'!D21,'26.09 Kasangati-Matugga-24h'!D21,'28.09 Kasangati-Matugga-24h'!D21,'29.09 Kasangati-Matugga'!D21)</f>
        <v>2.8571428571428572</v>
      </c>
      <c r="E21" s="49">
        <f>AVERAGE('23.09- Kasangati-Matuga'!E21,'24.09 Kasangati-Matugga'!E21,'25.09 Kasangati-Matugga'!E21,'27.09 Matugga-Kasangati'!E21,'26.09 Kasangati-Matugga-24h'!E21,'28.09 Kasangati-Matugga-24h'!E21,'29.09 Kasangati-Matugga'!E21)</f>
        <v>2.7142857142857144</v>
      </c>
      <c r="F21" s="49">
        <f>AVERAGE('23.09- Kasangati-Matuga'!F21,'24.09 Kasangati-Matugga'!F21,'25.09 Kasangati-Matugga'!F21,'27.09 Matugga-Kasangati'!F21,'26.09 Kasangati-Matugga-24h'!F21,'28.09 Kasangati-Matugga-24h'!F21,'29.09 Kasangati-Matugga'!F21)</f>
        <v>2.8571428571428572</v>
      </c>
      <c r="G21" s="49">
        <f>AVERAGE('23.09- Kasangati-Matuga'!G21,'24.09 Kasangati-Matugga'!G21,'25.09 Kasangati-Matugga'!G21,'27.09 Matugga-Kasangati'!G21,'26.09 Kasangati-Matugga-24h'!G21,'28.09 Kasangati-Matugga-24h'!G21,'29.09 Kasangati-Matugga'!G21)</f>
        <v>0</v>
      </c>
      <c r="H21" s="49">
        <f>AVERAGE('23.09- Kasangati-Matuga'!H21,'24.09 Kasangati-Matugga'!H21,'25.09 Kasangati-Matugga'!H21,'27.09 Matugga-Kasangati'!H21,'26.09 Kasangati-Matugga-24h'!H21,'28.09 Kasangati-Matugga-24h'!H21,'29.09 Kasangati-Matugga'!H21)</f>
        <v>0</v>
      </c>
      <c r="I21" s="49">
        <f>AVERAGE('23.09- Kasangati-Matuga'!I21,'24.09 Kasangati-Matugga'!I21,'25.09 Kasangati-Matugga'!I21,'27.09 Matugga-Kasangati'!I21,'26.09 Kasangati-Matugga-24h'!I21,'28.09 Kasangati-Matugga-24h'!I21,'29.09 Kasangati-Matugga'!I21)</f>
        <v>1.4285714285714286</v>
      </c>
      <c r="J21" s="49">
        <f>AVERAGE('23.09- Kasangati-Matuga'!J21,'24.09 Kasangati-Matugga'!J21,'25.09 Kasangati-Matugga'!J21,'27.09 Matugga-Kasangati'!J21,'26.09 Kasangati-Matugga-24h'!J21,'28.09 Kasangati-Matugga-24h'!J21,'29.09 Kasangati-Matugga'!J21)</f>
        <v>0.5714285714285714</v>
      </c>
      <c r="K21" s="49">
        <f>AVERAGE('23.09- Kasangati-Matuga'!K21,'24.09 Kasangati-Matugga'!K21,'25.09 Kasangati-Matugga'!K21,'27.09 Matugga-Kasangati'!K21,'26.09 Kasangati-Matugga-24h'!K21,'28.09 Kasangati-Matugga-24h'!K21,'29.09 Kasangati-Matugga'!K21)</f>
        <v>0.14285714285714285</v>
      </c>
      <c r="L21" s="49">
        <f>AVERAGE('23.09- Kasangati-Matuga'!L21,'24.09 Kasangati-Matugga'!L21,'25.09 Kasangati-Matugga'!L21,'27.09 Matugga-Kasangati'!L21,'26.09 Kasangati-Matugga-24h'!L21,'28.09 Kasangati-Matugga-24h'!L21,'29.09 Kasangati-Matugga'!L21)</f>
        <v>0.14285714285714285</v>
      </c>
      <c r="M21" s="49">
        <f>AVERAGE('23.09- Kasangati-Matuga'!M21,'24.09 Kasangati-Matugga'!M21,'25.09 Kasangati-Matugga'!M21,'27.09 Matugga-Kasangati'!M21,'26.09 Kasangati-Matugga-24h'!M21,'28.09 Kasangati-Matugga-24h'!M21,'29.09 Kasangati-Matugga'!M21)</f>
        <v>42.571428571428569</v>
      </c>
      <c r="N21" s="49">
        <f>AVERAGE('23.09- Kasangati-Matuga'!N21,'24.09 Kasangati-Matugga'!N21,'25.09 Kasangati-Matugga'!N21,'27.09 Matugga-Kasangati'!N21,'26.09 Kasangati-Matugga-24h'!N21,'28.09 Kasangati-Matugga-24h'!N21,'29.09 Kasangati-Matugga'!N21)</f>
        <v>0</v>
      </c>
      <c r="O21" s="15">
        <f t="shared" si="0"/>
        <v>18</v>
      </c>
      <c r="P21" s="15">
        <f t="shared" si="1"/>
        <v>60.571428571428569</v>
      </c>
      <c r="R21" s="36" t="s">
        <v>20</v>
      </c>
      <c r="S21" s="34">
        <f t="shared" ref="S21:AF21" si="13">SUM(C54:C57)</f>
        <v>54.142857142857139</v>
      </c>
      <c r="T21" s="17">
        <f t="shared" si="13"/>
        <v>23.285714285714285</v>
      </c>
      <c r="U21" s="17">
        <f t="shared" si="13"/>
        <v>11.428571428571429</v>
      </c>
      <c r="V21" s="17">
        <f t="shared" si="13"/>
        <v>19.857142857142858</v>
      </c>
      <c r="W21" s="17">
        <f t="shared" si="13"/>
        <v>0.14285714285714285</v>
      </c>
      <c r="X21" s="17">
        <f t="shared" si="13"/>
        <v>0.5714285714285714</v>
      </c>
      <c r="Y21" s="17">
        <f t="shared" si="13"/>
        <v>8</v>
      </c>
      <c r="Z21" s="17">
        <f t="shared" si="13"/>
        <v>2.4285714285714284</v>
      </c>
      <c r="AA21" s="17">
        <f t="shared" si="13"/>
        <v>0.14285714285714285</v>
      </c>
      <c r="AB21" s="17">
        <f t="shared" si="13"/>
        <v>0.8571428571428571</v>
      </c>
      <c r="AC21" s="17">
        <f t="shared" si="13"/>
        <v>170.85714285714283</v>
      </c>
      <c r="AD21" s="17">
        <f t="shared" si="13"/>
        <v>0</v>
      </c>
      <c r="AE21" s="31">
        <f t="shared" si="13"/>
        <v>120.85714285714285</v>
      </c>
      <c r="AF21" s="31">
        <f t="shared" si="13"/>
        <v>291.71428571428572</v>
      </c>
    </row>
    <row r="22" spans="2:32" ht="23.1" customHeight="1" x14ac:dyDescent="0.25">
      <c r="B22" s="23" t="s">
        <v>49</v>
      </c>
      <c r="C22" s="49">
        <f>AVERAGE('23.09- Kasangati-Matuga'!C22,'24.09 Kasangati-Matugga'!C22,'25.09 Kasangati-Matugga'!C22,'27.09 Matugga-Kasangati'!C22,'26.09 Kasangati-Matugga-24h'!C22,'28.09 Kasangati-Matugga-24h'!C22,'29.09 Kasangati-Matugga'!C22)</f>
        <v>12.142857142857142</v>
      </c>
      <c r="D22" s="49">
        <f>AVERAGE('23.09- Kasangati-Matuga'!D22,'24.09 Kasangati-Matugga'!D22,'25.09 Kasangati-Matugga'!D22,'27.09 Matugga-Kasangati'!D22,'26.09 Kasangati-Matugga-24h'!D22,'28.09 Kasangati-Matugga-24h'!D22,'29.09 Kasangati-Matugga'!D22)</f>
        <v>3.8571428571428572</v>
      </c>
      <c r="E22" s="49">
        <f>AVERAGE('23.09- Kasangati-Matuga'!E22,'24.09 Kasangati-Matugga'!E22,'25.09 Kasangati-Matugga'!E22,'27.09 Matugga-Kasangati'!E22,'26.09 Kasangati-Matugga-24h'!E22,'28.09 Kasangati-Matugga-24h'!E22,'29.09 Kasangati-Matugga'!E22)</f>
        <v>1.8571428571428572</v>
      </c>
      <c r="F22" s="49">
        <f>AVERAGE('23.09- Kasangati-Matuga'!F22,'24.09 Kasangati-Matugga'!F22,'25.09 Kasangati-Matugga'!F22,'27.09 Matugga-Kasangati'!F22,'26.09 Kasangati-Matugga-24h'!F22,'28.09 Kasangati-Matugga-24h'!F22,'29.09 Kasangati-Matugga'!F22)</f>
        <v>2.2857142857142856</v>
      </c>
      <c r="G22" s="49">
        <f>AVERAGE('23.09- Kasangati-Matuga'!G22,'24.09 Kasangati-Matugga'!G22,'25.09 Kasangati-Matugga'!G22,'27.09 Matugga-Kasangati'!G22,'26.09 Kasangati-Matugga-24h'!G22,'28.09 Kasangati-Matugga-24h'!G22,'29.09 Kasangati-Matugga'!G22)</f>
        <v>0.14285714285714285</v>
      </c>
      <c r="H22" s="49">
        <f>AVERAGE('23.09- Kasangati-Matuga'!H22,'24.09 Kasangati-Matugga'!H22,'25.09 Kasangati-Matugga'!H22,'27.09 Matugga-Kasangati'!H22,'26.09 Kasangati-Matugga-24h'!H22,'28.09 Kasangati-Matugga-24h'!H22,'29.09 Kasangati-Matugga'!H22)</f>
        <v>0.14285714285714285</v>
      </c>
      <c r="I22" s="49">
        <f>AVERAGE('23.09- Kasangati-Matuga'!I22,'24.09 Kasangati-Matugga'!I22,'25.09 Kasangati-Matugga'!I22,'27.09 Matugga-Kasangati'!I22,'26.09 Kasangati-Matugga-24h'!I22,'28.09 Kasangati-Matugga-24h'!I22,'29.09 Kasangati-Matugga'!I22)</f>
        <v>3.8571428571428572</v>
      </c>
      <c r="J22" s="49">
        <f>AVERAGE('23.09- Kasangati-Matuga'!J22,'24.09 Kasangati-Matugga'!J22,'25.09 Kasangati-Matugga'!J22,'27.09 Matugga-Kasangati'!J22,'26.09 Kasangati-Matugga-24h'!J22,'28.09 Kasangati-Matugga-24h'!J22,'29.09 Kasangati-Matugga'!J22)</f>
        <v>0.8571428571428571</v>
      </c>
      <c r="K22" s="49">
        <f>AVERAGE('23.09- Kasangati-Matuga'!K22,'24.09 Kasangati-Matugga'!K22,'25.09 Kasangati-Matugga'!K22,'27.09 Matugga-Kasangati'!K22,'26.09 Kasangati-Matugga-24h'!K22,'28.09 Kasangati-Matugga-24h'!K22,'29.09 Kasangati-Matugga'!K22)</f>
        <v>0</v>
      </c>
      <c r="L22" s="49">
        <f>AVERAGE('23.09- Kasangati-Matuga'!L22,'24.09 Kasangati-Matugga'!L22,'25.09 Kasangati-Matugga'!L22,'27.09 Matugga-Kasangati'!L22,'26.09 Kasangati-Matugga-24h'!L22,'28.09 Kasangati-Matugga-24h'!L22,'29.09 Kasangati-Matugga'!L22)</f>
        <v>0</v>
      </c>
      <c r="M22" s="49">
        <f>AVERAGE('23.09- Kasangati-Matuga'!M22,'24.09 Kasangati-Matugga'!M22,'25.09 Kasangati-Matugga'!M22,'27.09 Matugga-Kasangati'!M22,'26.09 Kasangati-Matugga-24h'!M22,'28.09 Kasangati-Matugga-24h'!M22,'29.09 Kasangati-Matugga'!M22)</f>
        <v>39.285714285714285</v>
      </c>
      <c r="N22" s="49">
        <f>AVERAGE('23.09- Kasangati-Matuga'!N22,'24.09 Kasangati-Matugga'!N22,'25.09 Kasangati-Matugga'!N22,'27.09 Matugga-Kasangati'!N22,'26.09 Kasangati-Matugga-24h'!N22,'28.09 Kasangati-Matugga-24h'!N22,'29.09 Kasangati-Matugga'!N22)</f>
        <v>0</v>
      </c>
      <c r="O22" s="15">
        <f t="shared" si="0"/>
        <v>25.142857142857142</v>
      </c>
      <c r="P22" s="15">
        <f t="shared" si="1"/>
        <v>64.428571428571431</v>
      </c>
      <c r="R22" s="102" t="s">
        <v>146</v>
      </c>
      <c r="S22" s="133">
        <f>SUM(C58:C61)</f>
        <v>61</v>
      </c>
      <c r="T22" s="133">
        <f t="shared" ref="T22:AF22" si="14">SUM(D58:D61)</f>
        <v>11</v>
      </c>
      <c r="U22" s="133">
        <f t="shared" si="14"/>
        <v>9</v>
      </c>
      <c r="V22" s="133">
        <f t="shared" si="14"/>
        <v>14</v>
      </c>
      <c r="W22" s="133">
        <f t="shared" si="14"/>
        <v>1.5</v>
      </c>
      <c r="X22" s="133">
        <f t="shared" si="14"/>
        <v>0</v>
      </c>
      <c r="Y22" s="133">
        <f t="shared" si="14"/>
        <v>6</v>
      </c>
      <c r="Z22" s="133">
        <f t="shared" si="14"/>
        <v>0.5</v>
      </c>
      <c r="AA22" s="133">
        <f t="shared" si="14"/>
        <v>0</v>
      </c>
      <c r="AB22" s="133">
        <f t="shared" si="14"/>
        <v>0</v>
      </c>
      <c r="AC22" s="133">
        <f t="shared" si="14"/>
        <v>223.5</v>
      </c>
      <c r="AD22" s="133">
        <f t="shared" si="14"/>
        <v>0</v>
      </c>
      <c r="AE22" s="146">
        <f t="shared" si="14"/>
        <v>103</v>
      </c>
      <c r="AF22" s="146">
        <f t="shared" si="14"/>
        <v>326.5</v>
      </c>
    </row>
    <row r="23" spans="2:32" ht="23.1" customHeight="1" x14ac:dyDescent="0.25">
      <c r="B23" s="23" t="s">
        <v>50</v>
      </c>
      <c r="C23" s="49">
        <f>AVERAGE('23.09- Kasangati-Matuga'!C23,'24.09 Kasangati-Matugga'!C23,'25.09 Kasangati-Matugga'!C23,'27.09 Matugga-Kasangati'!C23,'26.09 Kasangati-Matugga-24h'!C23,'28.09 Kasangati-Matugga-24h'!C23,'29.09 Kasangati-Matugga'!C23)</f>
        <v>8.5714285714285712</v>
      </c>
      <c r="D23" s="49">
        <f>AVERAGE('23.09- Kasangati-Matuga'!D23,'24.09 Kasangati-Matugga'!D23,'25.09 Kasangati-Matugga'!D23,'27.09 Matugga-Kasangati'!D23,'26.09 Kasangati-Matugga-24h'!D23,'28.09 Kasangati-Matugga-24h'!D23,'29.09 Kasangati-Matugga'!D23)</f>
        <v>3.1428571428571428</v>
      </c>
      <c r="E23" s="49">
        <f>AVERAGE('23.09- Kasangati-Matuga'!E23,'24.09 Kasangati-Matugga'!E23,'25.09 Kasangati-Matugga'!E23,'27.09 Matugga-Kasangati'!E23,'26.09 Kasangati-Matugga-24h'!E23,'28.09 Kasangati-Matugga-24h'!E23,'29.09 Kasangati-Matugga'!E23)</f>
        <v>2.5714285714285716</v>
      </c>
      <c r="F23" s="49">
        <f>AVERAGE('23.09- Kasangati-Matuga'!F23,'24.09 Kasangati-Matugga'!F23,'25.09 Kasangati-Matugga'!F23,'27.09 Matugga-Kasangati'!F23,'26.09 Kasangati-Matugga-24h'!F23,'28.09 Kasangati-Matugga-24h'!F23,'29.09 Kasangati-Matugga'!F23)</f>
        <v>1.4285714285714286</v>
      </c>
      <c r="G23" s="49">
        <f>AVERAGE('23.09- Kasangati-Matuga'!G23,'24.09 Kasangati-Matugga'!G23,'25.09 Kasangati-Matugga'!G23,'27.09 Matugga-Kasangati'!G23,'26.09 Kasangati-Matugga-24h'!G23,'28.09 Kasangati-Matugga-24h'!G23,'29.09 Kasangati-Matugga'!G23)</f>
        <v>0.14285714285714285</v>
      </c>
      <c r="H23" s="49">
        <f>AVERAGE('23.09- Kasangati-Matuga'!H23,'24.09 Kasangati-Matugga'!H23,'25.09 Kasangati-Matugga'!H23,'27.09 Matugga-Kasangati'!H23,'26.09 Kasangati-Matugga-24h'!H23,'28.09 Kasangati-Matugga-24h'!H23,'29.09 Kasangati-Matugga'!H23)</f>
        <v>0</v>
      </c>
      <c r="I23" s="49">
        <f>AVERAGE('23.09- Kasangati-Matuga'!I23,'24.09 Kasangati-Matugga'!I23,'25.09 Kasangati-Matugga'!I23,'27.09 Matugga-Kasangati'!I23,'26.09 Kasangati-Matugga-24h'!I23,'28.09 Kasangati-Matugga-24h'!I23,'29.09 Kasangati-Matugga'!I23)</f>
        <v>3.5714285714285716</v>
      </c>
      <c r="J23" s="49">
        <f>AVERAGE('23.09- Kasangati-Matuga'!J23,'24.09 Kasangati-Matugga'!J23,'25.09 Kasangati-Matugga'!J23,'27.09 Matugga-Kasangati'!J23,'26.09 Kasangati-Matugga-24h'!J23,'28.09 Kasangati-Matugga-24h'!J23,'29.09 Kasangati-Matugga'!J23)</f>
        <v>1</v>
      </c>
      <c r="K23" s="49">
        <f>AVERAGE('23.09- Kasangati-Matuga'!K23,'24.09 Kasangati-Matugga'!K23,'25.09 Kasangati-Matugga'!K23,'27.09 Matugga-Kasangati'!K23,'26.09 Kasangati-Matugga-24h'!K23,'28.09 Kasangati-Matugga-24h'!K23,'29.09 Kasangati-Matugga'!K23)</f>
        <v>0.14285714285714285</v>
      </c>
      <c r="L23" s="49">
        <f>AVERAGE('23.09- Kasangati-Matuga'!L23,'24.09 Kasangati-Matugga'!L23,'25.09 Kasangati-Matugga'!L23,'27.09 Matugga-Kasangati'!L23,'26.09 Kasangati-Matugga-24h'!L23,'28.09 Kasangati-Matugga-24h'!L23,'29.09 Kasangati-Matugga'!L23)</f>
        <v>0.14285714285714285</v>
      </c>
      <c r="M23" s="49">
        <f>AVERAGE('23.09- Kasangati-Matuga'!M23,'24.09 Kasangati-Matugga'!M23,'25.09 Kasangati-Matugga'!M23,'27.09 Matugga-Kasangati'!M23,'26.09 Kasangati-Matugga-24h'!M23,'28.09 Kasangati-Matugga-24h'!M23,'29.09 Kasangati-Matugga'!M23)</f>
        <v>39.857142857142854</v>
      </c>
      <c r="N23" s="49">
        <f>AVERAGE('23.09- Kasangati-Matuga'!N23,'24.09 Kasangati-Matugga'!N23,'25.09 Kasangati-Matugga'!N23,'27.09 Matugga-Kasangati'!N23,'26.09 Kasangati-Matugga-24h'!N23,'28.09 Kasangati-Matugga-24h'!N23,'29.09 Kasangati-Matugga'!N23)</f>
        <v>0</v>
      </c>
      <c r="O23" s="15">
        <f t="shared" si="0"/>
        <v>20.714285714285712</v>
      </c>
      <c r="P23" s="15">
        <f t="shared" si="1"/>
        <v>60.571428571428569</v>
      </c>
      <c r="R23" s="102" t="s">
        <v>147</v>
      </c>
      <c r="S23" s="133">
        <f>SUM(C62:C65)</f>
        <v>91</v>
      </c>
      <c r="T23" s="133">
        <f t="shared" ref="T23:AF23" si="15">SUM(D62:D65)</f>
        <v>10</v>
      </c>
      <c r="U23" s="133">
        <f t="shared" si="15"/>
        <v>9</v>
      </c>
      <c r="V23" s="133">
        <f t="shared" si="15"/>
        <v>15.5</v>
      </c>
      <c r="W23" s="133">
        <f t="shared" si="15"/>
        <v>0.5</v>
      </c>
      <c r="X23" s="133">
        <f t="shared" si="15"/>
        <v>0.5</v>
      </c>
      <c r="Y23" s="133">
        <f t="shared" si="15"/>
        <v>9</v>
      </c>
      <c r="Z23" s="133">
        <f t="shared" si="15"/>
        <v>1.5</v>
      </c>
      <c r="AA23" s="133">
        <f t="shared" si="15"/>
        <v>0</v>
      </c>
      <c r="AB23" s="133">
        <f t="shared" si="15"/>
        <v>0</v>
      </c>
      <c r="AC23" s="133">
        <f t="shared" si="15"/>
        <v>223</v>
      </c>
      <c r="AD23" s="133">
        <f t="shared" si="15"/>
        <v>0</v>
      </c>
      <c r="AE23" s="146">
        <f t="shared" si="15"/>
        <v>137</v>
      </c>
      <c r="AF23" s="146">
        <f t="shared" si="15"/>
        <v>360</v>
      </c>
    </row>
    <row r="24" spans="2:32" ht="23.1" customHeight="1" x14ac:dyDescent="0.25">
      <c r="B24" s="23" t="s">
        <v>51</v>
      </c>
      <c r="C24" s="49">
        <f>AVERAGE('23.09- Kasangati-Matuga'!C24,'24.09 Kasangati-Matugga'!C24,'25.09 Kasangati-Matugga'!C24,'27.09 Matugga-Kasangati'!C24,'26.09 Kasangati-Matugga-24h'!C24,'28.09 Kasangati-Matugga-24h'!C24,'29.09 Kasangati-Matugga'!C24)</f>
        <v>10.285714285714286</v>
      </c>
      <c r="D24" s="49">
        <f>AVERAGE('23.09- Kasangati-Matuga'!D24,'24.09 Kasangati-Matugga'!D24,'25.09 Kasangati-Matugga'!D24,'27.09 Matugga-Kasangati'!D24,'26.09 Kasangati-Matugga-24h'!D24,'28.09 Kasangati-Matugga-24h'!D24,'29.09 Kasangati-Matugga'!D24)</f>
        <v>3</v>
      </c>
      <c r="E24" s="49">
        <f>AVERAGE('23.09- Kasangati-Matuga'!E24,'24.09 Kasangati-Matugga'!E24,'25.09 Kasangati-Matugga'!E24,'27.09 Matugga-Kasangati'!E24,'26.09 Kasangati-Matugga-24h'!E24,'28.09 Kasangati-Matugga-24h'!E24,'29.09 Kasangati-Matugga'!E24)</f>
        <v>2.2857142857142856</v>
      </c>
      <c r="F24" s="49">
        <f>AVERAGE('23.09- Kasangati-Matuga'!F24,'24.09 Kasangati-Matugga'!F24,'25.09 Kasangati-Matugga'!F24,'27.09 Matugga-Kasangati'!F24,'26.09 Kasangati-Matugga-24h'!F24,'28.09 Kasangati-Matugga-24h'!F24,'29.09 Kasangati-Matugga'!F24)</f>
        <v>1.5714285714285714</v>
      </c>
      <c r="G24" s="49">
        <f>AVERAGE('23.09- Kasangati-Matuga'!G24,'24.09 Kasangati-Matugga'!G24,'25.09 Kasangati-Matugga'!G24,'27.09 Matugga-Kasangati'!G24,'26.09 Kasangati-Matugga-24h'!G24,'28.09 Kasangati-Matugga-24h'!G24,'29.09 Kasangati-Matugga'!G24)</f>
        <v>0</v>
      </c>
      <c r="H24" s="49">
        <f>AVERAGE('23.09- Kasangati-Matuga'!H24,'24.09 Kasangati-Matugga'!H24,'25.09 Kasangati-Matugga'!H24,'27.09 Matugga-Kasangati'!H24,'26.09 Kasangati-Matugga-24h'!H24,'28.09 Kasangati-Matugga-24h'!H24,'29.09 Kasangati-Matugga'!H24)</f>
        <v>0</v>
      </c>
      <c r="I24" s="49">
        <f>AVERAGE('23.09- Kasangati-Matuga'!I24,'24.09 Kasangati-Matugga'!I24,'25.09 Kasangati-Matugga'!I24,'27.09 Matugga-Kasangati'!I24,'26.09 Kasangati-Matugga-24h'!I24,'28.09 Kasangati-Matugga-24h'!I24,'29.09 Kasangati-Matugga'!I24)</f>
        <v>2.1428571428571428</v>
      </c>
      <c r="J24" s="49">
        <f>AVERAGE('23.09- Kasangati-Matuga'!J24,'24.09 Kasangati-Matugga'!J24,'25.09 Kasangati-Matugga'!J24,'27.09 Matugga-Kasangati'!J24,'26.09 Kasangati-Matugga-24h'!J24,'28.09 Kasangati-Matugga-24h'!J24,'29.09 Kasangati-Matugga'!J24)</f>
        <v>1.4285714285714286</v>
      </c>
      <c r="K24" s="49">
        <f>AVERAGE('23.09- Kasangati-Matuga'!K24,'24.09 Kasangati-Matugga'!K24,'25.09 Kasangati-Matugga'!K24,'27.09 Matugga-Kasangati'!K24,'26.09 Kasangati-Matugga-24h'!K24,'28.09 Kasangati-Matugga-24h'!K24,'29.09 Kasangati-Matugga'!K24)</f>
        <v>0.2857142857142857</v>
      </c>
      <c r="L24" s="49">
        <f>AVERAGE('23.09- Kasangati-Matuga'!L24,'24.09 Kasangati-Matugga'!L24,'25.09 Kasangati-Matugga'!L24,'27.09 Matugga-Kasangati'!L24,'26.09 Kasangati-Matugga-24h'!L24,'28.09 Kasangati-Matugga-24h'!L24,'29.09 Kasangati-Matugga'!L24)</f>
        <v>0.14285714285714285</v>
      </c>
      <c r="M24" s="49">
        <f>AVERAGE('23.09- Kasangati-Matuga'!M24,'24.09 Kasangati-Matugga'!M24,'25.09 Kasangati-Matugga'!M24,'27.09 Matugga-Kasangati'!M24,'26.09 Kasangati-Matugga-24h'!M24,'28.09 Kasangati-Matugga-24h'!M24,'29.09 Kasangati-Matugga'!M24)</f>
        <v>36.428571428571431</v>
      </c>
      <c r="N24" s="49">
        <f>AVERAGE('23.09- Kasangati-Matuga'!N24,'24.09 Kasangati-Matugga'!N24,'25.09 Kasangati-Matugga'!N24,'27.09 Matugga-Kasangati'!N24,'26.09 Kasangati-Matugga-24h'!N24,'28.09 Kasangati-Matugga-24h'!N24,'29.09 Kasangati-Matugga'!N24)</f>
        <v>0</v>
      </c>
      <c r="O24" s="15">
        <f t="shared" si="0"/>
        <v>21.142857142857142</v>
      </c>
      <c r="P24" s="15">
        <f t="shared" si="1"/>
        <v>57.571428571428569</v>
      </c>
      <c r="R24" s="102" t="s">
        <v>148</v>
      </c>
      <c r="S24" s="133">
        <f>SUM(C66:C69)</f>
        <v>95.5</v>
      </c>
      <c r="T24" s="133">
        <f t="shared" ref="T24:AF24" si="16">SUM(D66:D69)</f>
        <v>10.5</v>
      </c>
      <c r="U24" s="133">
        <f t="shared" si="16"/>
        <v>13</v>
      </c>
      <c r="V24" s="133">
        <f t="shared" si="16"/>
        <v>12</v>
      </c>
      <c r="W24" s="133">
        <f t="shared" si="16"/>
        <v>0</v>
      </c>
      <c r="X24" s="133">
        <f t="shared" si="16"/>
        <v>0</v>
      </c>
      <c r="Y24" s="133">
        <f t="shared" si="16"/>
        <v>9</v>
      </c>
      <c r="Z24" s="133">
        <f t="shared" si="16"/>
        <v>1.5</v>
      </c>
      <c r="AA24" s="133">
        <f t="shared" si="16"/>
        <v>0</v>
      </c>
      <c r="AB24" s="133">
        <f t="shared" si="16"/>
        <v>0</v>
      </c>
      <c r="AC24" s="133">
        <f t="shared" si="16"/>
        <v>215.5</v>
      </c>
      <c r="AD24" s="133">
        <f t="shared" si="16"/>
        <v>0.5</v>
      </c>
      <c r="AE24" s="146">
        <f t="shared" si="16"/>
        <v>142</v>
      </c>
      <c r="AF24" s="146">
        <f t="shared" si="16"/>
        <v>357.5</v>
      </c>
    </row>
    <row r="25" spans="2:32" ht="23.1" customHeight="1" x14ac:dyDescent="0.25">
      <c r="B25" s="23" t="s">
        <v>52</v>
      </c>
      <c r="C25" s="49">
        <f>AVERAGE('23.09- Kasangati-Matuga'!C25,'24.09 Kasangati-Matugga'!C25,'25.09 Kasangati-Matugga'!C25,'27.09 Matugga-Kasangati'!C25,'26.09 Kasangati-Matugga-24h'!C25,'28.09 Kasangati-Matugga-24h'!C25,'29.09 Kasangati-Matugga'!C25)</f>
        <v>8.5714285714285712</v>
      </c>
      <c r="D25" s="49">
        <f>AVERAGE('23.09- Kasangati-Matuga'!D25,'24.09 Kasangati-Matugga'!D25,'25.09 Kasangati-Matugga'!D25,'27.09 Matugga-Kasangati'!D25,'26.09 Kasangati-Matugga-24h'!D25,'28.09 Kasangati-Matugga-24h'!D25,'29.09 Kasangati-Matugga'!D25)</f>
        <v>5.1428571428571432</v>
      </c>
      <c r="E25" s="49">
        <f>AVERAGE('23.09- Kasangati-Matuga'!E25,'24.09 Kasangati-Matugga'!E25,'25.09 Kasangati-Matugga'!E25,'27.09 Matugga-Kasangati'!E25,'26.09 Kasangati-Matugga-24h'!E25,'28.09 Kasangati-Matugga-24h'!E25,'29.09 Kasangati-Matugga'!E25)</f>
        <v>2.1428571428571428</v>
      </c>
      <c r="F25" s="49">
        <f>AVERAGE('23.09- Kasangati-Matuga'!F25,'24.09 Kasangati-Matugga'!F25,'25.09 Kasangati-Matugga'!F25,'27.09 Matugga-Kasangati'!F25,'26.09 Kasangati-Matugga-24h'!F25,'28.09 Kasangati-Matugga-24h'!F25,'29.09 Kasangati-Matugga'!F25)</f>
        <v>2</v>
      </c>
      <c r="G25" s="49">
        <f>AVERAGE('23.09- Kasangati-Matuga'!G25,'24.09 Kasangati-Matugga'!G25,'25.09 Kasangati-Matugga'!G25,'27.09 Matugga-Kasangati'!G25,'26.09 Kasangati-Matugga-24h'!G25,'28.09 Kasangati-Matugga-24h'!G25,'29.09 Kasangati-Matugga'!G25)</f>
        <v>0.14285714285714285</v>
      </c>
      <c r="H25" s="49">
        <f>AVERAGE('23.09- Kasangati-Matuga'!H25,'24.09 Kasangati-Matugga'!H25,'25.09 Kasangati-Matugga'!H25,'27.09 Matugga-Kasangati'!H25,'26.09 Kasangati-Matugga-24h'!H25,'28.09 Kasangati-Matugga-24h'!H25,'29.09 Kasangati-Matugga'!H25)</f>
        <v>0</v>
      </c>
      <c r="I25" s="49">
        <f>AVERAGE('23.09- Kasangati-Matuga'!I25,'24.09 Kasangati-Matugga'!I25,'25.09 Kasangati-Matugga'!I25,'27.09 Matugga-Kasangati'!I25,'26.09 Kasangati-Matugga-24h'!I25,'28.09 Kasangati-Matugga-24h'!I25,'29.09 Kasangati-Matugga'!I25)</f>
        <v>2.4285714285714284</v>
      </c>
      <c r="J25" s="49">
        <f>AVERAGE('23.09- Kasangati-Matuga'!J25,'24.09 Kasangati-Matugga'!J25,'25.09 Kasangati-Matugga'!J25,'27.09 Matugga-Kasangati'!J25,'26.09 Kasangati-Matugga-24h'!J25,'28.09 Kasangati-Matugga-24h'!J25,'29.09 Kasangati-Matugga'!J25)</f>
        <v>1</v>
      </c>
      <c r="K25" s="49">
        <f>AVERAGE('23.09- Kasangati-Matuga'!K25,'24.09 Kasangati-Matugga'!K25,'25.09 Kasangati-Matugga'!K25,'27.09 Matugga-Kasangati'!K25,'26.09 Kasangati-Matugga-24h'!K25,'28.09 Kasangati-Matugga-24h'!K25,'29.09 Kasangati-Matugga'!K25)</f>
        <v>0</v>
      </c>
      <c r="L25" s="49">
        <f>AVERAGE('23.09- Kasangati-Matuga'!L25,'24.09 Kasangati-Matugga'!L25,'25.09 Kasangati-Matugga'!L25,'27.09 Matugga-Kasangati'!L25,'26.09 Kasangati-Matugga-24h'!L25,'28.09 Kasangati-Matugga-24h'!L25,'29.09 Kasangati-Matugga'!L25)</f>
        <v>0.14285714285714285</v>
      </c>
      <c r="M25" s="49">
        <f>AVERAGE('23.09- Kasangati-Matuga'!M25,'24.09 Kasangati-Matugga'!M25,'25.09 Kasangati-Matugga'!M25,'27.09 Matugga-Kasangati'!M25,'26.09 Kasangati-Matugga-24h'!M25,'28.09 Kasangati-Matugga-24h'!M25,'29.09 Kasangati-Matugga'!M25)</f>
        <v>33.285714285714285</v>
      </c>
      <c r="N25" s="49">
        <f>AVERAGE('23.09- Kasangati-Matuga'!N25,'24.09 Kasangati-Matugga'!N25,'25.09 Kasangati-Matugga'!N25,'27.09 Matugga-Kasangati'!N25,'26.09 Kasangati-Matugga-24h'!N25,'28.09 Kasangati-Matugga-24h'!N25,'29.09 Kasangati-Matugga'!N25)</f>
        <v>0</v>
      </c>
      <c r="O25" s="15">
        <f t="shared" si="0"/>
        <v>21.571428571428569</v>
      </c>
      <c r="P25" s="15">
        <f t="shared" si="1"/>
        <v>54.857142857142854</v>
      </c>
      <c r="R25" s="102" t="s">
        <v>149</v>
      </c>
      <c r="S25" s="133">
        <f>SUM(C70:C73)</f>
        <v>71</v>
      </c>
      <c r="T25" s="133">
        <f t="shared" ref="T25:AF25" si="17">SUM(D70:D73)</f>
        <v>11</v>
      </c>
      <c r="U25" s="133">
        <f t="shared" si="17"/>
        <v>7.5</v>
      </c>
      <c r="V25" s="133">
        <f t="shared" si="17"/>
        <v>10.5</v>
      </c>
      <c r="W25" s="133">
        <f t="shared" si="17"/>
        <v>0</v>
      </c>
      <c r="X25" s="133">
        <f t="shared" si="17"/>
        <v>0</v>
      </c>
      <c r="Y25" s="133">
        <f t="shared" si="17"/>
        <v>7</v>
      </c>
      <c r="Z25" s="133">
        <f t="shared" si="17"/>
        <v>0.5</v>
      </c>
      <c r="AA25" s="133">
        <f t="shared" si="17"/>
        <v>0</v>
      </c>
      <c r="AB25" s="133">
        <f t="shared" si="17"/>
        <v>0</v>
      </c>
      <c r="AC25" s="133">
        <f t="shared" si="17"/>
        <v>163</v>
      </c>
      <c r="AD25" s="133">
        <f t="shared" si="17"/>
        <v>0</v>
      </c>
      <c r="AE25" s="146">
        <f t="shared" si="17"/>
        <v>107.5</v>
      </c>
      <c r="AF25" s="146">
        <f t="shared" si="17"/>
        <v>270.5</v>
      </c>
    </row>
    <row r="26" spans="2:32" ht="23.1" customHeight="1" x14ac:dyDescent="0.25">
      <c r="B26" s="23" t="s">
        <v>53</v>
      </c>
      <c r="C26" s="49">
        <f>AVERAGE('23.09- Kasangati-Matuga'!C26,'24.09 Kasangati-Matugga'!C26,'25.09 Kasangati-Matugga'!C26,'27.09 Matugga-Kasangati'!C26,'26.09 Kasangati-Matugga-24h'!C26,'28.09 Kasangati-Matugga-24h'!C26,'29.09 Kasangati-Matugga'!C26)</f>
        <v>9.5714285714285712</v>
      </c>
      <c r="D26" s="49">
        <f>AVERAGE('23.09- Kasangati-Matuga'!D26,'24.09 Kasangati-Matugga'!D26,'25.09 Kasangati-Matugga'!D26,'27.09 Matugga-Kasangati'!D26,'26.09 Kasangati-Matugga-24h'!D26,'28.09 Kasangati-Matugga-24h'!D26,'29.09 Kasangati-Matugga'!D26)</f>
        <v>5.7142857142857144</v>
      </c>
      <c r="E26" s="49">
        <f>AVERAGE('23.09- Kasangati-Matuga'!E26,'24.09 Kasangati-Matugga'!E26,'25.09 Kasangati-Matugga'!E26,'27.09 Matugga-Kasangati'!E26,'26.09 Kasangati-Matugga-24h'!E26,'28.09 Kasangati-Matugga-24h'!E26,'29.09 Kasangati-Matugga'!E26)</f>
        <v>2.4285714285714284</v>
      </c>
      <c r="F26" s="49">
        <f>AVERAGE('23.09- Kasangati-Matuga'!F26,'24.09 Kasangati-Matugga'!F26,'25.09 Kasangati-Matugga'!F26,'27.09 Matugga-Kasangati'!F26,'26.09 Kasangati-Matugga-24h'!F26,'28.09 Kasangati-Matugga-24h'!F26,'29.09 Kasangati-Matugga'!F26)</f>
        <v>2.8571428571428572</v>
      </c>
      <c r="G26" s="49">
        <f>AVERAGE('23.09- Kasangati-Matuga'!G26,'24.09 Kasangati-Matugga'!G26,'25.09 Kasangati-Matugga'!G26,'27.09 Matugga-Kasangati'!G26,'26.09 Kasangati-Matugga-24h'!G26,'28.09 Kasangati-Matugga-24h'!G26,'29.09 Kasangati-Matugga'!G26)</f>
        <v>0</v>
      </c>
      <c r="H26" s="49">
        <f>AVERAGE('23.09- Kasangati-Matuga'!H26,'24.09 Kasangati-Matugga'!H26,'25.09 Kasangati-Matugga'!H26,'27.09 Matugga-Kasangati'!H26,'26.09 Kasangati-Matugga-24h'!H26,'28.09 Kasangati-Matugga-24h'!H26,'29.09 Kasangati-Matugga'!H26)</f>
        <v>0</v>
      </c>
      <c r="I26" s="49">
        <f>AVERAGE('23.09- Kasangati-Matuga'!I26,'24.09 Kasangati-Matugga'!I26,'25.09 Kasangati-Matugga'!I26,'27.09 Matugga-Kasangati'!I26,'26.09 Kasangati-Matugga-24h'!I26,'28.09 Kasangati-Matugga-24h'!I26,'29.09 Kasangati-Matugga'!I26)</f>
        <v>1.4285714285714286</v>
      </c>
      <c r="J26" s="49">
        <f>AVERAGE('23.09- Kasangati-Matuga'!J26,'24.09 Kasangati-Matugga'!J26,'25.09 Kasangati-Matugga'!J26,'27.09 Matugga-Kasangati'!J26,'26.09 Kasangati-Matugga-24h'!J26,'28.09 Kasangati-Matugga-24h'!J26,'29.09 Kasangati-Matugga'!J26)</f>
        <v>1.5714285714285714</v>
      </c>
      <c r="K26" s="49">
        <f>AVERAGE('23.09- Kasangati-Matuga'!K26,'24.09 Kasangati-Matugga'!K26,'25.09 Kasangati-Matugga'!K26,'27.09 Matugga-Kasangati'!K26,'26.09 Kasangati-Matugga-24h'!K26,'28.09 Kasangati-Matugga-24h'!K26,'29.09 Kasangati-Matugga'!K26)</f>
        <v>0.14285714285714285</v>
      </c>
      <c r="L26" s="49">
        <f>AVERAGE('23.09- Kasangati-Matuga'!L26,'24.09 Kasangati-Matugga'!L26,'25.09 Kasangati-Matugga'!L26,'27.09 Matugga-Kasangati'!L26,'26.09 Kasangati-Matugga-24h'!L26,'28.09 Kasangati-Matugga-24h'!L26,'29.09 Kasangati-Matugga'!L26)</f>
        <v>0.14285714285714285</v>
      </c>
      <c r="M26" s="49">
        <f>AVERAGE('23.09- Kasangati-Matuga'!M26,'24.09 Kasangati-Matugga'!M26,'25.09 Kasangati-Matugga'!M26,'27.09 Matugga-Kasangati'!M26,'26.09 Kasangati-Matugga-24h'!M26,'28.09 Kasangati-Matugga-24h'!M26,'29.09 Kasangati-Matugga'!M26)</f>
        <v>38.857142857142854</v>
      </c>
      <c r="N26" s="49">
        <f>AVERAGE('23.09- Kasangati-Matuga'!N26,'24.09 Kasangati-Matugga'!N26,'25.09 Kasangati-Matugga'!N26,'27.09 Matugga-Kasangati'!N26,'26.09 Kasangati-Matugga-24h'!N26,'28.09 Kasangati-Matugga-24h'!N26,'29.09 Kasangati-Matugga'!N26)</f>
        <v>0</v>
      </c>
      <c r="O26" s="15">
        <f t="shared" si="0"/>
        <v>23.857142857142854</v>
      </c>
      <c r="P26" s="15">
        <f t="shared" si="1"/>
        <v>62.714285714285708</v>
      </c>
      <c r="R26" s="102" t="s">
        <v>150</v>
      </c>
      <c r="S26" s="133">
        <f>SUM(C74:C77)</f>
        <v>31.5</v>
      </c>
      <c r="T26" s="133">
        <f t="shared" ref="T26:AF26" si="18">SUM(D74:D77)</f>
        <v>4.5</v>
      </c>
      <c r="U26" s="133">
        <f t="shared" si="18"/>
        <v>4</v>
      </c>
      <c r="V26" s="133">
        <f t="shared" si="18"/>
        <v>3</v>
      </c>
      <c r="W26" s="133">
        <f t="shared" si="18"/>
        <v>0</v>
      </c>
      <c r="X26" s="133">
        <f t="shared" si="18"/>
        <v>0</v>
      </c>
      <c r="Y26" s="133">
        <f t="shared" si="18"/>
        <v>4</v>
      </c>
      <c r="Z26" s="133">
        <f t="shared" si="18"/>
        <v>0.5</v>
      </c>
      <c r="AA26" s="133">
        <f t="shared" si="18"/>
        <v>0.5</v>
      </c>
      <c r="AB26" s="133">
        <f t="shared" si="18"/>
        <v>0</v>
      </c>
      <c r="AC26" s="133">
        <f t="shared" si="18"/>
        <v>93.5</v>
      </c>
      <c r="AD26" s="133">
        <f t="shared" si="18"/>
        <v>0</v>
      </c>
      <c r="AE26" s="146">
        <f t="shared" si="18"/>
        <v>48</v>
      </c>
      <c r="AF26" s="146">
        <f t="shared" si="18"/>
        <v>141.5</v>
      </c>
    </row>
    <row r="27" spans="2:32" ht="23.1" customHeight="1" x14ac:dyDescent="0.25">
      <c r="B27" s="23" t="s">
        <v>54</v>
      </c>
      <c r="C27" s="49">
        <f>AVERAGE('23.09- Kasangati-Matuga'!C27,'24.09 Kasangati-Matugga'!C27,'25.09 Kasangati-Matugga'!C27,'27.09 Matugga-Kasangati'!C27,'26.09 Kasangati-Matugga-24h'!C27,'28.09 Kasangati-Matugga-24h'!C27,'29.09 Kasangati-Matugga'!C27)</f>
        <v>9</v>
      </c>
      <c r="D27" s="49">
        <f>AVERAGE('23.09- Kasangati-Matuga'!D27,'24.09 Kasangati-Matugga'!D27,'25.09 Kasangati-Matugga'!D27,'27.09 Matugga-Kasangati'!D27,'26.09 Kasangati-Matugga-24h'!D27,'28.09 Kasangati-Matugga-24h'!D27,'29.09 Kasangati-Matugga'!D27)</f>
        <v>3.1428571428571428</v>
      </c>
      <c r="E27" s="49">
        <f>AVERAGE('23.09- Kasangati-Matuga'!E27,'24.09 Kasangati-Matugga'!E27,'25.09 Kasangati-Matugga'!E27,'27.09 Matugga-Kasangati'!E27,'26.09 Kasangati-Matugga-24h'!E27,'28.09 Kasangati-Matugga-24h'!E27,'29.09 Kasangati-Matugga'!E27)</f>
        <v>2</v>
      </c>
      <c r="F27" s="49">
        <f>AVERAGE('23.09- Kasangati-Matuga'!F27,'24.09 Kasangati-Matugga'!F27,'25.09 Kasangati-Matugga'!F27,'27.09 Matugga-Kasangati'!F27,'26.09 Kasangati-Matugga-24h'!F27,'28.09 Kasangati-Matugga-24h'!F27,'29.09 Kasangati-Matugga'!F27)</f>
        <v>2.1428571428571428</v>
      </c>
      <c r="G27" s="49">
        <f>AVERAGE('23.09- Kasangati-Matuga'!G27,'24.09 Kasangati-Matugga'!G27,'25.09 Kasangati-Matugga'!G27,'27.09 Matugga-Kasangati'!G27,'26.09 Kasangati-Matugga-24h'!G27,'28.09 Kasangati-Matugga-24h'!G27,'29.09 Kasangati-Matugga'!G27)</f>
        <v>0.14285714285714285</v>
      </c>
      <c r="H27" s="49">
        <f>AVERAGE('23.09- Kasangati-Matuga'!H27,'24.09 Kasangati-Matugga'!H27,'25.09 Kasangati-Matugga'!H27,'27.09 Matugga-Kasangati'!H27,'26.09 Kasangati-Matugga-24h'!H27,'28.09 Kasangati-Matugga-24h'!H27,'29.09 Kasangati-Matugga'!H27)</f>
        <v>0</v>
      </c>
      <c r="I27" s="49">
        <f>AVERAGE('23.09- Kasangati-Matuga'!I27,'24.09 Kasangati-Matugga'!I27,'25.09 Kasangati-Matugga'!I27,'27.09 Matugga-Kasangati'!I27,'26.09 Kasangati-Matugga-24h'!I27,'28.09 Kasangati-Matugga-24h'!I27,'29.09 Kasangati-Matugga'!I27)</f>
        <v>1.8571428571428572</v>
      </c>
      <c r="J27" s="49">
        <f>AVERAGE('23.09- Kasangati-Matuga'!J27,'24.09 Kasangati-Matugga'!J27,'25.09 Kasangati-Matugga'!J27,'27.09 Matugga-Kasangati'!J27,'26.09 Kasangati-Matugga-24h'!J27,'28.09 Kasangati-Matugga-24h'!J27,'29.09 Kasangati-Matugga'!J27)</f>
        <v>1.2857142857142858</v>
      </c>
      <c r="K27" s="49">
        <f>AVERAGE('23.09- Kasangati-Matuga'!K27,'24.09 Kasangati-Matugga'!K27,'25.09 Kasangati-Matugga'!K27,'27.09 Matugga-Kasangati'!K27,'26.09 Kasangati-Matugga-24h'!K27,'28.09 Kasangati-Matugga-24h'!K27,'29.09 Kasangati-Matugga'!K27)</f>
        <v>0.2857142857142857</v>
      </c>
      <c r="L27" s="49">
        <f>AVERAGE('23.09- Kasangati-Matuga'!L27,'24.09 Kasangati-Matugga'!L27,'25.09 Kasangati-Matugga'!L27,'27.09 Matugga-Kasangati'!L27,'26.09 Kasangati-Matugga-24h'!L27,'28.09 Kasangati-Matugga-24h'!L27,'29.09 Kasangati-Matugga'!L27)</f>
        <v>0.14285714285714285</v>
      </c>
      <c r="M27" s="49">
        <f>AVERAGE('23.09- Kasangati-Matuga'!M27,'24.09 Kasangati-Matugga'!M27,'25.09 Kasangati-Matugga'!M27,'27.09 Matugga-Kasangati'!M27,'26.09 Kasangati-Matugga-24h'!M27,'28.09 Kasangati-Matugga-24h'!M27,'29.09 Kasangati-Matugga'!M27)</f>
        <v>39.428571428571431</v>
      </c>
      <c r="N27" s="49">
        <f>AVERAGE('23.09- Kasangati-Matuga'!N27,'24.09 Kasangati-Matugga'!N27,'25.09 Kasangati-Matugga'!N27,'27.09 Matugga-Kasangati'!N27,'26.09 Kasangati-Matugga-24h'!N27,'28.09 Kasangati-Matugga-24h'!N27,'29.09 Kasangati-Matugga'!N27)</f>
        <v>8</v>
      </c>
      <c r="O27" s="15">
        <f t="shared" si="0"/>
        <v>27.999999999999996</v>
      </c>
      <c r="P27" s="15">
        <f t="shared" si="1"/>
        <v>67.428571428571431</v>
      </c>
      <c r="R27" s="102" t="s">
        <v>151</v>
      </c>
      <c r="S27" s="133">
        <f>SUM(C78:C81)</f>
        <v>23.5</v>
      </c>
      <c r="T27" s="133">
        <f t="shared" ref="T27:AF27" si="19">SUM(D78:D81)</f>
        <v>3.5</v>
      </c>
      <c r="U27" s="133">
        <f t="shared" si="19"/>
        <v>3</v>
      </c>
      <c r="V27" s="133">
        <f t="shared" si="19"/>
        <v>1.5</v>
      </c>
      <c r="W27" s="133">
        <f t="shared" si="19"/>
        <v>0</v>
      </c>
      <c r="X27" s="133">
        <f t="shared" si="19"/>
        <v>0</v>
      </c>
      <c r="Y27" s="133">
        <f t="shared" si="19"/>
        <v>1</v>
      </c>
      <c r="Z27" s="133">
        <f t="shared" si="19"/>
        <v>0.5</v>
      </c>
      <c r="AA27" s="133">
        <f t="shared" si="19"/>
        <v>0.5</v>
      </c>
      <c r="AB27" s="133">
        <f t="shared" si="19"/>
        <v>0</v>
      </c>
      <c r="AC27" s="133">
        <f t="shared" si="19"/>
        <v>46</v>
      </c>
      <c r="AD27" s="133">
        <f t="shared" si="19"/>
        <v>0</v>
      </c>
      <c r="AE27" s="146">
        <f t="shared" si="19"/>
        <v>33.5</v>
      </c>
      <c r="AF27" s="146">
        <f t="shared" si="19"/>
        <v>79.5</v>
      </c>
    </row>
    <row r="28" spans="2:32" ht="23.1" customHeight="1" x14ac:dyDescent="0.25">
      <c r="B28" s="23" t="s">
        <v>55</v>
      </c>
      <c r="C28" s="49">
        <f>AVERAGE('23.09- Kasangati-Matuga'!C28,'24.09 Kasangati-Matugga'!C28,'25.09 Kasangati-Matugga'!C28,'27.09 Matugga-Kasangati'!C28,'26.09 Kasangati-Matugga-24h'!C28,'28.09 Kasangati-Matugga-24h'!C28,'29.09 Kasangati-Matugga'!C28)</f>
        <v>8.4285714285714288</v>
      </c>
      <c r="D28" s="49">
        <f>AVERAGE('23.09- Kasangati-Matuga'!D28,'24.09 Kasangati-Matugga'!D28,'25.09 Kasangati-Matugga'!D28,'27.09 Matugga-Kasangati'!D28,'26.09 Kasangati-Matugga-24h'!D28,'28.09 Kasangati-Matugga-24h'!D28,'29.09 Kasangati-Matugga'!D28)</f>
        <v>6</v>
      </c>
      <c r="E28" s="49">
        <f>AVERAGE('23.09- Kasangati-Matuga'!E28,'24.09 Kasangati-Matugga'!E28,'25.09 Kasangati-Matugga'!E28,'27.09 Matugga-Kasangati'!E28,'26.09 Kasangati-Matugga-24h'!E28,'28.09 Kasangati-Matugga-24h'!E28,'29.09 Kasangati-Matugga'!E28)</f>
        <v>3.2857142857142856</v>
      </c>
      <c r="F28" s="49">
        <f>AVERAGE('23.09- Kasangati-Matuga'!F28,'24.09 Kasangati-Matugga'!F28,'25.09 Kasangati-Matugga'!F28,'27.09 Matugga-Kasangati'!F28,'26.09 Kasangati-Matugga-24h'!F28,'28.09 Kasangati-Matugga-24h'!F28,'29.09 Kasangati-Matugga'!F28)</f>
        <v>1.5714285714285714</v>
      </c>
      <c r="G28" s="49">
        <f>AVERAGE('23.09- Kasangati-Matuga'!G28,'24.09 Kasangati-Matugga'!G28,'25.09 Kasangati-Matugga'!G28,'27.09 Matugga-Kasangati'!G28,'26.09 Kasangati-Matugga-24h'!G28,'28.09 Kasangati-Matugga-24h'!G28,'29.09 Kasangati-Matugga'!G28)</f>
        <v>0.14285714285714285</v>
      </c>
      <c r="H28" s="49">
        <f>AVERAGE('23.09- Kasangati-Matuga'!H28,'24.09 Kasangati-Matugga'!H28,'25.09 Kasangati-Matugga'!H28,'27.09 Matugga-Kasangati'!H28,'26.09 Kasangati-Matugga-24h'!H28,'28.09 Kasangati-Matugga-24h'!H28,'29.09 Kasangati-Matugga'!H28)</f>
        <v>0</v>
      </c>
      <c r="I28" s="49">
        <f>AVERAGE('23.09- Kasangati-Matuga'!I28,'24.09 Kasangati-Matugga'!I28,'25.09 Kasangati-Matugga'!I28,'27.09 Matugga-Kasangati'!I28,'26.09 Kasangati-Matugga-24h'!I28,'28.09 Kasangati-Matugga-24h'!I28,'29.09 Kasangati-Matugga'!I28)</f>
        <v>2.8571428571428572</v>
      </c>
      <c r="J28" s="49">
        <f>AVERAGE('23.09- Kasangati-Matuga'!J28,'24.09 Kasangati-Matugga'!J28,'25.09 Kasangati-Matugga'!J28,'27.09 Matugga-Kasangati'!J28,'26.09 Kasangati-Matugga-24h'!J28,'28.09 Kasangati-Matugga-24h'!J28,'29.09 Kasangati-Matugga'!J28)</f>
        <v>1.2857142857142858</v>
      </c>
      <c r="K28" s="49">
        <f>AVERAGE('23.09- Kasangati-Matuga'!K28,'24.09 Kasangati-Matugga'!K28,'25.09 Kasangati-Matugga'!K28,'27.09 Matugga-Kasangati'!K28,'26.09 Kasangati-Matugga-24h'!K28,'28.09 Kasangati-Matugga-24h'!K28,'29.09 Kasangati-Matugga'!K28)</f>
        <v>0.2857142857142857</v>
      </c>
      <c r="L28" s="49">
        <f>AVERAGE('23.09- Kasangati-Matuga'!L28,'24.09 Kasangati-Matugga'!L28,'25.09 Kasangati-Matugga'!L28,'27.09 Matugga-Kasangati'!L28,'26.09 Kasangati-Matugga-24h'!L28,'28.09 Kasangati-Matugga-24h'!L28,'29.09 Kasangati-Matugga'!L28)</f>
        <v>0.14285714285714285</v>
      </c>
      <c r="M28" s="49">
        <f>AVERAGE('23.09- Kasangati-Matuga'!M28,'24.09 Kasangati-Matugga'!M28,'25.09 Kasangati-Matugga'!M28,'27.09 Matugga-Kasangati'!M28,'26.09 Kasangati-Matugga-24h'!M28,'28.09 Kasangati-Matugga-24h'!M28,'29.09 Kasangati-Matugga'!M28)</f>
        <v>35.142857142857146</v>
      </c>
      <c r="N28" s="49">
        <f>AVERAGE('23.09- Kasangati-Matuga'!N28,'24.09 Kasangati-Matugga'!N28,'25.09 Kasangati-Matugga'!N28,'27.09 Matugga-Kasangati'!N28,'26.09 Kasangati-Matugga-24h'!N28,'28.09 Kasangati-Matugga-24h'!N28,'29.09 Kasangati-Matugga'!N28)</f>
        <v>0</v>
      </c>
      <c r="O28" s="15">
        <f t="shared" si="0"/>
        <v>24</v>
      </c>
      <c r="P28" s="15">
        <f t="shared" si="1"/>
        <v>59.142857142857146</v>
      </c>
      <c r="R28" s="102" t="s">
        <v>152</v>
      </c>
      <c r="S28" s="133">
        <f>SUM(C82:C85)</f>
        <v>12.5</v>
      </c>
      <c r="T28" s="133">
        <f t="shared" ref="T28:AF28" si="20">SUM(D82:D85)</f>
        <v>2</v>
      </c>
      <c r="U28" s="133">
        <f t="shared" si="20"/>
        <v>1.5</v>
      </c>
      <c r="V28" s="133">
        <f t="shared" si="20"/>
        <v>3</v>
      </c>
      <c r="W28" s="133">
        <f t="shared" si="20"/>
        <v>0</v>
      </c>
      <c r="X28" s="133">
        <f t="shared" si="20"/>
        <v>0</v>
      </c>
      <c r="Y28" s="133">
        <f t="shared" si="20"/>
        <v>0</v>
      </c>
      <c r="Z28" s="133">
        <f t="shared" si="20"/>
        <v>1</v>
      </c>
      <c r="AA28" s="133">
        <f t="shared" si="20"/>
        <v>0</v>
      </c>
      <c r="AB28" s="133">
        <f t="shared" si="20"/>
        <v>0</v>
      </c>
      <c r="AC28" s="133">
        <f t="shared" si="20"/>
        <v>38.5</v>
      </c>
      <c r="AD28" s="133">
        <f t="shared" si="20"/>
        <v>0</v>
      </c>
      <c r="AE28" s="146">
        <f t="shared" si="20"/>
        <v>20</v>
      </c>
      <c r="AF28" s="146">
        <f t="shared" si="20"/>
        <v>58.5</v>
      </c>
    </row>
    <row r="29" spans="2:32" ht="23.1" customHeight="1" x14ac:dyDescent="0.25">
      <c r="B29" s="23" t="s">
        <v>56</v>
      </c>
      <c r="C29" s="49">
        <f>AVERAGE('23.09- Kasangati-Matuga'!C29,'24.09 Kasangati-Matugga'!C29,'25.09 Kasangati-Matugga'!C29,'27.09 Matugga-Kasangati'!C29,'26.09 Kasangati-Matugga-24h'!C29,'28.09 Kasangati-Matugga-24h'!C29,'29.09 Kasangati-Matugga'!C29)</f>
        <v>7.8571428571428568</v>
      </c>
      <c r="D29" s="49">
        <f>AVERAGE('23.09- Kasangati-Matuga'!D29,'24.09 Kasangati-Matugga'!D29,'25.09 Kasangati-Matugga'!D29,'27.09 Matugga-Kasangati'!D29,'26.09 Kasangati-Matugga-24h'!D29,'28.09 Kasangati-Matugga-24h'!D29,'29.09 Kasangati-Matugga'!D29)</f>
        <v>4.1428571428571432</v>
      </c>
      <c r="E29" s="49">
        <f>AVERAGE('23.09- Kasangati-Matuga'!E29,'24.09 Kasangati-Matugga'!E29,'25.09 Kasangati-Matugga'!E29,'27.09 Matugga-Kasangati'!E29,'26.09 Kasangati-Matugga-24h'!E29,'28.09 Kasangati-Matugga-24h'!E29,'29.09 Kasangati-Matugga'!E29)</f>
        <v>3.2857142857142856</v>
      </c>
      <c r="F29" s="49">
        <f>AVERAGE('23.09- Kasangati-Matuga'!F29,'24.09 Kasangati-Matugga'!F29,'25.09 Kasangati-Matugga'!F29,'27.09 Matugga-Kasangati'!F29,'26.09 Kasangati-Matugga-24h'!F29,'28.09 Kasangati-Matugga-24h'!F29,'29.09 Kasangati-Matugga'!F29)</f>
        <v>2.4285714285714284</v>
      </c>
      <c r="G29" s="49">
        <f>AVERAGE('23.09- Kasangati-Matuga'!G29,'24.09 Kasangati-Matugga'!G29,'25.09 Kasangati-Matugga'!G29,'27.09 Matugga-Kasangati'!G29,'26.09 Kasangati-Matugga-24h'!G29,'28.09 Kasangati-Matugga-24h'!G29,'29.09 Kasangati-Matugga'!G29)</f>
        <v>0.5714285714285714</v>
      </c>
      <c r="H29" s="49">
        <f>AVERAGE('23.09- Kasangati-Matuga'!H29,'24.09 Kasangati-Matugga'!H29,'25.09 Kasangati-Matugga'!H29,'27.09 Matugga-Kasangati'!H29,'26.09 Kasangati-Matugga-24h'!H29,'28.09 Kasangati-Matugga-24h'!H29,'29.09 Kasangati-Matugga'!H29)</f>
        <v>0</v>
      </c>
      <c r="I29" s="49">
        <f>AVERAGE('23.09- Kasangati-Matuga'!I29,'24.09 Kasangati-Matugga'!I29,'25.09 Kasangati-Matugga'!I29,'27.09 Matugga-Kasangati'!I29,'26.09 Kasangati-Matugga-24h'!I29,'28.09 Kasangati-Matugga-24h'!I29,'29.09 Kasangati-Matugga'!I29)</f>
        <v>2</v>
      </c>
      <c r="J29" s="49">
        <f>AVERAGE('23.09- Kasangati-Matuga'!J29,'24.09 Kasangati-Matugga'!J29,'25.09 Kasangati-Matugga'!J29,'27.09 Matugga-Kasangati'!J29,'26.09 Kasangati-Matugga-24h'!J29,'28.09 Kasangati-Matugga-24h'!J29,'29.09 Kasangati-Matugga'!J29)</f>
        <v>0.42857142857142855</v>
      </c>
      <c r="K29" s="49">
        <f>AVERAGE('23.09- Kasangati-Matuga'!K29,'24.09 Kasangati-Matugga'!K29,'25.09 Kasangati-Matugga'!K29,'27.09 Matugga-Kasangati'!K29,'26.09 Kasangati-Matugga-24h'!K29,'28.09 Kasangati-Matugga-24h'!K29,'29.09 Kasangati-Matugga'!K29)</f>
        <v>0.8571428571428571</v>
      </c>
      <c r="L29" s="49">
        <f>AVERAGE('23.09- Kasangati-Matuga'!L29,'24.09 Kasangati-Matugga'!L29,'25.09 Kasangati-Matugga'!L29,'27.09 Matugga-Kasangati'!L29,'26.09 Kasangati-Matugga-24h'!L29,'28.09 Kasangati-Matugga-24h'!L29,'29.09 Kasangati-Matugga'!L29)</f>
        <v>0</v>
      </c>
      <c r="M29" s="49">
        <f>AVERAGE('23.09- Kasangati-Matuga'!M29,'24.09 Kasangati-Matugga'!M29,'25.09 Kasangati-Matugga'!M29,'27.09 Matugga-Kasangati'!M29,'26.09 Kasangati-Matugga-24h'!M29,'28.09 Kasangati-Matugga-24h'!M29,'29.09 Kasangati-Matugga'!M29)</f>
        <v>39.571428571428569</v>
      </c>
      <c r="N29" s="49">
        <f>AVERAGE('23.09- Kasangati-Matuga'!N29,'24.09 Kasangati-Matugga'!N29,'25.09 Kasangati-Matugga'!N29,'27.09 Matugga-Kasangati'!N29,'26.09 Kasangati-Matugga-24h'!N29,'28.09 Kasangati-Matugga-24h'!N29,'29.09 Kasangati-Matugga'!N29)</f>
        <v>0</v>
      </c>
      <c r="O29" s="15">
        <f t="shared" si="0"/>
        <v>21.571428571428569</v>
      </c>
      <c r="P29" s="15">
        <f t="shared" si="1"/>
        <v>61.142857142857139</v>
      </c>
      <c r="R29" s="102" t="s">
        <v>153</v>
      </c>
      <c r="S29" s="133">
        <f>SUM(C86:C89)</f>
        <v>4</v>
      </c>
      <c r="T29" s="133">
        <f t="shared" ref="T29:AF29" si="21">SUM(D86:D89)</f>
        <v>2</v>
      </c>
      <c r="U29" s="133">
        <f t="shared" si="21"/>
        <v>1.5</v>
      </c>
      <c r="V29" s="133">
        <f t="shared" si="21"/>
        <v>0.5</v>
      </c>
      <c r="W29" s="133">
        <f t="shared" si="21"/>
        <v>0</v>
      </c>
      <c r="X29" s="133">
        <f t="shared" si="21"/>
        <v>0</v>
      </c>
      <c r="Y29" s="133">
        <f t="shared" si="21"/>
        <v>1.5</v>
      </c>
      <c r="Z29" s="133">
        <f t="shared" si="21"/>
        <v>0</v>
      </c>
      <c r="AA29" s="133">
        <f t="shared" si="21"/>
        <v>0</v>
      </c>
      <c r="AB29" s="133">
        <f t="shared" si="21"/>
        <v>0</v>
      </c>
      <c r="AC29" s="133">
        <f t="shared" si="21"/>
        <v>17.5</v>
      </c>
      <c r="AD29" s="133">
        <f t="shared" si="21"/>
        <v>0</v>
      </c>
      <c r="AE29" s="146">
        <f t="shared" si="21"/>
        <v>9.5</v>
      </c>
      <c r="AF29" s="146">
        <f t="shared" si="21"/>
        <v>27</v>
      </c>
    </row>
    <row r="30" spans="2:32" ht="23.1" customHeight="1" x14ac:dyDescent="0.25">
      <c r="B30" s="23" t="s">
        <v>57</v>
      </c>
      <c r="C30" s="49">
        <f>AVERAGE('23.09- Kasangati-Matuga'!C30,'24.09 Kasangati-Matugga'!C30,'25.09 Kasangati-Matugga'!C30,'27.09 Matugga-Kasangati'!C30,'26.09 Kasangati-Matugga-24h'!C30,'28.09 Kasangati-Matugga-24h'!C30,'29.09 Kasangati-Matugga'!C30)</f>
        <v>9.4285714285714288</v>
      </c>
      <c r="D30" s="49">
        <f>AVERAGE('23.09- Kasangati-Matuga'!D30,'24.09 Kasangati-Matugga'!D30,'25.09 Kasangati-Matugga'!D30,'27.09 Matugga-Kasangati'!D30,'26.09 Kasangati-Matugga-24h'!D30,'28.09 Kasangati-Matugga-24h'!D30,'29.09 Kasangati-Matugga'!D30)</f>
        <v>4.2857142857142856</v>
      </c>
      <c r="E30" s="49">
        <f>AVERAGE('23.09- Kasangati-Matuga'!E30,'24.09 Kasangati-Matugga'!E30,'25.09 Kasangati-Matugga'!E30,'27.09 Matugga-Kasangati'!E30,'26.09 Kasangati-Matugga-24h'!E30,'28.09 Kasangati-Matugga-24h'!E30,'29.09 Kasangati-Matugga'!E30)</f>
        <v>3.8571428571428572</v>
      </c>
      <c r="F30" s="49">
        <f>AVERAGE('23.09- Kasangati-Matuga'!F30,'24.09 Kasangati-Matugga'!F30,'25.09 Kasangati-Matugga'!F30,'27.09 Matugga-Kasangati'!F30,'26.09 Kasangati-Matugga-24h'!F30,'28.09 Kasangati-Matugga-24h'!F30,'29.09 Kasangati-Matugga'!F30)</f>
        <v>2.2857142857142856</v>
      </c>
      <c r="G30" s="49">
        <f>AVERAGE('23.09- Kasangati-Matuga'!G30,'24.09 Kasangati-Matugga'!G30,'25.09 Kasangati-Matugga'!G30,'27.09 Matugga-Kasangati'!G30,'26.09 Kasangati-Matugga-24h'!G30,'28.09 Kasangati-Matugga-24h'!G30,'29.09 Kasangati-Matugga'!G30)</f>
        <v>0</v>
      </c>
      <c r="H30" s="49">
        <f>AVERAGE('23.09- Kasangati-Matuga'!H30,'24.09 Kasangati-Matugga'!H30,'25.09 Kasangati-Matugga'!H30,'27.09 Matugga-Kasangati'!H30,'26.09 Kasangati-Matugga-24h'!H30,'28.09 Kasangati-Matugga-24h'!H30,'29.09 Kasangati-Matugga'!H30)</f>
        <v>0</v>
      </c>
      <c r="I30" s="49">
        <f>AVERAGE('23.09- Kasangati-Matuga'!I30,'24.09 Kasangati-Matugga'!I30,'25.09 Kasangati-Matugga'!I30,'27.09 Matugga-Kasangati'!I30,'26.09 Kasangati-Matugga-24h'!I30,'28.09 Kasangati-Matugga-24h'!I30,'29.09 Kasangati-Matugga'!I30)</f>
        <v>1.5714285714285714</v>
      </c>
      <c r="J30" s="49">
        <f>AVERAGE('23.09- Kasangati-Matuga'!J30,'24.09 Kasangati-Matugga'!J30,'25.09 Kasangati-Matugga'!J30,'27.09 Matugga-Kasangati'!J30,'26.09 Kasangati-Matugga-24h'!J30,'28.09 Kasangati-Matugga-24h'!J30,'29.09 Kasangati-Matugga'!J30)</f>
        <v>1.5714285714285714</v>
      </c>
      <c r="K30" s="49">
        <f>AVERAGE('23.09- Kasangati-Matuga'!K30,'24.09 Kasangati-Matugga'!K30,'25.09 Kasangati-Matugga'!K30,'27.09 Matugga-Kasangati'!K30,'26.09 Kasangati-Matugga-24h'!K30,'28.09 Kasangati-Matugga-24h'!K30,'29.09 Kasangati-Matugga'!K30)</f>
        <v>0</v>
      </c>
      <c r="L30" s="49">
        <f>AVERAGE('23.09- Kasangati-Matuga'!L30,'24.09 Kasangati-Matugga'!L30,'25.09 Kasangati-Matugga'!L30,'27.09 Matugga-Kasangati'!L30,'26.09 Kasangati-Matugga-24h'!L30,'28.09 Kasangati-Matugga-24h'!L30,'29.09 Kasangati-Matugga'!L30)</f>
        <v>0.2857142857142857</v>
      </c>
      <c r="M30" s="49">
        <f>AVERAGE('23.09- Kasangati-Matuga'!M30,'24.09 Kasangati-Matugga'!M30,'25.09 Kasangati-Matugga'!M30,'27.09 Matugga-Kasangati'!M30,'26.09 Kasangati-Matugga-24h'!M30,'28.09 Kasangati-Matugga-24h'!M30,'29.09 Kasangati-Matugga'!M30)</f>
        <v>33.714285714285715</v>
      </c>
      <c r="N30" s="49">
        <f>AVERAGE('23.09- Kasangati-Matuga'!N30,'24.09 Kasangati-Matugga'!N30,'25.09 Kasangati-Matugga'!N30,'27.09 Matugga-Kasangati'!N30,'26.09 Kasangati-Matugga-24h'!N30,'28.09 Kasangati-Matugga-24h'!N30,'29.09 Kasangati-Matugga'!N30)</f>
        <v>0</v>
      </c>
      <c r="O30" s="15">
        <f t="shared" si="0"/>
        <v>23.285714285714288</v>
      </c>
      <c r="P30" s="15">
        <f t="shared" si="1"/>
        <v>57</v>
      </c>
      <c r="R30" s="102" t="s">
        <v>154</v>
      </c>
      <c r="S30" s="133">
        <f>SUM(C90:C93)</f>
        <v>6.5</v>
      </c>
      <c r="T30" s="133">
        <f t="shared" ref="T30:AF30" si="22">SUM(D90:D93)</f>
        <v>1</v>
      </c>
      <c r="U30" s="133">
        <f t="shared" si="22"/>
        <v>0.5</v>
      </c>
      <c r="V30" s="133">
        <f t="shared" si="22"/>
        <v>0</v>
      </c>
      <c r="W30" s="133">
        <f t="shared" si="22"/>
        <v>0</v>
      </c>
      <c r="X30" s="133">
        <f t="shared" si="22"/>
        <v>0</v>
      </c>
      <c r="Y30" s="133">
        <f t="shared" si="22"/>
        <v>0.5</v>
      </c>
      <c r="Z30" s="133">
        <f t="shared" si="22"/>
        <v>0</v>
      </c>
      <c r="AA30" s="133">
        <f t="shared" si="22"/>
        <v>0</v>
      </c>
      <c r="AB30" s="133">
        <f t="shared" si="22"/>
        <v>0</v>
      </c>
      <c r="AC30" s="133">
        <f t="shared" si="22"/>
        <v>11.5</v>
      </c>
      <c r="AD30" s="133">
        <f t="shared" si="22"/>
        <v>0.5</v>
      </c>
      <c r="AE30" s="146">
        <f t="shared" si="22"/>
        <v>9</v>
      </c>
      <c r="AF30" s="146">
        <f t="shared" si="22"/>
        <v>20.5</v>
      </c>
    </row>
    <row r="31" spans="2:32" ht="23.1" customHeight="1" x14ac:dyDescent="0.25">
      <c r="B31" s="24" t="s">
        <v>58</v>
      </c>
      <c r="C31" s="49">
        <f>AVERAGE('23.09- Kasangati-Matuga'!C31,'24.09 Kasangati-Matugga'!C31,'25.09 Kasangati-Matugga'!C31,'27.09 Matugga-Kasangati'!C31,'26.09 Kasangati-Matugga-24h'!C31,'28.09 Kasangati-Matugga-24h'!C31,'29.09 Kasangati-Matugga'!C31)</f>
        <v>7.4285714285714288</v>
      </c>
      <c r="D31" s="49">
        <f>AVERAGE('23.09- Kasangati-Matuga'!D31,'24.09 Kasangati-Matugga'!D31,'25.09 Kasangati-Matugga'!D31,'27.09 Matugga-Kasangati'!D31,'26.09 Kasangati-Matugga-24h'!D31,'28.09 Kasangati-Matugga-24h'!D31,'29.09 Kasangati-Matugga'!D31)</f>
        <v>4.5714285714285712</v>
      </c>
      <c r="E31" s="49">
        <f>AVERAGE('23.09- Kasangati-Matuga'!E31,'24.09 Kasangati-Matugga'!E31,'25.09 Kasangati-Matugga'!E31,'27.09 Matugga-Kasangati'!E31,'26.09 Kasangati-Matugga-24h'!E31,'28.09 Kasangati-Matugga-24h'!E31,'29.09 Kasangati-Matugga'!E31)</f>
        <v>2.7142857142857144</v>
      </c>
      <c r="F31" s="49">
        <f>AVERAGE('23.09- Kasangati-Matuga'!F31,'24.09 Kasangati-Matugga'!F31,'25.09 Kasangati-Matugga'!F31,'27.09 Matugga-Kasangati'!F31,'26.09 Kasangati-Matugga-24h'!F31,'28.09 Kasangati-Matugga-24h'!F31,'29.09 Kasangati-Matugga'!F31)</f>
        <v>1.5714285714285714</v>
      </c>
      <c r="G31" s="49">
        <f>AVERAGE('23.09- Kasangati-Matuga'!G31,'24.09 Kasangati-Matugga'!G31,'25.09 Kasangati-Matugga'!G31,'27.09 Matugga-Kasangati'!G31,'26.09 Kasangati-Matugga-24h'!G31,'28.09 Kasangati-Matugga-24h'!G31,'29.09 Kasangati-Matugga'!G31)</f>
        <v>0.42857142857142855</v>
      </c>
      <c r="H31" s="49">
        <f>AVERAGE('23.09- Kasangati-Matuga'!H31,'24.09 Kasangati-Matugga'!H31,'25.09 Kasangati-Matugga'!H31,'27.09 Matugga-Kasangati'!H31,'26.09 Kasangati-Matugga-24h'!H31,'28.09 Kasangati-Matugga-24h'!H31,'29.09 Kasangati-Matugga'!H31)</f>
        <v>0</v>
      </c>
      <c r="I31" s="49">
        <f>AVERAGE('23.09- Kasangati-Matuga'!I31,'24.09 Kasangati-Matugga'!I31,'25.09 Kasangati-Matugga'!I31,'27.09 Matugga-Kasangati'!I31,'26.09 Kasangati-Matugga-24h'!I31,'28.09 Kasangati-Matugga-24h'!I31,'29.09 Kasangati-Matugga'!I31)</f>
        <v>2.4285714285714284</v>
      </c>
      <c r="J31" s="49">
        <f>AVERAGE('23.09- Kasangati-Matuga'!J31,'24.09 Kasangati-Matugga'!J31,'25.09 Kasangati-Matugga'!J31,'27.09 Matugga-Kasangati'!J31,'26.09 Kasangati-Matugga-24h'!J31,'28.09 Kasangati-Matugga-24h'!J31,'29.09 Kasangati-Matugga'!J31)</f>
        <v>0.8571428571428571</v>
      </c>
      <c r="K31" s="49">
        <f>AVERAGE('23.09- Kasangati-Matuga'!K31,'24.09 Kasangati-Matugga'!K31,'25.09 Kasangati-Matugga'!K31,'27.09 Matugga-Kasangati'!K31,'26.09 Kasangati-Matugga-24h'!K31,'28.09 Kasangati-Matugga-24h'!K31,'29.09 Kasangati-Matugga'!K31)</f>
        <v>0</v>
      </c>
      <c r="L31" s="49">
        <f>AVERAGE('23.09- Kasangati-Matuga'!L31,'24.09 Kasangati-Matugga'!L31,'25.09 Kasangati-Matugga'!L31,'27.09 Matugga-Kasangati'!L31,'26.09 Kasangati-Matugga-24h'!L31,'28.09 Kasangati-Matugga-24h'!L31,'29.09 Kasangati-Matugga'!L31)</f>
        <v>0</v>
      </c>
      <c r="M31" s="49">
        <f>AVERAGE('23.09- Kasangati-Matuga'!M31,'24.09 Kasangati-Matugga'!M31,'25.09 Kasangati-Matugga'!M31,'27.09 Matugga-Kasangati'!M31,'26.09 Kasangati-Matugga-24h'!M31,'28.09 Kasangati-Matugga-24h'!M31,'29.09 Kasangati-Matugga'!M31)</f>
        <v>35.857142857142854</v>
      </c>
      <c r="N31" s="49">
        <f>AVERAGE('23.09- Kasangati-Matuga'!N31,'24.09 Kasangati-Matugga'!N31,'25.09 Kasangati-Matugga'!N31,'27.09 Matugga-Kasangati'!N31,'26.09 Kasangati-Matugga-24h'!N31,'28.09 Kasangati-Matugga-24h'!N31,'29.09 Kasangati-Matugga'!N31)</f>
        <v>0</v>
      </c>
      <c r="O31" s="15">
        <f t="shared" si="0"/>
        <v>20</v>
      </c>
      <c r="P31" s="15">
        <f t="shared" si="1"/>
        <v>55.857142857142854</v>
      </c>
      <c r="R31" s="102" t="s">
        <v>155</v>
      </c>
      <c r="S31" s="133">
        <f>SUM(C94:C97)</f>
        <v>4</v>
      </c>
      <c r="T31" s="133">
        <f t="shared" ref="T31:AF31" si="23">SUM(D94:D97)</f>
        <v>0</v>
      </c>
      <c r="U31" s="133">
        <f t="shared" si="23"/>
        <v>1</v>
      </c>
      <c r="V31" s="133">
        <f t="shared" si="23"/>
        <v>1.5</v>
      </c>
      <c r="W31" s="133">
        <f t="shared" si="23"/>
        <v>0</v>
      </c>
      <c r="X31" s="133">
        <f t="shared" si="23"/>
        <v>0</v>
      </c>
      <c r="Y31" s="133">
        <f t="shared" si="23"/>
        <v>1</v>
      </c>
      <c r="Z31" s="133">
        <f t="shared" si="23"/>
        <v>0</v>
      </c>
      <c r="AA31" s="133">
        <f t="shared" si="23"/>
        <v>0.5</v>
      </c>
      <c r="AB31" s="133">
        <f t="shared" si="23"/>
        <v>0</v>
      </c>
      <c r="AC31" s="133">
        <f t="shared" si="23"/>
        <v>12</v>
      </c>
      <c r="AD31" s="133">
        <f t="shared" si="23"/>
        <v>0</v>
      </c>
      <c r="AE31" s="146">
        <f t="shared" si="23"/>
        <v>8</v>
      </c>
      <c r="AF31" s="146">
        <f t="shared" si="23"/>
        <v>20</v>
      </c>
    </row>
    <row r="32" spans="2:32" ht="23.1" customHeight="1" x14ac:dyDescent="0.25">
      <c r="B32" s="24" t="s">
        <v>59</v>
      </c>
      <c r="C32" s="49">
        <f>AVERAGE('23.09- Kasangati-Matuga'!C32,'24.09 Kasangati-Matugga'!C32,'25.09 Kasangati-Matugga'!C32,'27.09 Matugga-Kasangati'!C32,'26.09 Kasangati-Matugga-24h'!C32,'28.09 Kasangati-Matugga-24h'!C32,'29.09 Kasangati-Matugga'!C32)</f>
        <v>8.8571428571428577</v>
      </c>
      <c r="D32" s="49">
        <f>AVERAGE('23.09- Kasangati-Matuga'!D32,'24.09 Kasangati-Matugga'!D32,'25.09 Kasangati-Matugga'!D32,'27.09 Matugga-Kasangati'!D32,'26.09 Kasangati-Matugga-24h'!D32,'28.09 Kasangati-Matugga-24h'!D32,'29.09 Kasangati-Matugga'!D32)</f>
        <v>3.7142857142857144</v>
      </c>
      <c r="E32" s="49">
        <f>AVERAGE('23.09- Kasangati-Matuga'!E32,'24.09 Kasangati-Matugga'!E32,'25.09 Kasangati-Matugga'!E32,'27.09 Matugga-Kasangati'!E32,'26.09 Kasangati-Matugga-24h'!E32,'28.09 Kasangati-Matugga-24h'!E32,'29.09 Kasangati-Matugga'!E32)</f>
        <v>2.7142857142857144</v>
      </c>
      <c r="F32" s="49">
        <f>AVERAGE('23.09- Kasangati-Matuga'!F32,'24.09 Kasangati-Matugga'!F32,'25.09 Kasangati-Matugga'!F32,'27.09 Matugga-Kasangati'!F32,'26.09 Kasangati-Matugga-24h'!F32,'28.09 Kasangati-Matugga-24h'!F32,'29.09 Kasangati-Matugga'!F32)</f>
        <v>2.5714285714285716</v>
      </c>
      <c r="G32" s="49">
        <f>AVERAGE('23.09- Kasangati-Matuga'!G32,'24.09 Kasangati-Matugga'!G32,'25.09 Kasangati-Matugga'!G32,'27.09 Matugga-Kasangati'!G32,'26.09 Kasangati-Matugga-24h'!G32,'28.09 Kasangati-Matugga-24h'!G32,'29.09 Kasangati-Matugga'!G32)</f>
        <v>0.14285714285714285</v>
      </c>
      <c r="H32" s="49">
        <f>AVERAGE('23.09- Kasangati-Matuga'!H32,'24.09 Kasangati-Matugga'!H32,'25.09 Kasangati-Matugga'!H32,'27.09 Matugga-Kasangati'!H32,'26.09 Kasangati-Matugga-24h'!H32,'28.09 Kasangati-Matugga-24h'!H32,'29.09 Kasangati-Matugga'!H32)</f>
        <v>0</v>
      </c>
      <c r="I32" s="49">
        <f>AVERAGE('23.09- Kasangati-Matuga'!I32,'24.09 Kasangati-Matugga'!I32,'25.09 Kasangati-Matugga'!I32,'27.09 Matugga-Kasangati'!I32,'26.09 Kasangati-Matugga-24h'!I32,'28.09 Kasangati-Matugga-24h'!I32,'29.09 Kasangati-Matugga'!I32)</f>
        <v>3.1428571428571428</v>
      </c>
      <c r="J32" s="49">
        <f>AVERAGE('23.09- Kasangati-Matuga'!J32,'24.09 Kasangati-Matugga'!J32,'25.09 Kasangati-Matugga'!J32,'27.09 Matugga-Kasangati'!J32,'26.09 Kasangati-Matugga-24h'!J32,'28.09 Kasangati-Matugga-24h'!J32,'29.09 Kasangati-Matugga'!J32)</f>
        <v>0.7142857142857143</v>
      </c>
      <c r="K32" s="49">
        <f>AVERAGE('23.09- Kasangati-Matuga'!K32,'24.09 Kasangati-Matugga'!K32,'25.09 Kasangati-Matugga'!K32,'27.09 Matugga-Kasangati'!K32,'26.09 Kasangati-Matugga-24h'!K32,'28.09 Kasangati-Matugga-24h'!K32,'29.09 Kasangati-Matugga'!K32)</f>
        <v>0.14285714285714285</v>
      </c>
      <c r="L32" s="49">
        <f>AVERAGE('23.09- Kasangati-Matuga'!L32,'24.09 Kasangati-Matugga'!L32,'25.09 Kasangati-Matugga'!L32,'27.09 Matugga-Kasangati'!L32,'26.09 Kasangati-Matugga-24h'!L32,'28.09 Kasangati-Matugga-24h'!L32,'29.09 Kasangati-Matugga'!L32)</f>
        <v>0.42857142857142855</v>
      </c>
      <c r="M32" s="49">
        <f>AVERAGE('23.09- Kasangati-Matuga'!M32,'24.09 Kasangati-Matugga'!M32,'25.09 Kasangati-Matugga'!M32,'27.09 Matugga-Kasangati'!M32,'26.09 Kasangati-Matugga-24h'!M32,'28.09 Kasangati-Matugga-24h'!M32,'29.09 Kasangati-Matugga'!M32)</f>
        <v>40.285714285714285</v>
      </c>
      <c r="N32" s="49">
        <f>AVERAGE('23.09- Kasangati-Matuga'!N32,'24.09 Kasangati-Matugga'!N32,'25.09 Kasangati-Matugga'!N32,'27.09 Matugga-Kasangati'!N32,'26.09 Kasangati-Matugga-24h'!N32,'28.09 Kasangati-Matugga-24h'!N32,'29.09 Kasangati-Matugga'!N32)</f>
        <v>0</v>
      </c>
      <c r="O32" s="15">
        <f t="shared" si="0"/>
        <v>22.428571428571431</v>
      </c>
      <c r="P32" s="15">
        <f t="shared" si="1"/>
        <v>62.714285714285715</v>
      </c>
      <c r="R32" s="102" t="s">
        <v>156</v>
      </c>
      <c r="S32" s="133">
        <f>SUM(C98:C101)</f>
        <v>8.5</v>
      </c>
      <c r="T32" s="133">
        <f t="shared" ref="T32:AF32" si="24">SUM(D98:D101)</f>
        <v>1</v>
      </c>
      <c r="U32" s="133">
        <f t="shared" si="24"/>
        <v>1.5</v>
      </c>
      <c r="V32" s="133">
        <f t="shared" si="24"/>
        <v>5</v>
      </c>
      <c r="W32" s="133">
        <f t="shared" si="24"/>
        <v>1</v>
      </c>
      <c r="X32" s="133">
        <f t="shared" si="24"/>
        <v>0</v>
      </c>
      <c r="Y32" s="133">
        <f t="shared" si="24"/>
        <v>1</v>
      </c>
      <c r="Z32" s="133">
        <f t="shared" si="24"/>
        <v>1.5</v>
      </c>
      <c r="AA32" s="133">
        <f t="shared" si="24"/>
        <v>0</v>
      </c>
      <c r="AB32" s="133">
        <f t="shared" si="24"/>
        <v>0</v>
      </c>
      <c r="AC32" s="133">
        <f t="shared" si="24"/>
        <v>23.5</v>
      </c>
      <c r="AD32" s="133">
        <f t="shared" si="24"/>
        <v>0</v>
      </c>
      <c r="AE32" s="146">
        <f t="shared" si="24"/>
        <v>19.5</v>
      </c>
      <c r="AF32" s="146">
        <f t="shared" si="24"/>
        <v>43</v>
      </c>
    </row>
    <row r="33" spans="2:32" ht="23.1" customHeight="1" x14ac:dyDescent="0.25">
      <c r="B33" s="23" t="s">
        <v>60</v>
      </c>
      <c r="C33" s="49">
        <f>AVERAGE('23.09- Kasangati-Matuga'!C33,'24.09 Kasangati-Matugga'!C33,'25.09 Kasangati-Matugga'!C33,'27.09 Matugga-Kasangati'!C33,'26.09 Kasangati-Matugga-24h'!C33,'28.09 Kasangati-Matugga-24h'!C33,'29.09 Kasangati-Matugga'!C33)</f>
        <v>11</v>
      </c>
      <c r="D33" s="49">
        <f>AVERAGE('23.09- Kasangati-Matuga'!D33,'24.09 Kasangati-Matugga'!D33,'25.09 Kasangati-Matugga'!D33,'27.09 Matugga-Kasangati'!D33,'26.09 Kasangati-Matugga-24h'!D33,'28.09 Kasangati-Matugga-24h'!D33,'29.09 Kasangati-Matugga'!D33)</f>
        <v>2.1428571428571428</v>
      </c>
      <c r="E33" s="49">
        <f>AVERAGE('23.09- Kasangati-Matuga'!E33,'24.09 Kasangati-Matugga'!E33,'25.09 Kasangati-Matugga'!E33,'27.09 Matugga-Kasangati'!E33,'26.09 Kasangati-Matugga-24h'!E33,'28.09 Kasangati-Matugga-24h'!E33,'29.09 Kasangati-Matugga'!E33)</f>
        <v>2.2857142857142856</v>
      </c>
      <c r="F33" s="49">
        <f>AVERAGE('23.09- Kasangati-Matuga'!F33,'24.09 Kasangati-Matugga'!F33,'25.09 Kasangati-Matugga'!F33,'27.09 Matugga-Kasangati'!F33,'26.09 Kasangati-Matugga-24h'!F33,'28.09 Kasangati-Matugga-24h'!F33,'29.09 Kasangati-Matugga'!F33)</f>
        <v>2.2857142857142856</v>
      </c>
      <c r="G33" s="49">
        <f>AVERAGE('23.09- Kasangati-Matuga'!G33,'24.09 Kasangati-Matugga'!G33,'25.09 Kasangati-Matugga'!G33,'27.09 Matugga-Kasangati'!G33,'26.09 Kasangati-Matugga-24h'!G33,'28.09 Kasangati-Matugga-24h'!G33,'29.09 Kasangati-Matugga'!G33)</f>
        <v>0</v>
      </c>
      <c r="H33" s="49">
        <f>AVERAGE('23.09- Kasangati-Matuga'!H33,'24.09 Kasangati-Matugga'!H33,'25.09 Kasangati-Matugga'!H33,'27.09 Matugga-Kasangati'!H33,'26.09 Kasangati-Matugga-24h'!H33,'28.09 Kasangati-Matugga-24h'!H33,'29.09 Kasangati-Matugga'!H33)</f>
        <v>0</v>
      </c>
      <c r="I33" s="49">
        <f>AVERAGE('23.09- Kasangati-Matuga'!I33,'24.09 Kasangati-Matugga'!I33,'25.09 Kasangati-Matugga'!I33,'27.09 Matugga-Kasangati'!I33,'26.09 Kasangati-Matugga-24h'!I33,'28.09 Kasangati-Matugga-24h'!I33,'29.09 Kasangati-Matugga'!I33)</f>
        <v>2.1428571428571428</v>
      </c>
      <c r="J33" s="49">
        <f>AVERAGE('23.09- Kasangati-Matuga'!J33,'24.09 Kasangati-Matugga'!J33,'25.09 Kasangati-Matugga'!J33,'27.09 Matugga-Kasangati'!J33,'26.09 Kasangati-Matugga-24h'!J33,'28.09 Kasangati-Matugga-24h'!J33,'29.09 Kasangati-Matugga'!J33)</f>
        <v>0.8571428571428571</v>
      </c>
      <c r="K33" s="49">
        <f>AVERAGE('23.09- Kasangati-Matuga'!K33,'24.09 Kasangati-Matugga'!K33,'25.09 Kasangati-Matugga'!K33,'27.09 Matugga-Kasangati'!K33,'26.09 Kasangati-Matugga-24h'!K33,'28.09 Kasangati-Matugga-24h'!K33,'29.09 Kasangati-Matugga'!K33)</f>
        <v>0.7142857142857143</v>
      </c>
      <c r="L33" s="49">
        <f>AVERAGE('23.09- Kasangati-Matuga'!L33,'24.09 Kasangati-Matugga'!L33,'25.09 Kasangati-Matugga'!L33,'27.09 Matugga-Kasangati'!L33,'26.09 Kasangati-Matugga-24h'!L33,'28.09 Kasangati-Matugga-24h'!L33,'29.09 Kasangati-Matugga'!L33)</f>
        <v>0</v>
      </c>
      <c r="M33" s="49">
        <f>AVERAGE('23.09- Kasangati-Matuga'!M33,'24.09 Kasangati-Matugga'!M33,'25.09 Kasangati-Matugga'!M33,'27.09 Matugga-Kasangati'!M33,'26.09 Kasangati-Matugga-24h'!M33,'28.09 Kasangati-Matugga-24h'!M33,'29.09 Kasangati-Matugga'!M33)</f>
        <v>34</v>
      </c>
      <c r="N33" s="49">
        <f>AVERAGE('23.09- Kasangati-Matuga'!N33,'24.09 Kasangati-Matugga'!N33,'25.09 Kasangati-Matugga'!N33,'27.09 Matugga-Kasangati'!N33,'26.09 Kasangati-Matugga-24h'!N33,'28.09 Kasangati-Matugga-24h'!N33,'29.09 Kasangati-Matugga'!N33)</f>
        <v>0</v>
      </c>
      <c r="O33" s="15">
        <f t="shared" si="0"/>
        <v>21.428571428571427</v>
      </c>
      <c r="P33" s="15">
        <f t="shared" si="1"/>
        <v>55.428571428571431</v>
      </c>
      <c r="R33" s="102" t="s">
        <v>157</v>
      </c>
      <c r="S33" s="133">
        <f>SUM(C102:C105)</f>
        <v>17.5</v>
      </c>
      <c r="T33" s="133">
        <f t="shared" ref="T33:AF33" si="25">SUM(D102:D105)</f>
        <v>1</v>
      </c>
      <c r="U33" s="133">
        <f t="shared" si="25"/>
        <v>1</v>
      </c>
      <c r="V33" s="133">
        <f t="shared" si="25"/>
        <v>7.5</v>
      </c>
      <c r="W33" s="133">
        <f t="shared" si="25"/>
        <v>0.5</v>
      </c>
      <c r="X33" s="133">
        <f t="shared" si="25"/>
        <v>0</v>
      </c>
      <c r="Y33" s="133">
        <f t="shared" si="25"/>
        <v>7</v>
      </c>
      <c r="Z33" s="133">
        <f t="shared" si="25"/>
        <v>0.5</v>
      </c>
      <c r="AA33" s="133">
        <f t="shared" si="25"/>
        <v>0.5</v>
      </c>
      <c r="AB33" s="133">
        <f t="shared" si="25"/>
        <v>0.5</v>
      </c>
      <c r="AC33" s="133">
        <f t="shared" si="25"/>
        <v>70</v>
      </c>
      <c r="AD33" s="133">
        <f t="shared" si="25"/>
        <v>0</v>
      </c>
      <c r="AE33" s="146">
        <f t="shared" si="25"/>
        <v>36</v>
      </c>
      <c r="AF33" s="146">
        <f t="shared" si="25"/>
        <v>106</v>
      </c>
    </row>
    <row r="34" spans="2:32" ht="23.1" customHeight="1" x14ac:dyDescent="0.25">
      <c r="B34" s="24" t="s">
        <v>61</v>
      </c>
      <c r="C34" s="49">
        <f>AVERAGE('23.09- Kasangati-Matuga'!C34,'24.09 Kasangati-Matugga'!C34,'25.09 Kasangati-Matugga'!C34,'27.09 Matugga-Kasangati'!C34,'26.09 Kasangati-Matugga-24h'!C34,'28.09 Kasangati-Matugga-24h'!C34,'29.09 Kasangati-Matugga'!C34)</f>
        <v>7.5714285714285712</v>
      </c>
      <c r="D34" s="49">
        <f>AVERAGE('23.09- Kasangati-Matuga'!D34,'24.09 Kasangati-Matugga'!D34,'25.09 Kasangati-Matugga'!D34,'27.09 Matugga-Kasangati'!D34,'26.09 Kasangati-Matugga-24h'!D34,'28.09 Kasangati-Matugga-24h'!D34,'29.09 Kasangati-Matugga'!D34)</f>
        <v>4.7142857142857144</v>
      </c>
      <c r="E34" s="49">
        <f>AVERAGE('23.09- Kasangati-Matuga'!E34,'24.09 Kasangati-Matugga'!E34,'25.09 Kasangati-Matugga'!E34,'27.09 Matugga-Kasangati'!E34,'26.09 Kasangati-Matugga-24h'!E34,'28.09 Kasangati-Matugga-24h'!E34,'29.09 Kasangati-Matugga'!E34)</f>
        <v>2.2857142857142856</v>
      </c>
      <c r="F34" s="49">
        <f>AVERAGE('23.09- Kasangati-Matuga'!F34,'24.09 Kasangati-Matugga'!F34,'25.09 Kasangati-Matugga'!F34,'27.09 Matugga-Kasangati'!F34,'26.09 Kasangati-Matugga-24h'!F34,'28.09 Kasangati-Matugga-24h'!F34,'29.09 Kasangati-Matugga'!F34)</f>
        <v>2.4285714285714284</v>
      </c>
      <c r="G34" s="49">
        <f>AVERAGE('23.09- Kasangati-Matuga'!G34,'24.09 Kasangati-Matugga'!G34,'25.09 Kasangati-Matugga'!G34,'27.09 Matugga-Kasangati'!G34,'26.09 Kasangati-Matugga-24h'!G34,'28.09 Kasangati-Matugga-24h'!G34,'29.09 Kasangati-Matugga'!G34)</f>
        <v>0.42857142857142855</v>
      </c>
      <c r="H34" s="49">
        <f>AVERAGE('23.09- Kasangati-Matuga'!H34,'24.09 Kasangati-Matugga'!H34,'25.09 Kasangati-Matugga'!H34,'27.09 Matugga-Kasangati'!H34,'26.09 Kasangati-Matugga-24h'!H34,'28.09 Kasangati-Matugga-24h'!H34,'29.09 Kasangati-Matugga'!H34)</f>
        <v>0</v>
      </c>
      <c r="I34" s="49">
        <f>AVERAGE('23.09- Kasangati-Matuga'!I34,'24.09 Kasangati-Matugga'!I34,'25.09 Kasangati-Matugga'!I34,'27.09 Matugga-Kasangati'!I34,'26.09 Kasangati-Matugga-24h'!I34,'28.09 Kasangati-Matugga-24h'!I34,'29.09 Kasangati-Matugga'!I34)</f>
        <v>2.1428571428571428</v>
      </c>
      <c r="J34" s="49">
        <f>AVERAGE('23.09- Kasangati-Matuga'!J34,'24.09 Kasangati-Matugga'!J34,'25.09 Kasangati-Matugga'!J34,'27.09 Matugga-Kasangati'!J34,'26.09 Kasangati-Matugga-24h'!J34,'28.09 Kasangati-Matugga-24h'!J34,'29.09 Kasangati-Matugga'!J34)</f>
        <v>0.7142857142857143</v>
      </c>
      <c r="K34" s="49">
        <f>AVERAGE('23.09- Kasangati-Matuga'!K34,'24.09 Kasangati-Matugga'!K34,'25.09 Kasangati-Matugga'!K34,'27.09 Matugga-Kasangati'!K34,'26.09 Kasangati-Matugga-24h'!K34,'28.09 Kasangati-Matugga-24h'!K34,'29.09 Kasangati-Matugga'!K34)</f>
        <v>0.2857142857142857</v>
      </c>
      <c r="L34" s="49">
        <f>AVERAGE('23.09- Kasangati-Matuga'!L34,'24.09 Kasangati-Matugga'!L34,'25.09 Kasangati-Matugga'!L34,'27.09 Matugga-Kasangati'!L34,'26.09 Kasangati-Matugga-24h'!L34,'28.09 Kasangati-Matugga-24h'!L34,'29.09 Kasangati-Matugga'!L34)</f>
        <v>0.14285714285714285</v>
      </c>
      <c r="M34" s="49">
        <f>AVERAGE('23.09- Kasangati-Matuga'!M34,'24.09 Kasangati-Matugga'!M34,'25.09 Kasangati-Matugga'!M34,'27.09 Matugga-Kasangati'!M34,'26.09 Kasangati-Matugga-24h'!M34,'28.09 Kasangati-Matugga-24h'!M34,'29.09 Kasangati-Matugga'!M34)</f>
        <v>32.857142857142854</v>
      </c>
      <c r="N34" s="49">
        <f>AVERAGE('23.09- Kasangati-Matuga'!N34,'24.09 Kasangati-Matugga'!N34,'25.09 Kasangati-Matugga'!N34,'27.09 Matugga-Kasangati'!N34,'26.09 Kasangati-Matugga-24h'!N34,'28.09 Kasangati-Matugga-24h'!N34,'29.09 Kasangati-Matugga'!N34)</f>
        <v>0</v>
      </c>
      <c r="O34" s="15">
        <f t="shared" si="0"/>
        <v>20.714285714285708</v>
      </c>
      <c r="P34" s="15">
        <f t="shared" si="1"/>
        <v>53.571428571428562</v>
      </c>
      <c r="R34" s="38" t="s">
        <v>90</v>
      </c>
      <c r="S34" s="39">
        <f t="shared" ref="S34:AF34" si="26">MAX(S10:S12)</f>
        <v>46.857142857142861</v>
      </c>
      <c r="T34" s="39">
        <f t="shared" si="26"/>
        <v>15.714285714285715</v>
      </c>
      <c r="U34" s="39">
        <f t="shared" si="26"/>
        <v>10</v>
      </c>
      <c r="V34" s="39">
        <f t="shared" si="26"/>
        <v>14.857142857142856</v>
      </c>
      <c r="W34" s="39">
        <f t="shared" si="26"/>
        <v>0.5714285714285714</v>
      </c>
      <c r="X34" s="39">
        <f t="shared" si="26"/>
        <v>0.14285714285714285</v>
      </c>
      <c r="Y34" s="39">
        <f t="shared" si="26"/>
        <v>8.7142857142857153</v>
      </c>
      <c r="Z34" s="39">
        <f t="shared" si="26"/>
        <v>2.4285714285714288</v>
      </c>
      <c r="AA34" s="39">
        <f t="shared" si="26"/>
        <v>0.99999999999999989</v>
      </c>
      <c r="AB34" s="39">
        <f t="shared" si="26"/>
        <v>0.85714285714285698</v>
      </c>
      <c r="AC34" s="39">
        <f t="shared" si="26"/>
        <v>186.14285714285714</v>
      </c>
      <c r="AD34" s="39">
        <f t="shared" si="26"/>
        <v>0.14285714285714285</v>
      </c>
      <c r="AE34" s="40">
        <f t="shared" si="26"/>
        <v>93.857142857142861</v>
      </c>
      <c r="AF34" s="40">
        <f t="shared" si="26"/>
        <v>273.57142857142856</v>
      </c>
    </row>
    <row r="35" spans="2:32" ht="23.1" customHeight="1" x14ac:dyDescent="0.25">
      <c r="B35" s="24" t="s">
        <v>62</v>
      </c>
      <c r="C35" s="49">
        <f>AVERAGE('23.09- Kasangati-Matuga'!C35,'24.09 Kasangati-Matugga'!C35,'25.09 Kasangati-Matugga'!C35,'27.09 Matugga-Kasangati'!C35,'26.09 Kasangati-Matugga-24h'!C35,'28.09 Kasangati-Matugga-24h'!C35,'29.09 Kasangati-Matugga'!C35)</f>
        <v>9.8571428571428577</v>
      </c>
      <c r="D35" s="49">
        <f>AVERAGE('23.09- Kasangati-Matuga'!D35,'24.09 Kasangati-Matugga'!D35,'25.09 Kasangati-Matugga'!D35,'27.09 Matugga-Kasangati'!D35,'26.09 Kasangati-Matugga-24h'!D35,'28.09 Kasangati-Matugga-24h'!D35,'29.09 Kasangati-Matugga'!D35)</f>
        <v>3.4285714285714284</v>
      </c>
      <c r="E35" s="49">
        <f>AVERAGE('23.09- Kasangati-Matuga'!E35,'24.09 Kasangati-Matugga'!E35,'25.09 Kasangati-Matugga'!E35,'27.09 Matugga-Kasangati'!E35,'26.09 Kasangati-Matugga-24h'!E35,'28.09 Kasangati-Matugga-24h'!E35,'29.09 Kasangati-Matugga'!E35)</f>
        <v>1.5714285714285714</v>
      </c>
      <c r="F35" s="49">
        <f>AVERAGE('23.09- Kasangati-Matuga'!F35,'24.09 Kasangati-Matugga'!F35,'25.09 Kasangati-Matugga'!F35,'27.09 Matugga-Kasangati'!F35,'26.09 Kasangati-Matugga-24h'!F35,'28.09 Kasangati-Matugga-24h'!F35,'29.09 Kasangati-Matugga'!F35)</f>
        <v>2.5714285714285716</v>
      </c>
      <c r="G35" s="49">
        <f>AVERAGE('23.09- Kasangati-Matuga'!G35,'24.09 Kasangati-Matugga'!G35,'25.09 Kasangati-Matugga'!G35,'27.09 Matugga-Kasangati'!G35,'26.09 Kasangati-Matugga-24h'!G35,'28.09 Kasangati-Matugga-24h'!G35,'29.09 Kasangati-Matugga'!G35)</f>
        <v>0</v>
      </c>
      <c r="H35" s="49">
        <f>AVERAGE('23.09- Kasangati-Matuga'!H35,'24.09 Kasangati-Matugga'!H35,'25.09 Kasangati-Matugga'!H35,'27.09 Matugga-Kasangati'!H35,'26.09 Kasangati-Matugga-24h'!H35,'28.09 Kasangati-Matugga-24h'!H35,'29.09 Kasangati-Matugga'!H35)</f>
        <v>0</v>
      </c>
      <c r="I35" s="49">
        <f>AVERAGE('23.09- Kasangati-Matuga'!I35,'24.09 Kasangati-Matugga'!I35,'25.09 Kasangati-Matugga'!I35,'27.09 Matugga-Kasangati'!I35,'26.09 Kasangati-Matugga-24h'!I35,'28.09 Kasangati-Matugga-24h'!I35,'29.09 Kasangati-Matugga'!I35)</f>
        <v>2.2857142857142856</v>
      </c>
      <c r="J35" s="49">
        <f>AVERAGE('23.09- Kasangati-Matuga'!J35,'24.09 Kasangati-Matugga'!J35,'25.09 Kasangati-Matugga'!J35,'27.09 Matugga-Kasangati'!J35,'26.09 Kasangati-Matugga-24h'!J35,'28.09 Kasangati-Matugga-24h'!J35,'29.09 Kasangati-Matugga'!J35)</f>
        <v>0.2857142857142857</v>
      </c>
      <c r="K35" s="49">
        <f>AVERAGE('23.09- Kasangati-Matuga'!K35,'24.09 Kasangati-Matugga'!K35,'25.09 Kasangati-Matugga'!K35,'27.09 Matugga-Kasangati'!K35,'26.09 Kasangati-Matugga-24h'!K35,'28.09 Kasangati-Matugga-24h'!K35,'29.09 Kasangati-Matugga'!K35)</f>
        <v>0.14285714285714285</v>
      </c>
      <c r="L35" s="49">
        <f>AVERAGE('23.09- Kasangati-Matuga'!L35,'24.09 Kasangati-Matugga'!L35,'25.09 Kasangati-Matugga'!L35,'27.09 Matugga-Kasangati'!L35,'26.09 Kasangati-Matugga-24h'!L35,'28.09 Kasangati-Matugga-24h'!L35,'29.09 Kasangati-Matugga'!L35)</f>
        <v>0</v>
      </c>
      <c r="M35" s="49">
        <f>AVERAGE('23.09- Kasangati-Matuga'!M35,'24.09 Kasangati-Matugga'!M35,'25.09 Kasangati-Matugga'!M35,'27.09 Matugga-Kasangati'!M35,'26.09 Kasangati-Matugga-24h'!M35,'28.09 Kasangati-Matugga-24h'!M35,'29.09 Kasangati-Matugga'!M35)</f>
        <v>32</v>
      </c>
      <c r="N35" s="49">
        <f>AVERAGE('23.09- Kasangati-Matuga'!N35,'24.09 Kasangati-Matugga'!N35,'25.09 Kasangati-Matugga'!N35,'27.09 Matugga-Kasangati'!N35,'26.09 Kasangati-Matugga-24h'!N35,'28.09 Kasangati-Matugga-24h'!N35,'29.09 Kasangati-Matugga'!N35)</f>
        <v>0</v>
      </c>
      <c r="O35" s="15">
        <f t="shared" si="0"/>
        <v>20.142857142857142</v>
      </c>
      <c r="P35" s="15">
        <f t="shared" si="1"/>
        <v>52.142857142857139</v>
      </c>
      <c r="R35" s="38" t="s">
        <v>91</v>
      </c>
      <c r="S35" s="39">
        <f t="shared" ref="S35:AF35" si="27">MAX(S13:S18)</f>
        <v>39.714285714285715</v>
      </c>
      <c r="T35" s="39">
        <f t="shared" si="27"/>
        <v>19</v>
      </c>
      <c r="U35" s="39">
        <f t="shared" si="27"/>
        <v>11.571428571428569</v>
      </c>
      <c r="V35" s="39">
        <f t="shared" si="27"/>
        <v>10.571428571428571</v>
      </c>
      <c r="W35" s="39">
        <f t="shared" si="27"/>
        <v>0.8571428571428571</v>
      </c>
      <c r="X35" s="39">
        <f t="shared" si="27"/>
        <v>0.14285714285714285</v>
      </c>
      <c r="Y35" s="39">
        <f t="shared" si="27"/>
        <v>12</v>
      </c>
      <c r="Z35" s="39">
        <f t="shared" si="27"/>
        <v>4.5714285714285721</v>
      </c>
      <c r="AA35" s="39">
        <f t="shared" si="27"/>
        <v>1.5714285714285712</v>
      </c>
      <c r="AB35" s="39">
        <f t="shared" si="27"/>
        <v>0.71428571428571419</v>
      </c>
      <c r="AC35" s="39">
        <f t="shared" si="27"/>
        <v>153</v>
      </c>
      <c r="AD35" s="39">
        <f t="shared" si="27"/>
        <v>8</v>
      </c>
      <c r="AE35" s="40">
        <f t="shared" si="27"/>
        <v>97.428571428571416</v>
      </c>
      <c r="AF35" s="40">
        <f t="shared" si="27"/>
        <v>250.42857142857142</v>
      </c>
    </row>
    <row r="36" spans="2:32" ht="23.1" customHeight="1" x14ac:dyDescent="0.25">
      <c r="B36" s="24" t="s">
        <v>63</v>
      </c>
      <c r="C36" s="49">
        <f>AVERAGE('23.09- Kasangati-Matuga'!C36,'24.09 Kasangati-Matugga'!C36,'25.09 Kasangati-Matugga'!C36,'27.09 Matugga-Kasangati'!C36,'26.09 Kasangati-Matugga-24h'!C36,'28.09 Kasangati-Matugga-24h'!C36,'29.09 Kasangati-Matugga'!C36)</f>
        <v>10.857142857142858</v>
      </c>
      <c r="D36" s="49">
        <f>AVERAGE('23.09- Kasangati-Matuga'!D36,'24.09 Kasangati-Matugga'!D36,'25.09 Kasangati-Matugga'!D36,'27.09 Matugga-Kasangati'!D36,'26.09 Kasangati-Matugga-24h'!D36,'28.09 Kasangati-Matugga-24h'!D36,'29.09 Kasangati-Matugga'!D36)</f>
        <v>4.4285714285714288</v>
      </c>
      <c r="E36" s="49">
        <f>AVERAGE('23.09- Kasangati-Matuga'!E36,'24.09 Kasangati-Matugga'!E36,'25.09 Kasangati-Matugga'!E36,'27.09 Matugga-Kasangati'!E36,'26.09 Kasangati-Matugga-24h'!E36,'28.09 Kasangati-Matugga-24h'!E36,'29.09 Kasangati-Matugga'!E36)</f>
        <v>2.5714285714285716</v>
      </c>
      <c r="F36" s="49">
        <f>AVERAGE('23.09- Kasangati-Matuga'!F36,'24.09 Kasangati-Matugga'!F36,'25.09 Kasangati-Matugga'!F36,'27.09 Matugga-Kasangati'!F36,'26.09 Kasangati-Matugga-24h'!F36,'28.09 Kasangati-Matugga-24h'!F36,'29.09 Kasangati-Matugga'!F36)</f>
        <v>2</v>
      </c>
      <c r="G36" s="49">
        <f>AVERAGE('23.09- Kasangati-Matuga'!G36,'24.09 Kasangati-Matugga'!G36,'25.09 Kasangati-Matugga'!G36,'27.09 Matugga-Kasangati'!G36,'26.09 Kasangati-Matugga-24h'!G36,'28.09 Kasangati-Matugga-24h'!G36,'29.09 Kasangati-Matugga'!G36)</f>
        <v>0</v>
      </c>
      <c r="H36" s="49">
        <f>AVERAGE('23.09- Kasangati-Matuga'!H36,'24.09 Kasangati-Matugga'!H36,'25.09 Kasangati-Matugga'!H36,'27.09 Matugga-Kasangati'!H36,'26.09 Kasangati-Matugga-24h'!H36,'28.09 Kasangati-Matugga-24h'!H36,'29.09 Kasangati-Matugga'!H36)</f>
        <v>0</v>
      </c>
      <c r="I36" s="49">
        <f>AVERAGE('23.09- Kasangati-Matuga'!I36,'24.09 Kasangati-Matugga'!I36,'25.09 Kasangati-Matugga'!I36,'27.09 Matugga-Kasangati'!I36,'26.09 Kasangati-Matugga-24h'!I36,'28.09 Kasangati-Matugga-24h'!I36,'29.09 Kasangati-Matugga'!I36)</f>
        <v>2.4285714285714284</v>
      </c>
      <c r="J36" s="49">
        <f>AVERAGE('23.09- Kasangati-Matuga'!J36,'24.09 Kasangati-Matugga'!J36,'25.09 Kasangati-Matugga'!J36,'27.09 Matugga-Kasangati'!J36,'26.09 Kasangati-Matugga-24h'!J36,'28.09 Kasangati-Matugga-24h'!J36,'29.09 Kasangati-Matugga'!J36)</f>
        <v>0.8571428571428571</v>
      </c>
      <c r="K36" s="49">
        <f>AVERAGE('23.09- Kasangati-Matuga'!K36,'24.09 Kasangati-Matugga'!K36,'25.09 Kasangati-Matugga'!K36,'27.09 Matugga-Kasangati'!K36,'26.09 Kasangati-Matugga-24h'!K36,'28.09 Kasangati-Matugga-24h'!K36,'29.09 Kasangati-Matugga'!K36)</f>
        <v>0.14285714285714285</v>
      </c>
      <c r="L36" s="49">
        <f>AVERAGE('23.09- Kasangati-Matuga'!L36,'24.09 Kasangati-Matugga'!L36,'25.09 Kasangati-Matugga'!L36,'27.09 Matugga-Kasangati'!L36,'26.09 Kasangati-Matugga-24h'!L36,'28.09 Kasangati-Matugga-24h'!L36,'29.09 Kasangati-Matugga'!L36)</f>
        <v>0</v>
      </c>
      <c r="M36" s="49">
        <f>AVERAGE('23.09- Kasangati-Matuga'!M36,'24.09 Kasangati-Matugga'!M36,'25.09 Kasangati-Matugga'!M36,'27.09 Matugga-Kasangati'!M36,'26.09 Kasangati-Matugga-24h'!M36,'28.09 Kasangati-Matugga-24h'!M36,'29.09 Kasangati-Matugga'!M36)</f>
        <v>26.571428571428573</v>
      </c>
      <c r="N36" s="49">
        <f>AVERAGE('23.09- Kasangati-Matuga'!N36,'24.09 Kasangati-Matugga'!N36,'25.09 Kasangati-Matugga'!N36,'27.09 Matugga-Kasangati'!N36,'26.09 Kasangati-Matugga-24h'!N36,'28.09 Kasangati-Matugga-24h'!N36,'29.09 Kasangati-Matugga'!N36)</f>
        <v>0</v>
      </c>
      <c r="O36" s="15">
        <f t="shared" si="0"/>
        <v>23.285714285714285</v>
      </c>
      <c r="P36" s="15">
        <f t="shared" si="1"/>
        <v>49.857142857142861</v>
      </c>
      <c r="R36" s="38" t="s">
        <v>92</v>
      </c>
      <c r="S36" s="39">
        <f t="shared" ref="S36:AF36" si="28">MAX(S19:S21)</f>
        <v>54.142857142857139</v>
      </c>
      <c r="T36" s="39">
        <f t="shared" si="28"/>
        <v>27.285714285714285</v>
      </c>
      <c r="U36" s="39">
        <f t="shared" si="28"/>
        <v>11.428571428571429</v>
      </c>
      <c r="V36" s="39">
        <f t="shared" si="28"/>
        <v>19.857142857142858</v>
      </c>
      <c r="W36" s="39">
        <f t="shared" si="28"/>
        <v>0.8571428571428571</v>
      </c>
      <c r="X36" s="39">
        <f t="shared" si="28"/>
        <v>0.5714285714285714</v>
      </c>
      <c r="Y36" s="39">
        <f t="shared" si="28"/>
        <v>8.8571428571428577</v>
      </c>
      <c r="Z36" s="39">
        <f t="shared" si="28"/>
        <v>3.2857142857142856</v>
      </c>
      <c r="AA36" s="39">
        <f t="shared" si="28"/>
        <v>1</v>
      </c>
      <c r="AB36" s="39">
        <f t="shared" si="28"/>
        <v>0.8571428571428571</v>
      </c>
      <c r="AC36" s="39">
        <f t="shared" si="28"/>
        <v>170.85714285714283</v>
      </c>
      <c r="AD36" s="39">
        <f t="shared" si="28"/>
        <v>0.14285714285714285</v>
      </c>
      <c r="AE36" s="40">
        <f t="shared" si="28"/>
        <v>120.85714285714285</v>
      </c>
      <c r="AF36" s="40">
        <f t="shared" si="28"/>
        <v>291.71428571428572</v>
      </c>
    </row>
    <row r="37" spans="2:32" ht="23.1" customHeight="1" x14ac:dyDescent="0.25">
      <c r="B37" s="23" t="s">
        <v>64</v>
      </c>
      <c r="C37" s="49">
        <f>AVERAGE('23.09- Kasangati-Matuga'!C37,'24.09 Kasangati-Matugga'!C37,'25.09 Kasangati-Matugga'!C37,'27.09 Matugga-Kasangati'!C37,'26.09 Kasangati-Matugga-24h'!C37,'28.09 Kasangati-Matugga-24h'!C37,'29.09 Kasangati-Matugga'!C37)</f>
        <v>11.428571428571429</v>
      </c>
      <c r="D37" s="49">
        <f>AVERAGE('23.09- Kasangati-Matuga'!D37,'24.09 Kasangati-Matugga'!D37,'25.09 Kasangati-Matugga'!D37,'27.09 Matugga-Kasangati'!D37,'26.09 Kasangati-Matugga-24h'!D37,'28.09 Kasangati-Matugga-24h'!D37,'29.09 Kasangati-Matugga'!D37)</f>
        <v>4.5714285714285712</v>
      </c>
      <c r="E37" s="49">
        <f>AVERAGE('23.09- Kasangati-Matuga'!E37,'24.09 Kasangati-Matugga'!E37,'25.09 Kasangati-Matugga'!E37,'27.09 Matugga-Kasangati'!E37,'26.09 Kasangati-Matugga-24h'!E37,'28.09 Kasangati-Matugga-24h'!E37,'29.09 Kasangati-Matugga'!E37)</f>
        <v>2.8571428571428572</v>
      </c>
      <c r="F37" s="49">
        <f>AVERAGE('23.09- Kasangati-Matuga'!F37,'24.09 Kasangati-Matugga'!F37,'25.09 Kasangati-Matugga'!F37,'27.09 Matugga-Kasangati'!F37,'26.09 Kasangati-Matugga-24h'!F37,'28.09 Kasangati-Matugga-24h'!F37,'29.09 Kasangati-Matugga'!F37)</f>
        <v>3.5714285714285716</v>
      </c>
      <c r="G37" s="49">
        <f>AVERAGE('23.09- Kasangati-Matuga'!G37,'24.09 Kasangati-Matugga'!G37,'25.09 Kasangati-Matugga'!G37,'27.09 Matugga-Kasangati'!G37,'26.09 Kasangati-Matugga-24h'!G37,'28.09 Kasangati-Matugga-24h'!G37,'29.09 Kasangati-Matugga'!G37)</f>
        <v>0.14285714285714285</v>
      </c>
      <c r="H37" s="49">
        <f>AVERAGE('23.09- Kasangati-Matuga'!H37,'24.09 Kasangati-Matugga'!H37,'25.09 Kasangati-Matugga'!H37,'27.09 Matugga-Kasangati'!H37,'26.09 Kasangati-Matugga-24h'!H37,'28.09 Kasangati-Matugga-24h'!H37,'29.09 Kasangati-Matugga'!H37)</f>
        <v>0</v>
      </c>
      <c r="I37" s="49">
        <f>AVERAGE('23.09- Kasangati-Matuga'!I37,'24.09 Kasangati-Matugga'!I37,'25.09 Kasangati-Matugga'!I37,'27.09 Matugga-Kasangati'!I37,'26.09 Kasangati-Matugga-24h'!I37,'28.09 Kasangati-Matugga-24h'!I37,'29.09 Kasangati-Matugga'!I37)</f>
        <v>2.7142857142857144</v>
      </c>
      <c r="J37" s="49">
        <f>AVERAGE('23.09- Kasangati-Matuga'!J37,'24.09 Kasangati-Matugga'!J37,'25.09 Kasangati-Matugga'!J37,'27.09 Matugga-Kasangati'!J37,'26.09 Kasangati-Matugga-24h'!J37,'28.09 Kasangati-Matugga-24h'!J37,'29.09 Kasangati-Matugga'!J37)</f>
        <v>0.5714285714285714</v>
      </c>
      <c r="K37" s="49">
        <f>AVERAGE('23.09- Kasangati-Matuga'!K37,'24.09 Kasangati-Matugga'!K37,'25.09 Kasangati-Matugga'!K37,'27.09 Matugga-Kasangati'!K37,'26.09 Kasangati-Matugga-24h'!K37,'28.09 Kasangati-Matugga-24h'!K37,'29.09 Kasangati-Matugga'!K37)</f>
        <v>0.2857142857142857</v>
      </c>
      <c r="L37" s="49">
        <f>AVERAGE('23.09- Kasangati-Matuga'!L37,'24.09 Kasangati-Matugga'!L37,'25.09 Kasangati-Matugga'!L37,'27.09 Matugga-Kasangati'!L37,'26.09 Kasangati-Matugga-24h'!L37,'28.09 Kasangati-Matugga-24h'!L37,'29.09 Kasangati-Matugga'!L37)</f>
        <v>0</v>
      </c>
      <c r="M37" s="49">
        <f>AVERAGE('23.09- Kasangati-Matuga'!M37,'24.09 Kasangati-Matugga'!M37,'25.09 Kasangati-Matugga'!M37,'27.09 Matugga-Kasangati'!M37,'26.09 Kasangati-Matugga-24h'!M37,'28.09 Kasangati-Matugga-24h'!M37,'29.09 Kasangati-Matugga'!M37)</f>
        <v>31.571428571428573</v>
      </c>
      <c r="N37" s="49">
        <f>AVERAGE('23.09- Kasangati-Matuga'!N37,'24.09 Kasangati-Matugga'!N37,'25.09 Kasangati-Matugga'!N37,'27.09 Matugga-Kasangati'!N37,'26.09 Kasangati-Matugga-24h'!N37,'28.09 Kasangati-Matugga-24h'!N37,'29.09 Kasangati-Matugga'!N37)</f>
        <v>0</v>
      </c>
      <c r="O37" s="15">
        <f t="shared" si="0"/>
        <v>26.142857142857146</v>
      </c>
      <c r="P37" s="15">
        <f t="shared" si="1"/>
        <v>57.714285714285722</v>
      </c>
      <c r="R37" s="37" t="s">
        <v>85</v>
      </c>
      <c r="S37" s="35">
        <f t="shared" ref="S37:AF37" si="29">SUM(S10:S12)</f>
        <v>124.57142857142857</v>
      </c>
      <c r="T37" s="16">
        <f t="shared" si="29"/>
        <v>44.571428571428569</v>
      </c>
      <c r="U37" s="16">
        <f t="shared" si="29"/>
        <v>25</v>
      </c>
      <c r="V37" s="16">
        <f t="shared" si="29"/>
        <v>37</v>
      </c>
      <c r="W37" s="16">
        <f t="shared" si="29"/>
        <v>0.5714285714285714</v>
      </c>
      <c r="X37" s="16">
        <f t="shared" si="29"/>
        <v>0.14285714285714285</v>
      </c>
      <c r="Y37" s="16">
        <f t="shared" si="29"/>
        <v>22.428571428571431</v>
      </c>
      <c r="Z37" s="16">
        <f t="shared" si="29"/>
        <v>6.8571428571428577</v>
      </c>
      <c r="AA37" s="16">
        <f t="shared" si="29"/>
        <v>1.857142857142857</v>
      </c>
      <c r="AB37" s="16">
        <f t="shared" si="29"/>
        <v>1.5714285714285714</v>
      </c>
      <c r="AC37" s="16">
        <f t="shared" si="29"/>
        <v>525.57142857142867</v>
      </c>
      <c r="AD37" s="16">
        <f t="shared" si="29"/>
        <v>0.14285714285714285</v>
      </c>
      <c r="AE37" s="32">
        <f t="shared" si="29"/>
        <v>264.71428571428572</v>
      </c>
      <c r="AF37" s="32">
        <f t="shared" si="29"/>
        <v>790.28571428571422</v>
      </c>
    </row>
    <row r="38" spans="2:32" ht="23.1" customHeight="1" x14ac:dyDescent="0.25">
      <c r="B38" s="24" t="s">
        <v>65</v>
      </c>
      <c r="C38" s="49">
        <f>AVERAGE('23.09- Kasangati-Matuga'!C38,'24.09 Kasangati-Matugga'!C38,'25.09 Kasangati-Matugga'!C38,'27.09 Matugga-Kasangati'!C38,'26.09 Kasangati-Matugga-24h'!C38,'28.09 Kasangati-Matugga-24h'!C38,'29.09 Kasangati-Matugga'!C38)</f>
        <v>9.1428571428571423</v>
      </c>
      <c r="D38" s="49">
        <f>AVERAGE('23.09- Kasangati-Matuga'!D38,'24.09 Kasangati-Matugga'!D38,'25.09 Kasangati-Matugga'!D38,'27.09 Matugga-Kasangati'!D38,'26.09 Kasangati-Matugga-24h'!D38,'28.09 Kasangati-Matugga-24h'!D38,'29.09 Kasangati-Matugga'!D38)</f>
        <v>4</v>
      </c>
      <c r="E38" s="49">
        <f>AVERAGE('23.09- Kasangati-Matuga'!E38,'24.09 Kasangati-Matugga'!E38,'25.09 Kasangati-Matugga'!E38,'27.09 Matugga-Kasangati'!E38,'26.09 Kasangati-Matugga-24h'!E38,'28.09 Kasangati-Matugga-24h'!E38,'29.09 Kasangati-Matugga'!E38)</f>
        <v>2.4285714285714284</v>
      </c>
      <c r="F38" s="49">
        <f>AVERAGE('23.09- Kasangati-Matuga'!F38,'24.09 Kasangati-Matugga'!F38,'25.09 Kasangati-Matugga'!F38,'27.09 Matugga-Kasangati'!F38,'26.09 Kasangati-Matugga-24h'!F38,'28.09 Kasangati-Matugga-24h'!F38,'29.09 Kasangati-Matugga'!F38)</f>
        <v>2.7142857142857144</v>
      </c>
      <c r="G38" s="49">
        <f>AVERAGE('23.09- Kasangati-Matuga'!G38,'24.09 Kasangati-Matugga'!G38,'25.09 Kasangati-Matugga'!G38,'27.09 Matugga-Kasangati'!G38,'26.09 Kasangati-Matugga-24h'!G38,'28.09 Kasangati-Matugga-24h'!G38,'29.09 Kasangati-Matugga'!G38)</f>
        <v>0</v>
      </c>
      <c r="H38" s="49">
        <f>AVERAGE('23.09- Kasangati-Matuga'!H38,'24.09 Kasangati-Matugga'!H38,'25.09 Kasangati-Matugga'!H38,'27.09 Matugga-Kasangati'!H38,'26.09 Kasangati-Matugga-24h'!H38,'28.09 Kasangati-Matugga-24h'!H38,'29.09 Kasangati-Matugga'!H38)</f>
        <v>0</v>
      </c>
      <c r="I38" s="49">
        <f>AVERAGE('23.09- Kasangati-Matuga'!I38,'24.09 Kasangati-Matugga'!I38,'25.09 Kasangati-Matugga'!I38,'27.09 Matugga-Kasangati'!I38,'26.09 Kasangati-Matugga-24h'!I38,'28.09 Kasangati-Matugga-24h'!I38,'29.09 Kasangati-Matugga'!I38)</f>
        <v>2.7142857142857144</v>
      </c>
      <c r="J38" s="49">
        <f>AVERAGE('23.09- Kasangati-Matuga'!J38,'24.09 Kasangati-Matugga'!J38,'25.09 Kasangati-Matugga'!J38,'27.09 Matugga-Kasangati'!J38,'26.09 Kasangati-Matugga-24h'!J38,'28.09 Kasangati-Matugga-24h'!J38,'29.09 Kasangati-Matugga'!J38)</f>
        <v>0.5714285714285714</v>
      </c>
      <c r="K38" s="49">
        <f>AVERAGE('23.09- Kasangati-Matuga'!K38,'24.09 Kasangati-Matugga'!K38,'25.09 Kasangati-Matugga'!K38,'27.09 Matugga-Kasangati'!K38,'26.09 Kasangati-Matugga-24h'!K38,'28.09 Kasangati-Matugga-24h'!K38,'29.09 Kasangati-Matugga'!K38)</f>
        <v>0.2857142857142857</v>
      </c>
      <c r="L38" s="49">
        <f>AVERAGE('23.09- Kasangati-Matuga'!L38,'24.09 Kasangati-Matugga'!L38,'25.09 Kasangati-Matugga'!L38,'27.09 Matugga-Kasangati'!L38,'26.09 Kasangati-Matugga-24h'!L38,'28.09 Kasangati-Matugga-24h'!L38,'29.09 Kasangati-Matugga'!L38)</f>
        <v>0.14285714285714285</v>
      </c>
      <c r="M38" s="49">
        <f>AVERAGE('23.09- Kasangati-Matuga'!M38,'24.09 Kasangati-Matugga'!M38,'25.09 Kasangati-Matugga'!M38,'27.09 Matugga-Kasangati'!M38,'26.09 Kasangati-Matugga-24h'!M38,'28.09 Kasangati-Matugga-24h'!M38,'29.09 Kasangati-Matugga'!M38)</f>
        <v>29.142857142857142</v>
      </c>
      <c r="N38" s="49">
        <f>AVERAGE('23.09- Kasangati-Matuga'!N38,'24.09 Kasangati-Matugga'!N38,'25.09 Kasangati-Matugga'!N38,'27.09 Matugga-Kasangati'!N38,'26.09 Kasangati-Matugga-24h'!N38,'28.09 Kasangati-Matugga-24h'!N38,'29.09 Kasangati-Matugga'!N38)</f>
        <v>0</v>
      </c>
      <c r="O38" s="15">
        <f t="shared" si="0"/>
        <v>22</v>
      </c>
      <c r="P38" s="15">
        <f t="shared" si="1"/>
        <v>51.142857142857139</v>
      </c>
      <c r="R38" s="28" t="s">
        <v>86</v>
      </c>
      <c r="S38" s="16">
        <f t="shared" ref="S38:AF38" si="30">SUM(S13:S18)</f>
        <v>227.57142857142858</v>
      </c>
      <c r="T38" s="16">
        <f t="shared" si="30"/>
        <v>94.142857142857139</v>
      </c>
      <c r="U38" s="16">
        <f t="shared" si="30"/>
        <v>59.571428571428569</v>
      </c>
      <c r="V38" s="16">
        <f t="shared" si="30"/>
        <v>54.714285714285715</v>
      </c>
      <c r="W38" s="16">
        <f t="shared" si="30"/>
        <v>2.5714285714285712</v>
      </c>
      <c r="X38" s="16">
        <f t="shared" si="30"/>
        <v>0.14285714285714285</v>
      </c>
      <c r="Y38" s="16">
        <f t="shared" si="30"/>
        <v>59.285714285714285</v>
      </c>
      <c r="Z38" s="16">
        <f t="shared" si="30"/>
        <v>19.857142857142858</v>
      </c>
      <c r="AA38" s="16">
        <f t="shared" si="30"/>
        <v>5</v>
      </c>
      <c r="AB38" s="16">
        <f t="shared" si="30"/>
        <v>2.1428571428571423</v>
      </c>
      <c r="AC38" s="16">
        <f t="shared" si="30"/>
        <v>819.85714285714289</v>
      </c>
      <c r="AD38" s="16">
        <f t="shared" si="30"/>
        <v>8</v>
      </c>
      <c r="AE38" s="32">
        <f t="shared" si="30"/>
        <v>533</v>
      </c>
      <c r="AF38" s="32">
        <f t="shared" si="30"/>
        <v>1352.8571428571427</v>
      </c>
    </row>
    <row r="39" spans="2:32" ht="23.1" customHeight="1" x14ac:dyDescent="0.25">
      <c r="B39" s="24" t="s">
        <v>66</v>
      </c>
      <c r="C39" s="49">
        <f>AVERAGE('23.09- Kasangati-Matuga'!C39,'24.09 Kasangati-Matugga'!C39,'25.09 Kasangati-Matugga'!C39,'27.09 Matugga-Kasangati'!C39,'26.09 Kasangati-Matugga-24h'!C39,'28.09 Kasangati-Matugga-24h'!C39,'29.09 Kasangati-Matugga'!C39)</f>
        <v>7.5714285714285712</v>
      </c>
      <c r="D39" s="49">
        <f>AVERAGE('23.09- Kasangati-Matuga'!D39,'24.09 Kasangati-Matugga'!D39,'25.09 Kasangati-Matugga'!D39,'27.09 Matugga-Kasangati'!D39,'26.09 Kasangati-Matugga-24h'!D39,'28.09 Kasangati-Matugga-24h'!D39,'29.09 Kasangati-Matugga'!D39)</f>
        <v>3.2857142857142856</v>
      </c>
      <c r="E39" s="49">
        <f>AVERAGE('23.09- Kasangati-Matuga'!E39,'24.09 Kasangati-Matugga'!E39,'25.09 Kasangati-Matugga'!E39,'27.09 Matugga-Kasangati'!E39,'26.09 Kasangati-Matugga-24h'!E39,'28.09 Kasangati-Matugga-24h'!E39,'29.09 Kasangati-Matugga'!E39)</f>
        <v>1.4285714285714286</v>
      </c>
      <c r="F39" s="49">
        <f>AVERAGE('23.09- Kasangati-Matuga'!F39,'24.09 Kasangati-Matugga'!F39,'25.09 Kasangati-Matugga'!F39,'27.09 Matugga-Kasangati'!F39,'26.09 Kasangati-Matugga-24h'!F39,'28.09 Kasangati-Matugga-24h'!F39,'29.09 Kasangati-Matugga'!F39)</f>
        <v>1.8571428571428572</v>
      </c>
      <c r="G39" s="49">
        <f>AVERAGE('23.09- Kasangati-Matuga'!G39,'24.09 Kasangati-Matugga'!G39,'25.09 Kasangati-Matugga'!G39,'27.09 Matugga-Kasangati'!G39,'26.09 Kasangati-Matugga-24h'!G39,'28.09 Kasangati-Matugga-24h'!G39,'29.09 Kasangati-Matugga'!G39)</f>
        <v>0</v>
      </c>
      <c r="H39" s="49">
        <f>AVERAGE('23.09- Kasangati-Matuga'!H39,'24.09 Kasangati-Matugga'!H39,'25.09 Kasangati-Matugga'!H39,'27.09 Matugga-Kasangati'!H39,'26.09 Kasangati-Matugga-24h'!H39,'28.09 Kasangati-Matugga-24h'!H39,'29.09 Kasangati-Matugga'!H39)</f>
        <v>0</v>
      </c>
      <c r="I39" s="49">
        <f>AVERAGE('23.09- Kasangati-Matuga'!I39,'24.09 Kasangati-Matugga'!I39,'25.09 Kasangati-Matugga'!I39,'27.09 Matugga-Kasangati'!I39,'26.09 Kasangati-Matugga-24h'!I39,'28.09 Kasangati-Matugga-24h'!I39,'29.09 Kasangati-Matugga'!I39)</f>
        <v>2</v>
      </c>
      <c r="J39" s="49">
        <f>AVERAGE('23.09- Kasangati-Matuga'!J39,'24.09 Kasangati-Matugga'!J39,'25.09 Kasangati-Matugga'!J39,'27.09 Matugga-Kasangati'!J39,'26.09 Kasangati-Matugga-24h'!J39,'28.09 Kasangati-Matugga-24h'!J39,'29.09 Kasangati-Matugga'!J39)</f>
        <v>0.5714285714285714</v>
      </c>
      <c r="K39" s="49">
        <f>AVERAGE('23.09- Kasangati-Matuga'!K39,'24.09 Kasangati-Matugga'!K39,'25.09 Kasangati-Matugga'!K39,'27.09 Matugga-Kasangati'!K39,'26.09 Kasangati-Matugga-24h'!K39,'28.09 Kasangati-Matugga-24h'!K39,'29.09 Kasangati-Matugga'!K39)</f>
        <v>0.42857142857142855</v>
      </c>
      <c r="L39" s="49">
        <f>AVERAGE('23.09- Kasangati-Matuga'!L39,'24.09 Kasangati-Matugga'!L39,'25.09 Kasangati-Matugga'!L39,'27.09 Matugga-Kasangati'!L39,'26.09 Kasangati-Matugga-24h'!L39,'28.09 Kasangati-Matugga-24h'!L39,'29.09 Kasangati-Matugga'!L39)</f>
        <v>0</v>
      </c>
      <c r="M39" s="49">
        <f>AVERAGE('23.09- Kasangati-Matuga'!M39,'24.09 Kasangati-Matugga'!M39,'25.09 Kasangati-Matugga'!M39,'27.09 Matugga-Kasangati'!M39,'26.09 Kasangati-Matugga-24h'!M39,'28.09 Kasangati-Matugga-24h'!M39,'29.09 Kasangati-Matugga'!M39)</f>
        <v>27.571428571428573</v>
      </c>
      <c r="N39" s="49">
        <f>AVERAGE('23.09- Kasangati-Matuga'!N39,'24.09 Kasangati-Matugga'!N39,'25.09 Kasangati-Matugga'!N39,'27.09 Matugga-Kasangati'!N39,'26.09 Kasangati-Matugga-24h'!N39,'28.09 Kasangati-Matugga-24h'!N39,'29.09 Kasangati-Matugga'!N39)</f>
        <v>0</v>
      </c>
      <c r="O39" s="15">
        <f t="shared" si="0"/>
        <v>17.142857142857146</v>
      </c>
      <c r="P39" s="15">
        <f t="shared" si="1"/>
        <v>44.714285714285722</v>
      </c>
      <c r="R39" s="29" t="s">
        <v>87</v>
      </c>
      <c r="S39" s="16">
        <f t="shared" ref="S39:AF39" si="31">SUM(S19:S21)</f>
        <v>160.42857142857142</v>
      </c>
      <c r="T39" s="16">
        <f t="shared" si="31"/>
        <v>69.714285714285722</v>
      </c>
      <c r="U39" s="16">
        <f t="shared" si="31"/>
        <v>31.857142857142854</v>
      </c>
      <c r="V39" s="16">
        <f t="shared" si="31"/>
        <v>48</v>
      </c>
      <c r="W39" s="16">
        <f t="shared" si="31"/>
        <v>1.714285714285714</v>
      </c>
      <c r="X39" s="16">
        <f t="shared" si="31"/>
        <v>1.2857142857142856</v>
      </c>
      <c r="Y39" s="16">
        <f t="shared" si="31"/>
        <v>25.428571428571431</v>
      </c>
      <c r="Z39" s="16">
        <f t="shared" si="31"/>
        <v>8.4285714285714288</v>
      </c>
      <c r="AA39" s="16">
        <f t="shared" si="31"/>
        <v>1.5714285714285714</v>
      </c>
      <c r="AB39" s="16">
        <f t="shared" si="31"/>
        <v>1.7142857142857142</v>
      </c>
      <c r="AC39" s="16">
        <f t="shared" si="31"/>
        <v>478.28571428571428</v>
      </c>
      <c r="AD39" s="16">
        <f t="shared" si="31"/>
        <v>0.14285714285714285</v>
      </c>
      <c r="AE39" s="32">
        <f t="shared" si="31"/>
        <v>350.28571428571428</v>
      </c>
      <c r="AF39" s="32">
        <f t="shared" si="31"/>
        <v>828.57142857142867</v>
      </c>
    </row>
    <row r="40" spans="2:32" ht="23.1" customHeight="1" x14ac:dyDescent="0.25">
      <c r="B40" s="24" t="s">
        <v>67</v>
      </c>
      <c r="C40" s="49">
        <f>AVERAGE('23.09- Kasangati-Matuga'!C40,'24.09 Kasangati-Matugga'!C40,'25.09 Kasangati-Matugga'!C40,'27.09 Matugga-Kasangati'!C40,'26.09 Kasangati-Matugga-24h'!C40,'28.09 Kasangati-Matugga-24h'!C40,'29.09 Kasangati-Matugga'!C40)</f>
        <v>10.428571428571429</v>
      </c>
      <c r="D40" s="49">
        <f>AVERAGE('23.09- Kasangati-Matuga'!D40,'24.09 Kasangati-Matugga'!D40,'25.09 Kasangati-Matugga'!D40,'27.09 Matugga-Kasangati'!D40,'26.09 Kasangati-Matugga-24h'!D40,'28.09 Kasangati-Matugga-24h'!D40,'29.09 Kasangati-Matugga'!D40)</f>
        <v>2.7142857142857144</v>
      </c>
      <c r="E40" s="49">
        <f>AVERAGE('23.09- Kasangati-Matuga'!E40,'24.09 Kasangati-Matugga'!E40,'25.09 Kasangati-Matugga'!E40,'27.09 Matugga-Kasangati'!E40,'26.09 Kasangati-Matugga-24h'!E40,'28.09 Kasangati-Matugga-24h'!E40,'29.09 Kasangati-Matugga'!E40)</f>
        <v>2.7142857142857144</v>
      </c>
      <c r="F40" s="49">
        <f>AVERAGE('23.09- Kasangati-Matuga'!F40,'24.09 Kasangati-Matugga'!F40,'25.09 Kasangati-Matugga'!F40,'27.09 Matugga-Kasangati'!F40,'26.09 Kasangati-Matugga-24h'!F40,'28.09 Kasangati-Matugga-24h'!F40,'29.09 Kasangati-Matugga'!F40)</f>
        <v>2.1428571428571428</v>
      </c>
      <c r="G40" s="49">
        <f>AVERAGE('23.09- Kasangati-Matuga'!G40,'24.09 Kasangati-Matugga'!G40,'25.09 Kasangati-Matugga'!G40,'27.09 Matugga-Kasangati'!G40,'26.09 Kasangati-Matugga-24h'!G40,'28.09 Kasangati-Matugga-24h'!G40,'29.09 Kasangati-Matugga'!G40)</f>
        <v>0</v>
      </c>
      <c r="H40" s="49">
        <f>AVERAGE('23.09- Kasangati-Matuga'!H40,'24.09 Kasangati-Matugga'!H40,'25.09 Kasangati-Matugga'!H40,'27.09 Matugga-Kasangati'!H40,'26.09 Kasangati-Matugga-24h'!H40,'28.09 Kasangati-Matugga-24h'!H40,'29.09 Kasangati-Matugga'!H40)</f>
        <v>0</v>
      </c>
      <c r="I40" s="49">
        <f>AVERAGE('23.09- Kasangati-Matuga'!I40,'24.09 Kasangati-Matugga'!I40,'25.09 Kasangati-Matugga'!I40,'27.09 Matugga-Kasangati'!I40,'26.09 Kasangati-Matugga-24h'!I40,'28.09 Kasangati-Matugga-24h'!I40,'29.09 Kasangati-Matugga'!I40)</f>
        <v>2.2857142857142856</v>
      </c>
      <c r="J40" s="49">
        <f>AVERAGE('23.09- Kasangati-Matuga'!J40,'24.09 Kasangati-Matugga'!J40,'25.09 Kasangati-Matugga'!J40,'27.09 Matugga-Kasangati'!J40,'26.09 Kasangati-Matugga-24h'!J40,'28.09 Kasangati-Matugga-24h'!J40,'29.09 Kasangati-Matugga'!J40)</f>
        <v>0.7142857142857143</v>
      </c>
      <c r="K40" s="49">
        <f>AVERAGE('23.09- Kasangati-Matuga'!K40,'24.09 Kasangati-Matugga'!K40,'25.09 Kasangati-Matugga'!K40,'27.09 Matugga-Kasangati'!K40,'26.09 Kasangati-Matugga-24h'!K40,'28.09 Kasangati-Matugga-24h'!K40,'29.09 Kasangati-Matugga'!K40)</f>
        <v>0.14285714285714285</v>
      </c>
      <c r="L40" s="49">
        <f>AVERAGE('23.09- Kasangati-Matuga'!L40,'24.09 Kasangati-Matugga'!L40,'25.09 Kasangati-Matugga'!L40,'27.09 Matugga-Kasangati'!L40,'26.09 Kasangati-Matugga-24h'!L40,'28.09 Kasangati-Matugga-24h'!L40,'29.09 Kasangati-Matugga'!L40)</f>
        <v>0</v>
      </c>
      <c r="M40" s="49">
        <f>AVERAGE('23.09- Kasangati-Matuga'!M40,'24.09 Kasangati-Matugga'!M40,'25.09 Kasangati-Matugga'!M40,'27.09 Matugga-Kasangati'!M40,'26.09 Kasangati-Matugga-24h'!M40,'28.09 Kasangati-Matugga-24h'!M40,'29.09 Kasangati-Matugga'!M40)</f>
        <v>28</v>
      </c>
      <c r="N40" s="49">
        <f>AVERAGE('23.09- Kasangati-Matuga'!N40,'24.09 Kasangati-Matugga'!N40,'25.09 Kasangati-Matugga'!N40,'27.09 Matugga-Kasangati'!N40,'26.09 Kasangati-Matugga-24h'!N40,'28.09 Kasangati-Matugga-24h'!N40,'29.09 Kasangati-Matugga'!N40)</f>
        <v>0</v>
      </c>
      <c r="O40" s="15">
        <f t="shared" si="0"/>
        <v>21.142857142857142</v>
      </c>
      <c r="P40" s="15">
        <f t="shared" si="1"/>
        <v>49.142857142857139</v>
      </c>
      <c r="R40" s="5" t="s">
        <v>17</v>
      </c>
      <c r="S40" s="16">
        <f t="shared" ref="S40:AF40" si="32">SUM(S10:S21)</f>
        <v>512.57142857142856</v>
      </c>
      <c r="T40" s="16">
        <f t="shared" si="32"/>
        <v>208.42857142857139</v>
      </c>
      <c r="U40" s="16">
        <f t="shared" si="32"/>
        <v>116.42857142857143</v>
      </c>
      <c r="V40" s="16">
        <f t="shared" si="32"/>
        <v>139.71428571428572</v>
      </c>
      <c r="W40" s="16">
        <f t="shared" si="32"/>
        <v>4.8571428571428577</v>
      </c>
      <c r="X40" s="16">
        <f t="shared" si="32"/>
        <v>1.5714285714285714</v>
      </c>
      <c r="Y40" s="16">
        <f t="shared" si="32"/>
        <v>107.14285714285715</v>
      </c>
      <c r="Z40" s="16">
        <f t="shared" si="32"/>
        <v>35.142857142857146</v>
      </c>
      <c r="AA40" s="16">
        <f t="shared" si="32"/>
        <v>8.428571428571427</v>
      </c>
      <c r="AB40" s="16">
        <f t="shared" si="32"/>
        <v>5.4285714285714279</v>
      </c>
      <c r="AC40" s="16">
        <f t="shared" si="32"/>
        <v>1823.714285714286</v>
      </c>
      <c r="AD40" s="16">
        <f t="shared" si="32"/>
        <v>8.2857142857142847</v>
      </c>
      <c r="AE40" s="32">
        <f t="shared" si="32"/>
        <v>1148</v>
      </c>
      <c r="AF40" s="32">
        <f t="shared" si="32"/>
        <v>2971.7142857142858</v>
      </c>
    </row>
    <row r="41" spans="2:32" ht="23.1" customHeight="1" x14ac:dyDescent="0.25">
      <c r="B41" s="23" t="s">
        <v>68</v>
      </c>
      <c r="C41" s="49">
        <f>AVERAGE('23.09- Kasangati-Matuga'!C41,'24.09 Kasangati-Matugga'!C41,'25.09 Kasangati-Matugga'!C41,'27.09 Matugga-Kasangati'!C41,'26.09 Kasangati-Matugga-24h'!C41,'28.09 Kasangati-Matugga-24h'!C41,'29.09 Kasangati-Matugga'!C41)</f>
        <v>9.8571428571428577</v>
      </c>
      <c r="D41" s="49">
        <f>AVERAGE('23.09- Kasangati-Matuga'!D41,'24.09 Kasangati-Matugga'!D41,'25.09 Kasangati-Matugga'!D41,'27.09 Matugga-Kasangati'!D41,'26.09 Kasangati-Matugga-24h'!D41,'28.09 Kasangati-Matugga-24h'!D41,'29.09 Kasangati-Matugga'!D41)</f>
        <v>4.1428571428571432</v>
      </c>
      <c r="E41" s="49">
        <f>AVERAGE('23.09- Kasangati-Matuga'!E41,'24.09 Kasangati-Matugga'!E41,'25.09 Kasangati-Matugga'!E41,'27.09 Matugga-Kasangati'!E41,'26.09 Kasangati-Matugga-24h'!E41,'28.09 Kasangati-Matugga-24h'!E41,'29.09 Kasangati-Matugga'!E41)</f>
        <v>2</v>
      </c>
      <c r="F41" s="49">
        <f>AVERAGE('23.09- Kasangati-Matuga'!F41,'24.09 Kasangati-Matugga'!F41,'25.09 Kasangati-Matugga'!F41,'27.09 Matugga-Kasangati'!F41,'26.09 Kasangati-Matugga-24h'!F41,'28.09 Kasangati-Matugga-24h'!F41,'29.09 Kasangati-Matugga'!F41)</f>
        <v>2</v>
      </c>
      <c r="G41" s="49">
        <f>AVERAGE('23.09- Kasangati-Matuga'!G41,'24.09 Kasangati-Matugga'!G41,'25.09 Kasangati-Matugga'!G41,'27.09 Matugga-Kasangati'!G41,'26.09 Kasangati-Matugga-24h'!G41,'28.09 Kasangati-Matugga-24h'!G41,'29.09 Kasangati-Matugga'!G41)</f>
        <v>0.14285714285714285</v>
      </c>
      <c r="H41" s="49">
        <f>AVERAGE('23.09- Kasangati-Matuga'!H41,'24.09 Kasangati-Matugga'!H41,'25.09 Kasangati-Matugga'!H41,'27.09 Matugga-Kasangati'!H41,'26.09 Kasangati-Matugga-24h'!H41,'28.09 Kasangati-Matugga-24h'!H41,'29.09 Kasangati-Matugga'!H41)</f>
        <v>0</v>
      </c>
      <c r="I41" s="49">
        <f>AVERAGE('23.09- Kasangati-Matuga'!I41,'24.09 Kasangati-Matugga'!I41,'25.09 Kasangati-Matugga'!I41,'27.09 Matugga-Kasangati'!I41,'26.09 Kasangati-Matugga-24h'!I41,'28.09 Kasangati-Matugga-24h'!I41,'29.09 Kasangati-Matugga'!I41)</f>
        <v>2.5714285714285716</v>
      </c>
      <c r="J41" s="49">
        <f>AVERAGE('23.09- Kasangati-Matuga'!J41,'24.09 Kasangati-Matugga'!J41,'25.09 Kasangati-Matugga'!J41,'27.09 Matugga-Kasangati'!J41,'26.09 Kasangati-Matugga-24h'!J41,'28.09 Kasangati-Matugga-24h'!J41,'29.09 Kasangati-Matugga'!J41)</f>
        <v>1</v>
      </c>
      <c r="K41" s="49">
        <f>AVERAGE('23.09- Kasangati-Matuga'!K41,'24.09 Kasangati-Matugga'!K41,'25.09 Kasangati-Matugga'!K41,'27.09 Matugga-Kasangati'!K41,'26.09 Kasangati-Matugga-24h'!K41,'28.09 Kasangati-Matugga-24h'!K41,'29.09 Kasangati-Matugga'!K41)</f>
        <v>0.2857142857142857</v>
      </c>
      <c r="L41" s="49">
        <f>AVERAGE('23.09- Kasangati-Matuga'!L41,'24.09 Kasangati-Matugga'!L41,'25.09 Kasangati-Matugga'!L41,'27.09 Matugga-Kasangati'!L41,'26.09 Kasangati-Matugga-24h'!L41,'28.09 Kasangati-Matugga-24h'!L41,'29.09 Kasangati-Matugga'!L41)</f>
        <v>0.14285714285714285</v>
      </c>
      <c r="M41" s="49">
        <f>AVERAGE('23.09- Kasangati-Matuga'!M41,'24.09 Kasangati-Matugga'!M41,'25.09 Kasangati-Matugga'!M41,'27.09 Matugga-Kasangati'!M41,'26.09 Kasangati-Matugga-24h'!M41,'28.09 Kasangati-Matugga-24h'!M41,'29.09 Kasangati-Matugga'!M41)</f>
        <v>31.142857142857142</v>
      </c>
      <c r="N41" s="49">
        <f>AVERAGE('23.09- Kasangati-Matuga'!N41,'24.09 Kasangati-Matugga'!N41,'25.09 Kasangati-Matugga'!N41,'27.09 Matugga-Kasangati'!N41,'26.09 Kasangati-Matugga-24h'!N41,'28.09 Kasangati-Matugga-24h'!N41,'29.09 Kasangati-Matugga'!N41)</f>
        <v>0</v>
      </c>
      <c r="O41" s="15">
        <f t="shared" si="0"/>
        <v>22.142857142857142</v>
      </c>
      <c r="P41" s="15">
        <f t="shared" si="1"/>
        <v>53.285714285714285</v>
      </c>
      <c r="R41" s="106" t="s">
        <v>180</v>
      </c>
      <c r="S41" s="117">
        <f>SUM(S10:S33)</f>
        <v>939.07142857142856</v>
      </c>
      <c r="T41" s="117">
        <f t="shared" ref="T41:AD41" si="33">SUM(T10:T33)</f>
        <v>265.92857142857139</v>
      </c>
      <c r="U41" s="117">
        <f t="shared" si="33"/>
        <v>168.92857142857144</v>
      </c>
      <c r="V41" s="117">
        <f t="shared" si="33"/>
        <v>213.71428571428572</v>
      </c>
      <c r="W41" s="117">
        <f t="shared" si="33"/>
        <v>8.3571428571428577</v>
      </c>
      <c r="X41" s="117">
        <f t="shared" si="33"/>
        <v>2.0714285714285712</v>
      </c>
      <c r="Y41" s="117">
        <f t="shared" si="33"/>
        <v>154.14285714285717</v>
      </c>
      <c r="Z41" s="117">
        <f t="shared" si="33"/>
        <v>43.142857142857146</v>
      </c>
      <c r="AA41" s="117">
        <f t="shared" si="33"/>
        <v>10.428571428571427</v>
      </c>
      <c r="AB41" s="117">
        <f t="shared" si="33"/>
        <v>5.9285714285714279</v>
      </c>
      <c r="AC41" s="117">
        <f t="shared" si="33"/>
        <v>2961.2142857142862</v>
      </c>
      <c r="AD41" s="117">
        <f t="shared" si="33"/>
        <v>9.2857142857142847</v>
      </c>
      <c r="AE41" s="132">
        <f>SUM(AE10:AE33)</f>
        <v>1821</v>
      </c>
      <c r="AF41" s="132">
        <f>SUM(AF10:AF33)</f>
        <v>4782.2142857142862</v>
      </c>
    </row>
    <row r="42" spans="2:32" ht="23.1" customHeight="1" x14ac:dyDescent="0.25">
      <c r="B42" s="24" t="s">
        <v>69</v>
      </c>
      <c r="C42" s="49">
        <f>AVERAGE('23.09- Kasangati-Matuga'!C42,'24.09 Kasangati-Matugga'!C42,'25.09 Kasangati-Matugga'!C42,'27.09 Matugga-Kasangati'!C42,'26.09 Kasangati-Matugga-24h'!C42,'28.09 Kasangati-Matugga-24h'!C42,'29.09 Kasangati-Matugga'!C42)</f>
        <v>10.571428571428571</v>
      </c>
      <c r="D42" s="49">
        <f>AVERAGE('23.09- Kasangati-Matuga'!D42,'24.09 Kasangati-Matugga'!D42,'25.09 Kasangati-Matugga'!D42,'27.09 Matugga-Kasangati'!D42,'26.09 Kasangati-Matugga-24h'!D42,'28.09 Kasangati-Matugga-24h'!D42,'29.09 Kasangati-Matugga'!D42)</f>
        <v>2.2857142857142856</v>
      </c>
      <c r="E42" s="49">
        <f>AVERAGE('23.09- Kasangati-Matuga'!E42,'24.09 Kasangati-Matugga'!E42,'25.09 Kasangati-Matugga'!E42,'27.09 Matugga-Kasangati'!E42,'26.09 Kasangati-Matugga-24h'!E42,'28.09 Kasangati-Matugga-24h'!E42,'29.09 Kasangati-Matugga'!E42)</f>
        <v>2.1428571428571428</v>
      </c>
      <c r="F42" s="49">
        <f>AVERAGE('23.09- Kasangati-Matuga'!F42,'24.09 Kasangati-Matugga'!F42,'25.09 Kasangati-Matugga'!F42,'27.09 Matugga-Kasangati'!F42,'26.09 Kasangati-Matugga-24h'!F42,'28.09 Kasangati-Matugga-24h'!F42,'29.09 Kasangati-Matugga'!F42)</f>
        <v>3</v>
      </c>
      <c r="G42" s="49">
        <f>AVERAGE('23.09- Kasangati-Matuga'!G42,'24.09 Kasangati-Matugga'!G42,'25.09 Kasangati-Matugga'!G42,'27.09 Matugga-Kasangati'!G42,'26.09 Kasangati-Matugga-24h'!G42,'28.09 Kasangati-Matugga-24h'!G42,'29.09 Kasangati-Matugga'!G42)</f>
        <v>0</v>
      </c>
      <c r="H42" s="49">
        <f>AVERAGE('23.09- Kasangati-Matuga'!H42,'24.09 Kasangati-Matugga'!H42,'25.09 Kasangati-Matugga'!H42,'27.09 Matugga-Kasangati'!H42,'26.09 Kasangati-Matugga-24h'!H42,'28.09 Kasangati-Matugga-24h'!H42,'29.09 Kasangati-Matugga'!H42)</f>
        <v>0</v>
      </c>
      <c r="I42" s="49">
        <f>AVERAGE('23.09- Kasangati-Matuga'!I42,'24.09 Kasangati-Matugga'!I42,'25.09 Kasangati-Matugga'!I42,'27.09 Matugga-Kasangati'!I42,'26.09 Kasangati-Matugga-24h'!I42,'28.09 Kasangati-Matugga-24h'!I42,'29.09 Kasangati-Matugga'!I42)</f>
        <v>3.2857142857142856</v>
      </c>
      <c r="J42" s="49">
        <f>AVERAGE('23.09- Kasangati-Matuga'!J42,'24.09 Kasangati-Matugga'!J42,'25.09 Kasangati-Matugga'!J42,'27.09 Matugga-Kasangati'!J42,'26.09 Kasangati-Matugga-24h'!J42,'28.09 Kasangati-Matugga-24h'!J42,'29.09 Kasangati-Matugga'!J42)</f>
        <v>0.2857142857142857</v>
      </c>
      <c r="K42" s="49">
        <f>AVERAGE('23.09- Kasangati-Matuga'!K42,'24.09 Kasangati-Matugga'!K42,'25.09 Kasangati-Matugga'!K42,'27.09 Matugga-Kasangati'!K42,'26.09 Kasangati-Matugga-24h'!K42,'28.09 Kasangati-Matugga-24h'!K42,'29.09 Kasangati-Matugga'!K42)</f>
        <v>0</v>
      </c>
      <c r="L42" s="49">
        <f>AVERAGE('23.09- Kasangati-Matuga'!L42,'24.09 Kasangati-Matugga'!L42,'25.09 Kasangati-Matugga'!L42,'27.09 Matugga-Kasangati'!L42,'26.09 Kasangati-Matugga-24h'!L42,'28.09 Kasangati-Matugga-24h'!L42,'29.09 Kasangati-Matugga'!L42)</f>
        <v>0</v>
      </c>
      <c r="M42" s="49">
        <f>AVERAGE('23.09- Kasangati-Matuga'!M42,'24.09 Kasangati-Matugga'!M42,'25.09 Kasangati-Matugga'!M42,'27.09 Matugga-Kasangati'!M42,'26.09 Kasangati-Matugga-24h'!M42,'28.09 Kasangati-Matugga-24h'!M42,'29.09 Kasangati-Matugga'!M42)</f>
        <v>31.285714285714285</v>
      </c>
      <c r="N42" s="49">
        <f>AVERAGE('23.09- Kasangati-Matuga'!N42,'24.09 Kasangati-Matugga'!N42,'25.09 Kasangati-Matugga'!N42,'27.09 Matugga-Kasangati'!N42,'26.09 Kasangati-Matugga-24h'!N42,'28.09 Kasangati-Matugga-24h'!N42,'29.09 Kasangati-Matugga'!N42)</f>
        <v>0</v>
      </c>
      <c r="O42" s="15">
        <f t="shared" si="0"/>
        <v>21.571428571428569</v>
      </c>
      <c r="P42" s="15">
        <f t="shared" si="1"/>
        <v>52.857142857142854</v>
      </c>
      <c r="R42" s="106" t="s">
        <v>160</v>
      </c>
      <c r="S42" s="99">
        <f>S41/S40</f>
        <v>1.8320791527313267</v>
      </c>
      <c r="T42" s="99">
        <f t="shared" ref="T42:AF42" si="34">T41/T40</f>
        <v>1.2758738862234407</v>
      </c>
      <c r="U42" s="99">
        <f t="shared" si="34"/>
        <v>1.4509202453987731</v>
      </c>
      <c r="V42" s="99">
        <f t="shared" si="34"/>
        <v>1.5296523517382412</v>
      </c>
      <c r="W42" s="99">
        <f t="shared" si="34"/>
        <v>1.7205882352941175</v>
      </c>
      <c r="X42" s="99">
        <f t="shared" si="34"/>
        <v>1.3181818181818181</v>
      </c>
      <c r="Y42" s="99">
        <f t="shared" si="34"/>
        <v>1.4386666666666668</v>
      </c>
      <c r="Z42" s="99">
        <f t="shared" si="34"/>
        <v>1.2276422764227641</v>
      </c>
      <c r="AA42" s="99">
        <f t="shared" si="34"/>
        <v>1.2372881355932204</v>
      </c>
      <c r="AB42" s="99">
        <f t="shared" si="34"/>
        <v>1.0921052631578947</v>
      </c>
      <c r="AC42" s="99">
        <f t="shared" si="34"/>
        <v>1.6237270875763747</v>
      </c>
      <c r="AD42" s="99">
        <f t="shared" si="34"/>
        <v>1.1206896551724137</v>
      </c>
      <c r="AE42" s="147">
        <f t="shared" si="34"/>
        <v>1.5862369337979094</v>
      </c>
      <c r="AF42" s="147">
        <f t="shared" si="34"/>
        <v>1.6092443034323625</v>
      </c>
    </row>
    <row r="43" spans="2:32" ht="23.1" customHeight="1" x14ac:dyDescent="0.25">
      <c r="B43" s="23" t="s">
        <v>70</v>
      </c>
      <c r="C43" s="49">
        <f>AVERAGE('23.09- Kasangati-Matuga'!C43,'24.09 Kasangati-Matugga'!C43,'25.09 Kasangati-Matugga'!C43,'27.09 Matugga-Kasangati'!C43,'26.09 Kasangati-Matugga-24h'!C43,'28.09 Kasangati-Matugga-24h'!C43,'29.09 Kasangati-Matugga'!C43)</f>
        <v>8.5714285714285712</v>
      </c>
      <c r="D43" s="49">
        <f>AVERAGE('23.09- Kasangati-Matuga'!D43,'24.09 Kasangati-Matugga'!D43,'25.09 Kasangati-Matugga'!D43,'27.09 Matugga-Kasangati'!D43,'26.09 Kasangati-Matugga-24h'!D43,'28.09 Kasangati-Matugga-24h'!D43,'29.09 Kasangati-Matugga'!D43)</f>
        <v>3.4285714285714284</v>
      </c>
      <c r="E43" s="49">
        <f>AVERAGE('23.09- Kasangati-Matuga'!E43,'24.09 Kasangati-Matugga'!E43,'25.09 Kasangati-Matugga'!E43,'27.09 Matugga-Kasangati'!E43,'26.09 Kasangati-Matugga-24h'!E43,'28.09 Kasangati-Matugga-24h'!E43,'29.09 Kasangati-Matugga'!E43)</f>
        <v>2.7142857142857144</v>
      </c>
      <c r="F43" s="49">
        <f>AVERAGE('23.09- Kasangati-Matuga'!F43,'24.09 Kasangati-Matugga'!F43,'25.09 Kasangati-Matugga'!F43,'27.09 Matugga-Kasangati'!F43,'26.09 Kasangati-Matugga-24h'!F43,'28.09 Kasangati-Matugga-24h'!F43,'29.09 Kasangati-Matugga'!F43)</f>
        <v>2.4285714285714284</v>
      </c>
      <c r="G43" s="49">
        <f>AVERAGE('23.09- Kasangati-Matuga'!G43,'24.09 Kasangati-Matugga'!G43,'25.09 Kasangati-Matugga'!G43,'27.09 Matugga-Kasangati'!G43,'26.09 Kasangati-Matugga-24h'!G43,'28.09 Kasangati-Matugga-24h'!G43,'29.09 Kasangati-Matugga'!G43)</f>
        <v>0</v>
      </c>
      <c r="H43" s="49">
        <f>AVERAGE('23.09- Kasangati-Matuga'!H43,'24.09 Kasangati-Matugga'!H43,'25.09 Kasangati-Matugga'!H43,'27.09 Matugga-Kasangati'!H43,'26.09 Kasangati-Matugga-24h'!H43,'28.09 Kasangati-Matugga-24h'!H43,'29.09 Kasangati-Matugga'!H43)</f>
        <v>0</v>
      </c>
      <c r="I43" s="49">
        <f>AVERAGE('23.09- Kasangati-Matuga'!I43,'24.09 Kasangati-Matugga'!I43,'25.09 Kasangati-Matugga'!I43,'27.09 Matugga-Kasangati'!I43,'26.09 Kasangati-Matugga-24h'!I43,'28.09 Kasangati-Matugga-24h'!I43,'29.09 Kasangati-Matugga'!I43)</f>
        <v>1.8571428571428572</v>
      </c>
      <c r="J43" s="49">
        <f>AVERAGE('23.09- Kasangati-Matuga'!J43,'24.09 Kasangati-Matugga'!J43,'25.09 Kasangati-Matugga'!J43,'27.09 Matugga-Kasangati'!J43,'26.09 Kasangati-Matugga-24h'!J43,'28.09 Kasangati-Matugga-24h'!J43,'29.09 Kasangati-Matugga'!J43)</f>
        <v>0.5714285714285714</v>
      </c>
      <c r="K43" s="49">
        <f>AVERAGE('23.09- Kasangati-Matuga'!K43,'24.09 Kasangati-Matugga'!K43,'25.09 Kasangati-Matugga'!K43,'27.09 Matugga-Kasangati'!K43,'26.09 Kasangati-Matugga-24h'!K43,'28.09 Kasangati-Matugga-24h'!K43,'29.09 Kasangati-Matugga'!K43)</f>
        <v>0</v>
      </c>
      <c r="L43" s="49">
        <f>AVERAGE('23.09- Kasangati-Matuga'!L43,'24.09 Kasangati-Matugga'!L43,'25.09 Kasangati-Matugga'!L43,'27.09 Matugga-Kasangati'!L43,'26.09 Kasangati-Matugga-24h'!L43,'28.09 Kasangati-Matugga-24h'!L43,'29.09 Kasangati-Matugga'!L43)</f>
        <v>0</v>
      </c>
      <c r="M43" s="49">
        <f>AVERAGE('23.09- Kasangati-Matuga'!M43,'24.09 Kasangati-Matugga'!M43,'25.09 Kasangati-Matugga'!M43,'27.09 Matugga-Kasangati'!M43,'26.09 Kasangati-Matugga-24h'!M43,'28.09 Kasangati-Matugga-24h'!M43,'29.09 Kasangati-Matugga'!M43)</f>
        <v>30.285714285714285</v>
      </c>
      <c r="N43" s="49">
        <f>AVERAGE('23.09- Kasangati-Matuga'!N43,'24.09 Kasangati-Matugga'!N43,'25.09 Kasangati-Matugga'!N43,'27.09 Matugga-Kasangati'!N43,'26.09 Kasangati-Matugga-24h'!N43,'28.09 Kasangati-Matugga-24h'!N43,'29.09 Kasangati-Matugga'!N43)</f>
        <v>0</v>
      </c>
      <c r="O43" s="15">
        <f t="shared" si="0"/>
        <v>19.571428571428573</v>
      </c>
      <c r="P43" s="15">
        <f t="shared" si="1"/>
        <v>49.857142857142861</v>
      </c>
    </row>
    <row r="44" spans="2:32" ht="23.1" customHeight="1" x14ac:dyDescent="0.25">
      <c r="B44" s="25" t="s">
        <v>71</v>
      </c>
      <c r="C44" s="49">
        <f>AVERAGE('23.09- Kasangati-Matuga'!C44,'24.09 Kasangati-Matugga'!C44,'25.09 Kasangati-Matugga'!C44,'27.09 Matugga-Kasangati'!C44,'26.09 Kasangati-Matugga-24h'!C44,'28.09 Kasangati-Matugga-24h'!C44,'29.09 Kasangati-Matugga'!C44)</f>
        <v>11.142857142857142</v>
      </c>
      <c r="D44" s="49">
        <f>AVERAGE('23.09- Kasangati-Matuga'!D44,'24.09 Kasangati-Matugga'!D44,'25.09 Kasangati-Matugga'!D44,'27.09 Matugga-Kasangati'!D44,'26.09 Kasangati-Matugga-24h'!D44,'28.09 Kasangati-Matugga-24h'!D44,'29.09 Kasangati-Matugga'!D44)</f>
        <v>3</v>
      </c>
      <c r="E44" s="49">
        <f>AVERAGE('23.09- Kasangati-Matuga'!E44,'24.09 Kasangati-Matugga'!E44,'25.09 Kasangati-Matugga'!E44,'27.09 Matugga-Kasangati'!E44,'26.09 Kasangati-Matugga-24h'!E44,'28.09 Kasangati-Matugga-24h'!E44,'29.09 Kasangati-Matugga'!E44)</f>
        <v>2.4285714285714284</v>
      </c>
      <c r="F44" s="49">
        <f>AVERAGE('23.09- Kasangati-Matuga'!F44,'24.09 Kasangati-Matugga'!F44,'25.09 Kasangati-Matugga'!F44,'27.09 Matugga-Kasangati'!F44,'26.09 Kasangati-Matugga-24h'!F44,'28.09 Kasangati-Matugga-24h'!F44,'29.09 Kasangati-Matugga'!F44)</f>
        <v>1.8571428571428572</v>
      </c>
      <c r="G44" s="49">
        <f>AVERAGE('23.09- Kasangati-Matuga'!G44,'24.09 Kasangati-Matugga'!G44,'25.09 Kasangati-Matugga'!G44,'27.09 Matugga-Kasangati'!G44,'26.09 Kasangati-Matugga-24h'!G44,'28.09 Kasangati-Matugga-24h'!G44,'29.09 Kasangati-Matugga'!G44)</f>
        <v>0</v>
      </c>
      <c r="H44" s="49">
        <f>AVERAGE('23.09- Kasangati-Matuga'!H44,'24.09 Kasangati-Matugga'!H44,'25.09 Kasangati-Matugga'!H44,'27.09 Matugga-Kasangati'!H44,'26.09 Kasangati-Matugga-24h'!H44,'28.09 Kasangati-Matugga-24h'!H44,'29.09 Kasangati-Matugga'!H44)</f>
        <v>0</v>
      </c>
      <c r="I44" s="49">
        <f>AVERAGE('23.09- Kasangati-Matuga'!I44,'24.09 Kasangati-Matugga'!I44,'25.09 Kasangati-Matugga'!I44,'27.09 Matugga-Kasangati'!I44,'26.09 Kasangati-Matugga-24h'!I44,'28.09 Kasangati-Matugga-24h'!I44,'29.09 Kasangati-Matugga'!I44)</f>
        <v>2.8571428571428572</v>
      </c>
      <c r="J44" s="49">
        <f>AVERAGE('23.09- Kasangati-Matuga'!J44,'24.09 Kasangati-Matugga'!J44,'25.09 Kasangati-Matugga'!J44,'27.09 Matugga-Kasangati'!J44,'26.09 Kasangati-Matugga-24h'!J44,'28.09 Kasangati-Matugga-24h'!J44,'29.09 Kasangati-Matugga'!J44)</f>
        <v>0.5714285714285714</v>
      </c>
      <c r="K44" s="49">
        <f>AVERAGE('23.09- Kasangati-Matuga'!K44,'24.09 Kasangati-Matugga'!K44,'25.09 Kasangati-Matugga'!K44,'27.09 Matugga-Kasangati'!K44,'26.09 Kasangati-Matugga-24h'!K44,'28.09 Kasangati-Matugga-24h'!K44,'29.09 Kasangati-Matugga'!K44)</f>
        <v>0</v>
      </c>
      <c r="L44" s="49">
        <f>AVERAGE('23.09- Kasangati-Matuga'!L44,'24.09 Kasangati-Matugga'!L44,'25.09 Kasangati-Matugga'!L44,'27.09 Matugga-Kasangati'!L44,'26.09 Kasangati-Matugga-24h'!L44,'28.09 Kasangati-Matugga-24h'!L44,'29.09 Kasangati-Matugga'!L44)</f>
        <v>0</v>
      </c>
      <c r="M44" s="49">
        <f>AVERAGE('23.09- Kasangati-Matuga'!M44,'24.09 Kasangati-Matugga'!M44,'25.09 Kasangati-Matugga'!M44,'27.09 Matugga-Kasangati'!M44,'26.09 Kasangati-Matugga-24h'!M44,'28.09 Kasangati-Matugga-24h'!M44,'29.09 Kasangati-Matugga'!M44)</f>
        <v>40.428571428571431</v>
      </c>
      <c r="N44" s="49">
        <f>AVERAGE('23.09- Kasangati-Matuga'!N44,'24.09 Kasangati-Matugga'!N44,'25.09 Kasangati-Matugga'!N44,'27.09 Matugga-Kasangati'!N44,'26.09 Kasangati-Matugga-24h'!N44,'28.09 Kasangati-Matugga-24h'!N44,'29.09 Kasangati-Matugga'!N44)</f>
        <v>0</v>
      </c>
      <c r="O44" s="15">
        <f t="shared" si="0"/>
        <v>21.857142857142858</v>
      </c>
      <c r="P44" s="15">
        <f t="shared" si="1"/>
        <v>62.285714285714292</v>
      </c>
    </row>
    <row r="45" spans="2:32" ht="23.1" customHeight="1" x14ac:dyDescent="0.25">
      <c r="B45" s="23" t="s">
        <v>72</v>
      </c>
      <c r="C45" s="49">
        <f>AVERAGE('23.09- Kasangati-Matuga'!C45,'24.09 Kasangati-Matugga'!C45,'25.09 Kasangati-Matugga'!C45,'27.09 Matugga-Kasangati'!C45,'26.09 Kasangati-Matugga-24h'!C45,'28.09 Kasangati-Matugga-24h'!C45,'29.09 Kasangati-Matugga'!C45)</f>
        <v>9.4285714285714288</v>
      </c>
      <c r="D45" s="49">
        <f>AVERAGE('23.09- Kasangati-Matuga'!D45,'24.09 Kasangati-Matugga'!D45,'25.09 Kasangati-Matugga'!D45,'27.09 Matugga-Kasangati'!D45,'26.09 Kasangati-Matugga-24h'!D45,'28.09 Kasangati-Matugga-24h'!D45,'29.09 Kasangati-Matugga'!D45)</f>
        <v>5.2857142857142856</v>
      </c>
      <c r="E45" s="49">
        <f>AVERAGE('23.09- Kasangati-Matuga'!E45,'24.09 Kasangati-Matugga'!E45,'25.09 Kasangati-Matugga'!E45,'27.09 Matugga-Kasangati'!E45,'26.09 Kasangati-Matugga-24h'!E45,'28.09 Kasangati-Matugga-24h'!E45,'29.09 Kasangati-Matugga'!E45)</f>
        <v>3</v>
      </c>
      <c r="F45" s="49">
        <f>AVERAGE('23.09- Kasangati-Matuga'!F45,'24.09 Kasangati-Matugga'!F45,'25.09 Kasangati-Matugga'!F45,'27.09 Matugga-Kasangati'!F45,'26.09 Kasangati-Matugga-24h'!F45,'28.09 Kasangati-Matugga-24h'!F45,'29.09 Kasangati-Matugga'!F45)</f>
        <v>3.1428571428571428</v>
      </c>
      <c r="G45" s="49">
        <f>AVERAGE('23.09- Kasangati-Matuga'!G45,'24.09 Kasangati-Matugga'!G45,'25.09 Kasangati-Matugga'!G45,'27.09 Matugga-Kasangati'!G45,'26.09 Kasangati-Matugga-24h'!G45,'28.09 Kasangati-Matugga-24h'!G45,'29.09 Kasangati-Matugga'!G45)</f>
        <v>0</v>
      </c>
      <c r="H45" s="49">
        <f>AVERAGE('23.09- Kasangati-Matuga'!H45,'24.09 Kasangati-Matugga'!H45,'25.09 Kasangati-Matugga'!H45,'27.09 Matugga-Kasangati'!H45,'26.09 Kasangati-Matugga-24h'!H45,'28.09 Kasangati-Matugga-24h'!H45,'29.09 Kasangati-Matugga'!H45)</f>
        <v>0</v>
      </c>
      <c r="I45" s="49">
        <f>AVERAGE('23.09- Kasangati-Matuga'!I45,'24.09 Kasangati-Matugga'!I45,'25.09 Kasangati-Matugga'!I45,'27.09 Matugga-Kasangati'!I45,'26.09 Kasangati-Matugga-24h'!I45,'28.09 Kasangati-Matugga-24h'!I45,'29.09 Kasangati-Matugga'!I45)</f>
        <v>2.7142857142857144</v>
      </c>
      <c r="J45" s="49">
        <f>AVERAGE('23.09- Kasangati-Matuga'!J45,'24.09 Kasangati-Matugga'!J45,'25.09 Kasangati-Matugga'!J45,'27.09 Matugga-Kasangati'!J45,'26.09 Kasangati-Matugga-24h'!J45,'28.09 Kasangati-Matugga-24h'!J45,'29.09 Kasangati-Matugga'!J45)</f>
        <v>0.2857142857142857</v>
      </c>
      <c r="K45" s="49">
        <f>AVERAGE('23.09- Kasangati-Matuga'!K45,'24.09 Kasangati-Matugga'!K45,'25.09 Kasangati-Matugga'!K45,'27.09 Matugga-Kasangati'!K45,'26.09 Kasangati-Matugga-24h'!K45,'28.09 Kasangati-Matugga-24h'!K45,'29.09 Kasangati-Matugga'!K45)</f>
        <v>0.14285714285714285</v>
      </c>
      <c r="L45" s="49">
        <f>AVERAGE('23.09- Kasangati-Matuga'!L45,'24.09 Kasangati-Matugga'!L45,'25.09 Kasangati-Matugga'!L45,'27.09 Matugga-Kasangati'!L45,'26.09 Kasangati-Matugga-24h'!L45,'28.09 Kasangati-Matugga-24h'!L45,'29.09 Kasangati-Matugga'!L45)</f>
        <v>0.14285714285714285</v>
      </c>
      <c r="M45" s="49">
        <f>AVERAGE('23.09- Kasangati-Matuga'!M45,'24.09 Kasangati-Matugga'!M45,'25.09 Kasangati-Matugga'!M45,'27.09 Matugga-Kasangati'!M45,'26.09 Kasangati-Matugga-24h'!M45,'28.09 Kasangati-Matugga-24h'!M45,'29.09 Kasangati-Matugga'!M45)</f>
        <v>33.285714285714285</v>
      </c>
      <c r="N45" s="49">
        <f>AVERAGE('23.09- Kasangati-Matuga'!N45,'24.09 Kasangati-Matugga'!N45,'25.09 Kasangati-Matugga'!N45,'27.09 Matugga-Kasangati'!N45,'26.09 Kasangati-Matugga-24h'!N45,'28.09 Kasangati-Matugga-24h'!N45,'29.09 Kasangati-Matugga'!N45)</f>
        <v>0</v>
      </c>
      <c r="O45" s="15">
        <f t="shared" si="0"/>
        <v>24.142857142857142</v>
      </c>
      <c r="P45" s="15">
        <f t="shared" si="1"/>
        <v>57.428571428571431</v>
      </c>
    </row>
    <row r="46" spans="2:32" ht="23.1" customHeight="1" x14ac:dyDescent="0.25">
      <c r="B46" s="24" t="s">
        <v>73</v>
      </c>
      <c r="C46" s="49">
        <f>AVERAGE('23.09- Kasangati-Matuga'!C46,'24.09 Kasangati-Matugga'!C46,'25.09 Kasangati-Matugga'!C46,'27.09 Matugga-Kasangati'!C46,'26.09 Kasangati-Matugga-24h'!C46,'28.09 Kasangati-Matugga-24h'!C46,'29.09 Kasangati-Matugga'!C46)</f>
        <v>11.857142857142858</v>
      </c>
      <c r="D46" s="49">
        <f>AVERAGE('23.09- Kasangati-Matuga'!D46,'24.09 Kasangati-Matugga'!D46,'25.09 Kasangati-Matugga'!D46,'27.09 Matugga-Kasangati'!D46,'26.09 Kasangati-Matugga-24h'!D46,'28.09 Kasangati-Matugga-24h'!D46,'29.09 Kasangati-Matugga'!D46)</f>
        <v>4.1428571428571432</v>
      </c>
      <c r="E46" s="49">
        <f>AVERAGE('23.09- Kasangati-Matuga'!E46,'24.09 Kasangati-Matugga'!E46,'25.09 Kasangati-Matugga'!E46,'27.09 Matugga-Kasangati'!E46,'26.09 Kasangati-Matugga-24h'!E46,'28.09 Kasangati-Matugga-24h'!E46,'29.09 Kasangati-Matugga'!E46)</f>
        <v>2.2857142857142856</v>
      </c>
      <c r="F46" s="49">
        <f>AVERAGE('23.09- Kasangati-Matuga'!F46,'24.09 Kasangati-Matugga'!F46,'25.09 Kasangati-Matugga'!F46,'27.09 Matugga-Kasangati'!F46,'26.09 Kasangati-Matugga-24h'!F46,'28.09 Kasangati-Matugga-24h'!F46,'29.09 Kasangati-Matugga'!F46)</f>
        <v>2.4285714285714284</v>
      </c>
      <c r="G46" s="49">
        <f>AVERAGE('23.09- Kasangati-Matuga'!G46,'24.09 Kasangati-Matugga'!G46,'25.09 Kasangati-Matugga'!G46,'27.09 Matugga-Kasangati'!G46,'26.09 Kasangati-Matugga-24h'!G46,'28.09 Kasangati-Matugga-24h'!G46,'29.09 Kasangati-Matugga'!G46)</f>
        <v>0.14285714285714285</v>
      </c>
      <c r="H46" s="49">
        <f>AVERAGE('23.09- Kasangati-Matuga'!H46,'24.09 Kasangati-Matugga'!H46,'25.09 Kasangati-Matugga'!H46,'27.09 Matugga-Kasangati'!H46,'26.09 Kasangati-Matugga-24h'!H46,'28.09 Kasangati-Matugga-24h'!H46,'29.09 Kasangati-Matugga'!H46)</f>
        <v>0</v>
      </c>
      <c r="I46" s="49">
        <f>AVERAGE('23.09- Kasangati-Matuga'!I46,'24.09 Kasangati-Matugga'!I46,'25.09 Kasangati-Matugga'!I46,'27.09 Matugga-Kasangati'!I46,'26.09 Kasangati-Matugga-24h'!I46,'28.09 Kasangati-Matugga-24h'!I46,'29.09 Kasangati-Matugga'!I46)</f>
        <v>2</v>
      </c>
      <c r="J46" s="49">
        <f>AVERAGE('23.09- Kasangati-Matuga'!J46,'24.09 Kasangati-Matugga'!J46,'25.09 Kasangati-Matugga'!J46,'27.09 Matugga-Kasangati'!J46,'26.09 Kasangati-Matugga-24h'!J46,'28.09 Kasangati-Matugga-24h'!J46,'29.09 Kasangati-Matugga'!J46)</f>
        <v>0.8571428571428571</v>
      </c>
      <c r="K46" s="49">
        <f>AVERAGE('23.09- Kasangati-Matuga'!K46,'24.09 Kasangati-Matugga'!K46,'25.09 Kasangati-Matugga'!K46,'27.09 Matugga-Kasangati'!K46,'26.09 Kasangati-Matugga-24h'!K46,'28.09 Kasangati-Matugga-24h'!K46,'29.09 Kasangati-Matugga'!K46)</f>
        <v>0.14285714285714285</v>
      </c>
      <c r="L46" s="49">
        <f>AVERAGE('23.09- Kasangati-Matuga'!L46,'24.09 Kasangati-Matugga'!L46,'25.09 Kasangati-Matugga'!L46,'27.09 Matugga-Kasangati'!L46,'26.09 Kasangati-Matugga-24h'!L46,'28.09 Kasangati-Matugga-24h'!L46,'29.09 Kasangati-Matugga'!L46)</f>
        <v>0.14285714285714285</v>
      </c>
      <c r="M46" s="49">
        <f>AVERAGE('23.09- Kasangati-Matuga'!M46,'24.09 Kasangati-Matugga'!M46,'25.09 Kasangati-Matugga'!M46,'27.09 Matugga-Kasangati'!M46,'26.09 Kasangati-Matugga-24h'!M46,'28.09 Kasangati-Matugga-24h'!M46,'29.09 Kasangati-Matugga'!M46)</f>
        <v>35</v>
      </c>
      <c r="N46" s="49">
        <f>AVERAGE('23.09- Kasangati-Matuga'!N46,'24.09 Kasangati-Matugga'!N46,'25.09 Kasangati-Matugga'!N46,'27.09 Matugga-Kasangati'!N46,'26.09 Kasangati-Matugga-24h'!N46,'28.09 Kasangati-Matugga-24h'!N46,'29.09 Kasangati-Matugga'!N46)</f>
        <v>0</v>
      </c>
      <c r="O46" s="15">
        <f t="shared" si="0"/>
        <v>23.999999999999996</v>
      </c>
      <c r="P46" s="15">
        <f t="shared" si="1"/>
        <v>59</v>
      </c>
      <c r="R46" s="8"/>
      <c r="T46"/>
    </row>
    <row r="47" spans="2:32" ht="23.1" customHeight="1" x14ac:dyDescent="0.25">
      <c r="B47" s="24" t="s">
        <v>74</v>
      </c>
      <c r="C47" s="49">
        <f>AVERAGE('23.09- Kasangati-Matuga'!C47,'24.09 Kasangati-Matugga'!C47,'25.09 Kasangati-Matugga'!C47,'27.09 Matugga-Kasangati'!C47,'26.09 Kasangati-Matugga-24h'!C47,'28.09 Kasangati-Matugga-24h'!C47,'29.09 Kasangati-Matugga'!C47)</f>
        <v>13.428571428571429</v>
      </c>
      <c r="D47" s="49">
        <f>AVERAGE('23.09- Kasangati-Matuga'!D47,'24.09 Kasangati-Matugga'!D47,'25.09 Kasangati-Matugga'!D47,'27.09 Matugga-Kasangati'!D47,'26.09 Kasangati-Matugga-24h'!D47,'28.09 Kasangati-Matugga-24h'!D47,'29.09 Kasangati-Matugga'!D47)</f>
        <v>3.8571428571428572</v>
      </c>
      <c r="E47" s="49">
        <f>AVERAGE('23.09- Kasangati-Matuga'!E47,'24.09 Kasangati-Matugga'!E47,'25.09 Kasangati-Matugga'!E47,'27.09 Matugga-Kasangati'!E47,'26.09 Kasangati-Matugga-24h'!E47,'28.09 Kasangati-Matugga-24h'!E47,'29.09 Kasangati-Matugga'!E47)</f>
        <v>3</v>
      </c>
      <c r="F47" s="49">
        <f>AVERAGE('23.09- Kasangati-Matuga'!F47,'24.09 Kasangati-Matugga'!F47,'25.09 Kasangati-Matugga'!F47,'27.09 Matugga-Kasangati'!F47,'26.09 Kasangati-Matugga-24h'!F47,'28.09 Kasangati-Matugga-24h'!F47,'29.09 Kasangati-Matugga'!F47)</f>
        <v>3.4285714285714284</v>
      </c>
      <c r="G47" s="49">
        <f>AVERAGE('23.09- Kasangati-Matuga'!G47,'24.09 Kasangati-Matugga'!G47,'25.09 Kasangati-Matugga'!G47,'27.09 Matugga-Kasangati'!G47,'26.09 Kasangati-Matugga-24h'!G47,'28.09 Kasangati-Matugga-24h'!G47,'29.09 Kasangati-Matugga'!G47)</f>
        <v>0.14285714285714285</v>
      </c>
      <c r="H47" s="49">
        <f>AVERAGE('23.09- Kasangati-Matuga'!H47,'24.09 Kasangati-Matugga'!H47,'25.09 Kasangati-Matugga'!H47,'27.09 Matugga-Kasangati'!H47,'26.09 Kasangati-Matugga-24h'!H47,'28.09 Kasangati-Matugga-24h'!H47,'29.09 Kasangati-Matugga'!H47)</f>
        <v>0</v>
      </c>
      <c r="I47" s="49">
        <f>AVERAGE('23.09- Kasangati-Matuga'!I47,'24.09 Kasangati-Matugga'!I47,'25.09 Kasangati-Matugga'!I47,'27.09 Matugga-Kasangati'!I47,'26.09 Kasangati-Matugga-24h'!I47,'28.09 Kasangati-Matugga-24h'!I47,'29.09 Kasangati-Matugga'!I47)</f>
        <v>1.7142857142857142</v>
      </c>
      <c r="J47" s="49">
        <f>AVERAGE('23.09- Kasangati-Matuga'!J47,'24.09 Kasangati-Matugga'!J47,'25.09 Kasangati-Matugga'!J47,'27.09 Matugga-Kasangati'!J47,'26.09 Kasangati-Matugga-24h'!J47,'28.09 Kasangati-Matugga-24h'!J47,'29.09 Kasangati-Matugga'!J47)</f>
        <v>1.1428571428571428</v>
      </c>
      <c r="K47" s="49">
        <f>AVERAGE('23.09- Kasangati-Matuga'!K47,'24.09 Kasangati-Matugga'!K47,'25.09 Kasangati-Matugga'!K47,'27.09 Matugga-Kasangati'!K47,'26.09 Kasangati-Matugga-24h'!K47,'28.09 Kasangati-Matugga-24h'!K47,'29.09 Kasangati-Matugga'!K47)</f>
        <v>0.14285714285714285</v>
      </c>
      <c r="L47" s="49">
        <f>AVERAGE('23.09- Kasangati-Matuga'!L47,'24.09 Kasangati-Matugga'!L47,'25.09 Kasangati-Matugga'!L47,'27.09 Matugga-Kasangati'!L47,'26.09 Kasangati-Matugga-24h'!L47,'28.09 Kasangati-Matugga-24h'!L47,'29.09 Kasangati-Matugga'!L47)</f>
        <v>0.14285714285714285</v>
      </c>
      <c r="M47" s="49">
        <f>AVERAGE('23.09- Kasangati-Matuga'!M47,'24.09 Kasangati-Matugga'!M47,'25.09 Kasangati-Matugga'!M47,'27.09 Matugga-Kasangati'!M47,'26.09 Kasangati-Matugga-24h'!M47,'28.09 Kasangati-Matugga-24h'!M47,'29.09 Kasangati-Matugga'!M47)</f>
        <v>35.714285714285715</v>
      </c>
      <c r="N47" s="49">
        <f>AVERAGE('23.09- Kasangati-Matuga'!N47,'24.09 Kasangati-Matugga'!N47,'25.09 Kasangati-Matugga'!N47,'27.09 Matugga-Kasangati'!N47,'26.09 Kasangati-Matugga-24h'!N47,'28.09 Kasangati-Matugga-24h'!N47,'29.09 Kasangati-Matugga'!N47)</f>
        <v>0</v>
      </c>
      <c r="O47" s="15">
        <f t="shared" si="0"/>
        <v>26.999999999999996</v>
      </c>
      <c r="P47" s="15">
        <f t="shared" si="1"/>
        <v>62.714285714285708</v>
      </c>
      <c r="R47" s="8"/>
      <c r="T47"/>
    </row>
    <row r="48" spans="2:32" ht="23.1" customHeight="1" x14ac:dyDescent="0.25">
      <c r="B48" s="24" t="s">
        <v>75</v>
      </c>
      <c r="C48" s="49">
        <f>AVERAGE('23.09- Kasangati-Matuga'!C48,'24.09 Kasangati-Matugga'!C48,'25.09 Kasangati-Matugga'!C48,'27.09 Matugga-Kasangati'!C48,'26.09 Kasangati-Matugga-24h'!C48,'28.09 Kasangati-Matugga-24h'!C48,'29.09 Kasangati-Matugga'!C48)</f>
        <v>12.857142857142858</v>
      </c>
      <c r="D48" s="49">
        <f>AVERAGE('23.09- Kasangati-Matuga'!D48,'24.09 Kasangati-Matugga'!D48,'25.09 Kasangati-Matugga'!D48,'27.09 Matugga-Kasangati'!D48,'26.09 Kasangati-Matugga-24h'!D48,'28.09 Kasangati-Matugga-24h'!D48,'29.09 Kasangati-Matugga'!D48)</f>
        <v>6.1428571428571432</v>
      </c>
      <c r="E48" s="49">
        <f>AVERAGE('23.09- Kasangati-Matuga'!E48,'24.09 Kasangati-Matugga'!E48,'25.09 Kasangati-Matugga'!E48,'27.09 Matugga-Kasangati'!E48,'26.09 Kasangati-Matugga-24h'!E48,'28.09 Kasangati-Matugga-24h'!E48,'29.09 Kasangati-Matugga'!E48)</f>
        <v>2.2857142857142856</v>
      </c>
      <c r="F48" s="49">
        <f>AVERAGE('23.09- Kasangati-Matuga'!F48,'24.09 Kasangati-Matugga'!F48,'25.09 Kasangati-Matugga'!F48,'27.09 Matugga-Kasangati'!F48,'26.09 Kasangati-Matugga-24h'!F48,'28.09 Kasangati-Matugga-24h'!F48,'29.09 Kasangati-Matugga'!F48)</f>
        <v>3.4285714285714284</v>
      </c>
      <c r="G48" s="49">
        <f>AVERAGE('23.09- Kasangati-Matuga'!G48,'24.09 Kasangati-Matugga'!G48,'25.09 Kasangati-Matugga'!G48,'27.09 Matugga-Kasangati'!G48,'26.09 Kasangati-Matugga-24h'!G48,'28.09 Kasangati-Matugga-24h'!G48,'29.09 Kasangati-Matugga'!G48)</f>
        <v>0.2857142857142857</v>
      </c>
      <c r="H48" s="49">
        <f>AVERAGE('23.09- Kasangati-Matuga'!H48,'24.09 Kasangati-Matugga'!H48,'25.09 Kasangati-Matugga'!H48,'27.09 Matugga-Kasangati'!H48,'26.09 Kasangati-Matugga-24h'!H48,'28.09 Kasangati-Matugga-24h'!H48,'29.09 Kasangati-Matugga'!H48)</f>
        <v>0</v>
      </c>
      <c r="I48" s="49">
        <f>AVERAGE('23.09- Kasangati-Matuga'!I48,'24.09 Kasangati-Matugga'!I48,'25.09 Kasangati-Matugga'!I48,'27.09 Matugga-Kasangati'!I48,'26.09 Kasangati-Matugga-24h'!I48,'28.09 Kasangati-Matugga-24h'!I48,'29.09 Kasangati-Matugga'!I48)</f>
        <v>2.1428571428571428</v>
      </c>
      <c r="J48" s="49">
        <f>AVERAGE('23.09- Kasangati-Matuga'!J48,'24.09 Kasangati-Matugga'!J48,'25.09 Kasangati-Matugga'!J48,'27.09 Matugga-Kasangati'!J48,'26.09 Kasangati-Matugga-24h'!J48,'28.09 Kasangati-Matugga-24h'!J48,'29.09 Kasangati-Matugga'!J48)</f>
        <v>0.8571428571428571</v>
      </c>
      <c r="K48" s="49">
        <f>AVERAGE('23.09- Kasangati-Matuga'!K48,'24.09 Kasangati-Matugga'!K48,'25.09 Kasangati-Matugga'!K48,'27.09 Matugga-Kasangati'!K48,'26.09 Kasangati-Matugga-24h'!K48,'28.09 Kasangati-Matugga-24h'!K48,'29.09 Kasangati-Matugga'!K48)</f>
        <v>0.14285714285714285</v>
      </c>
      <c r="L48" s="49">
        <f>AVERAGE('23.09- Kasangati-Matuga'!L48,'24.09 Kasangati-Matugga'!L48,'25.09 Kasangati-Matugga'!L48,'27.09 Matugga-Kasangati'!L48,'26.09 Kasangati-Matugga-24h'!L48,'28.09 Kasangati-Matugga-24h'!L48,'29.09 Kasangati-Matugga'!L48)</f>
        <v>0.14285714285714285</v>
      </c>
      <c r="M48" s="49">
        <f>AVERAGE('23.09- Kasangati-Matuga'!M48,'24.09 Kasangati-Matugga'!M48,'25.09 Kasangati-Matugga'!M48,'27.09 Matugga-Kasangati'!M48,'26.09 Kasangati-Matugga-24h'!M48,'28.09 Kasangati-Matugga-24h'!M48,'29.09 Kasangati-Matugga'!M48)</f>
        <v>34.571428571428569</v>
      </c>
      <c r="N48" s="49">
        <f>AVERAGE('23.09- Kasangati-Matuga'!N48,'24.09 Kasangati-Matugga'!N48,'25.09 Kasangati-Matugga'!N48,'27.09 Matugga-Kasangati'!N48,'26.09 Kasangati-Matugga-24h'!N48,'28.09 Kasangati-Matugga-24h'!N48,'29.09 Kasangati-Matugga'!N48)</f>
        <v>0</v>
      </c>
      <c r="O48" s="15">
        <f t="shared" si="0"/>
        <v>28.285714285714281</v>
      </c>
      <c r="P48" s="15">
        <f t="shared" si="1"/>
        <v>62.857142857142847</v>
      </c>
      <c r="R48" s="8"/>
      <c r="T48"/>
    </row>
    <row r="49" spans="2:20" ht="23.1" customHeight="1" x14ac:dyDescent="0.25">
      <c r="B49" s="23" t="s">
        <v>76</v>
      </c>
      <c r="C49" s="49">
        <f>AVERAGE('23.09- Kasangati-Matuga'!C49,'24.09 Kasangati-Matugga'!C49,'25.09 Kasangati-Matugga'!C49,'27.09 Matugga-Kasangati'!C49,'26.09 Kasangati-Matugga-24h'!C49,'28.09 Kasangati-Matugga-24h'!C49,'29.09 Kasangati-Matugga'!C49)</f>
        <v>15.857142857142858</v>
      </c>
      <c r="D49" s="49">
        <f>AVERAGE('23.09- Kasangati-Matuga'!D49,'24.09 Kasangati-Matugga'!D49,'25.09 Kasangati-Matugga'!D49,'27.09 Matugga-Kasangati'!D49,'26.09 Kasangati-Matugga-24h'!D49,'28.09 Kasangati-Matugga-24h'!D49,'29.09 Kasangati-Matugga'!D49)</f>
        <v>5</v>
      </c>
      <c r="E49" s="49">
        <f>AVERAGE('23.09- Kasangati-Matuga'!E49,'24.09 Kasangati-Matugga'!E49,'25.09 Kasangati-Matugga'!E49,'27.09 Matugga-Kasangati'!E49,'26.09 Kasangati-Matugga-24h'!E49,'28.09 Kasangati-Matugga-24h'!E49,'29.09 Kasangati-Matugga'!E49)</f>
        <v>1.7142857142857142</v>
      </c>
      <c r="F49" s="49">
        <f>AVERAGE('23.09- Kasangati-Matuga'!F49,'24.09 Kasangati-Matugga'!F49,'25.09 Kasangati-Matugga'!F49,'27.09 Matugga-Kasangati'!F49,'26.09 Kasangati-Matugga-24h'!F49,'28.09 Kasangati-Matugga-24h'!F49,'29.09 Kasangati-Matugga'!F49)</f>
        <v>3</v>
      </c>
      <c r="G49" s="49">
        <f>AVERAGE('23.09- Kasangati-Matuga'!G49,'24.09 Kasangati-Matugga'!G49,'25.09 Kasangati-Matugga'!G49,'27.09 Matugga-Kasangati'!G49,'26.09 Kasangati-Matugga-24h'!G49,'28.09 Kasangati-Matugga-24h'!G49,'29.09 Kasangati-Matugga'!G49)</f>
        <v>0.2857142857142857</v>
      </c>
      <c r="H49" s="49">
        <f>AVERAGE('23.09- Kasangati-Matuga'!H49,'24.09 Kasangati-Matugga'!H49,'25.09 Kasangati-Matugga'!H49,'27.09 Matugga-Kasangati'!H49,'26.09 Kasangati-Matugga-24h'!H49,'28.09 Kasangati-Matugga-24h'!H49,'29.09 Kasangati-Matugga'!H49)</f>
        <v>0.2857142857142857</v>
      </c>
      <c r="I49" s="49">
        <f>AVERAGE('23.09- Kasangati-Matuga'!I49,'24.09 Kasangati-Matugga'!I49,'25.09 Kasangati-Matugga'!I49,'27.09 Matugga-Kasangati'!I49,'26.09 Kasangati-Matugga-24h'!I49,'28.09 Kasangati-Matugga-24h'!I49,'29.09 Kasangati-Matugga'!I49)</f>
        <v>3</v>
      </c>
      <c r="J49" s="49">
        <f>AVERAGE('23.09- Kasangati-Matuga'!J49,'24.09 Kasangati-Matugga'!J49,'25.09 Kasangati-Matugga'!J49,'27.09 Matugga-Kasangati'!J49,'26.09 Kasangati-Matugga-24h'!J49,'28.09 Kasangati-Matugga-24h'!J49,'29.09 Kasangati-Matugga'!J49)</f>
        <v>0.42857142857142855</v>
      </c>
      <c r="K49" s="49">
        <f>AVERAGE('23.09- Kasangati-Matuga'!K49,'24.09 Kasangati-Matugga'!K49,'25.09 Kasangati-Matugga'!K49,'27.09 Matugga-Kasangati'!K49,'26.09 Kasangati-Matugga-24h'!K49,'28.09 Kasangati-Matugga-24h'!K49,'29.09 Kasangati-Matugga'!K49)</f>
        <v>0</v>
      </c>
      <c r="L49" s="49">
        <f>AVERAGE('23.09- Kasangati-Matuga'!L49,'24.09 Kasangati-Matugga'!L49,'25.09 Kasangati-Matugga'!L49,'27.09 Matugga-Kasangati'!L49,'26.09 Kasangati-Matugga-24h'!L49,'28.09 Kasangati-Matugga-24h'!L49,'29.09 Kasangati-Matugga'!L49)</f>
        <v>0</v>
      </c>
      <c r="M49" s="49">
        <f>AVERAGE('23.09- Kasangati-Matuga'!M49,'24.09 Kasangati-Matugga'!M49,'25.09 Kasangati-Matugga'!M49,'27.09 Matugga-Kasangati'!M49,'26.09 Kasangati-Matugga-24h'!M49,'28.09 Kasangati-Matugga-24h'!M49,'29.09 Kasangati-Matugga'!M49)</f>
        <v>42.285714285714285</v>
      </c>
      <c r="N49" s="49">
        <f>AVERAGE('23.09- Kasangati-Matuga'!N49,'24.09 Kasangati-Matugga'!N49,'25.09 Kasangati-Matugga'!N49,'27.09 Matugga-Kasangati'!N49,'26.09 Kasangati-Matugga-24h'!N49,'28.09 Kasangati-Matugga-24h'!N49,'29.09 Kasangati-Matugga'!N49)</f>
        <v>0</v>
      </c>
      <c r="O49" s="15">
        <f t="shared" si="0"/>
        <v>29.571428571428569</v>
      </c>
      <c r="P49" s="15">
        <f t="shared" si="1"/>
        <v>71.857142857142861</v>
      </c>
      <c r="R49" s="8"/>
      <c r="T49"/>
    </row>
    <row r="50" spans="2:20" ht="23.1" customHeight="1" x14ac:dyDescent="0.25">
      <c r="B50" s="24" t="s">
        <v>77</v>
      </c>
      <c r="C50" s="49">
        <f>AVERAGE('23.09- Kasangati-Matuga'!C50,'24.09 Kasangati-Matugga'!C50,'25.09 Kasangati-Matugga'!C50,'27.09 Matugga-Kasangati'!C50,'26.09 Kasangati-Matugga-24h'!C50,'28.09 Kasangati-Matugga-24h'!C50,'29.09 Kasangati-Matugga'!C50)</f>
        <v>11.285714285714286</v>
      </c>
      <c r="D50" s="49">
        <f>AVERAGE('23.09- Kasangati-Matuga'!D50,'24.09 Kasangati-Matugga'!D50,'25.09 Kasangati-Matugga'!D50,'27.09 Matugga-Kasangati'!D50,'26.09 Kasangati-Matugga-24h'!D50,'28.09 Kasangati-Matugga-24h'!D50,'29.09 Kasangati-Matugga'!D50)</f>
        <v>6.2857142857142856</v>
      </c>
      <c r="E50" s="49">
        <f>AVERAGE('23.09- Kasangati-Matuga'!E50,'24.09 Kasangati-Matugga'!E50,'25.09 Kasangati-Matugga'!E50,'27.09 Matugga-Kasangati'!E50,'26.09 Kasangati-Matugga-24h'!E50,'28.09 Kasangati-Matugga-24h'!E50,'29.09 Kasangati-Matugga'!E50)</f>
        <v>3.7142857142857144</v>
      </c>
      <c r="F50" s="49">
        <f>AVERAGE('23.09- Kasangati-Matuga'!F50,'24.09 Kasangati-Matugga'!F50,'25.09 Kasangati-Matugga'!F50,'27.09 Matugga-Kasangati'!F50,'26.09 Kasangati-Matugga-24h'!F50,'28.09 Kasangati-Matugga-24h'!F50,'29.09 Kasangati-Matugga'!F50)</f>
        <v>4</v>
      </c>
      <c r="G50" s="49">
        <f>AVERAGE('23.09- Kasangati-Matuga'!G50,'24.09 Kasangati-Matugga'!G50,'25.09 Kasangati-Matugga'!G50,'27.09 Matugga-Kasangati'!G50,'26.09 Kasangati-Matugga-24h'!G50,'28.09 Kasangati-Matugga-24h'!G50,'29.09 Kasangati-Matugga'!G50)</f>
        <v>0.2857142857142857</v>
      </c>
      <c r="H50" s="49">
        <f>AVERAGE('23.09- Kasangati-Matuga'!H50,'24.09 Kasangati-Matugga'!H50,'25.09 Kasangati-Matugga'!H50,'27.09 Matugga-Kasangati'!H50,'26.09 Kasangati-Matugga-24h'!H50,'28.09 Kasangati-Matugga-24h'!H50,'29.09 Kasangati-Matugga'!H50)</f>
        <v>0</v>
      </c>
      <c r="I50" s="49">
        <f>AVERAGE('23.09- Kasangati-Matuga'!I50,'24.09 Kasangati-Matugga'!I50,'25.09 Kasangati-Matugga'!I50,'27.09 Matugga-Kasangati'!I50,'26.09 Kasangati-Matugga-24h'!I50,'28.09 Kasangati-Matugga-24h'!I50,'29.09 Kasangati-Matugga'!I50)</f>
        <v>2.1428571428571428</v>
      </c>
      <c r="J50" s="49">
        <f>AVERAGE('23.09- Kasangati-Matuga'!J50,'24.09 Kasangati-Matugga'!J50,'25.09 Kasangati-Matugga'!J50,'27.09 Matugga-Kasangati'!J50,'26.09 Kasangati-Matugga-24h'!J50,'28.09 Kasangati-Matugga-24h'!J50,'29.09 Kasangati-Matugga'!J50)</f>
        <v>1</v>
      </c>
      <c r="K50" s="49">
        <f>AVERAGE('23.09- Kasangati-Matuga'!K50,'24.09 Kasangati-Matugga'!K50,'25.09 Kasangati-Matugga'!K50,'27.09 Matugga-Kasangati'!K50,'26.09 Kasangati-Matugga-24h'!K50,'28.09 Kasangati-Matugga-24h'!K50,'29.09 Kasangati-Matugga'!K50)</f>
        <v>0.8571428571428571</v>
      </c>
      <c r="L50" s="49">
        <f>AVERAGE('23.09- Kasangati-Matuga'!L50,'24.09 Kasangati-Matugga'!L50,'25.09 Kasangati-Matugga'!L50,'27.09 Matugga-Kasangati'!L50,'26.09 Kasangati-Matugga-24h'!L50,'28.09 Kasangati-Matugga-24h'!L50,'29.09 Kasangati-Matugga'!L50)</f>
        <v>0</v>
      </c>
      <c r="M50" s="49">
        <f>AVERAGE('23.09- Kasangati-Matuga'!M50,'24.09 Kasangati-Matugga'!M50,'25.09 Kasangati-Matugga'!M50,'27.09 Matugga-Kasangati'!M50,'26.09 Kasangati-Matugga-24h'!M50,'28.09 Kasangati-Matugga-24h'!M50,'29.09 Kasangati-Matugga'!M50)</f>
        <v>36.571428571428569</v>
      </c>
      <c r="N50" s="49">
        <f>AVERAGE('23.09- Kasangati-Matuga'!N50,'24.09 Kasangati-Matugga'!N50,'25.09 Kasangati-Matugga'!N50,'27.09 Matugga-Kasangati'!N50,'26.09 Kasangati-Matugga-24h'!N50,'28.09 Kasangati-Matugga-24h'!N50,'29.09 Kasangati-Matugga'!N50)</f>
        <v>0</v>
      </c>
      <c r="O50" s="15">
        <f t="shared" si="0"/>
        <v>29.571428571428573</v>
      </c>
      <c r="P50" s="15">
        <f t="shared" si="1"/>
        <v>66.142857142857139</v>
      </c>
      <c r="R50" s="8"/>
      <c r="T50"/>
    </row>
    <row r="51" spans="2:20" ht="23.1" customHeight="1" x14ac:dyDescent="0.25">
      <c r="B51" s="24" t="s">
        <v>78</v>
      </c>
      <c r="C51" s="49">
        <f>AVERAGE('23.09- Kasangati-Matuga'!C51,'24.09 Kasangati-Matugga'!C51,'25.09 Kasangati-Matugga'!C51,'27.09 Matugga-Kasangati'!C51,'26.09 Kasangati-Matugga-24h'!C51,'28.09 Kasangati-Matugga-24h'!C51,'29.09 Kasangati-Matugga'!C51)</f>
        <v>12</v>
      </c>
      <c r="D51" s="49">
        <f>AVERAGE('23.09- Kasangati-Matuga'!D51,'24.09 Kasangati-Matugga'!D51,'25.09 Kasangati-Matugga'!D51,'27.09 Matugga-Kasangati'!D51,'26.09 Kasangati-Matugga-24h'!D51,'28.09 Kasangati-Matugga-24h'!D51,'29.09 Kasangati-Matugga'!D51)</f>
        <v>8</v>
      </c>
      <c r="E51" s="49">
        <f>AVERAGE('23.09- Kasangati-Matuga'!E51,'24.09 Kasangati-Matugga'!E51,'25.09 Kasangati-Matugga'!E51,'27.09 Matugga-Kasangati'!E51,'26.09 Kasangati-Matugga-24h'!E51,'28.09 Kasangati-Matugga-24h'!E51,'29.09 Kasangati-Matugga'!E51)</f>
        <v>2</v>
      </c>
      <c r="F51" s="49">
        <f>AVERAGE('23.09- Kasangati-Matuga'!F51,'24.09 Kasangati-Matugga'!F51,'25.09 Kasangati-Matugga'!F51,'27.09 Matugga-Kasangati'!F51,'26.09 Kasangati-Matugga-24h'!F51,'28.09 Kasangati-Matugga-24h'!F51,'29.09 Kasangati-Matugga'!F51)</f>
        <v>3.7142857142857144</v>
      </c>
      <c r="G51" s="49">
        <f>AVERAGE('23.09- Kasangati-Matuga'!G51,'24.09 Kasangati-Matugga'!G51,'25.09 Kasangati-Matugga'!G51,'27.09 Matugga-Kasangati'!G51,'26.09 Kasangati-Matugga-24h'!G51,'28.09 Kasangati-Matugga-24h'!G51,'29.09 Kasangati-Matugga'!G51)</f>
        <v>0.14285714285714285</v>
      </c>
      <c r="H51" s="49">
        <f>AVERAGE('23.09- Kasangati-Matuga'!H51,'24.09 Kasangati-Matugga'!H51,'25.09 Kasangati-Matugga'!H51,'27.09 Matugga-Kasangati'!H51,'26.09 Kasangati-Matugga-24h'!H51,'28.09 Kasangati-Matugga-24h'!H51,'29.09 Kasangati-Matugga'!H51)</f>
        <v>0</v>
      </c>
      <c r="I51" s="49">
        <f>AVERAGE('23.09- Kasangati-Matuga'!I51,'24.09 Kasangati-Matugga'!I51,'25.09 Kasangati-Matugga'!I51,'27.09 Matugga-Kasangati'!I51,'26.09 Kasangati-Matugga-24h'!I51,'28.09 Kasangati-Matugga-24h'!I51,'29.09 Kasangati-Matugga'!I51)</f>
        <v>1.8571428571428572</v>
      </c>
      <c r="J51" s="49">
        <f>AVERAGE('23.09- Kasangati-Matuga'!J51,'24.09 Kasangati-Matugga'!J51,'25.09 Kasangati-Matugga'!J51,'27.09 Matugga-Kasangati'!J51,'26.09 Kasangati-Matugga-24h'!J51,'28.09 Kasangati-Matugga-24h'!J51,'29.09 Kasangati-Matugga'!J51)</f>
        <v>1</v>
      </c>
      <c r="K51" s="49">
        <f>AVERAGE('23.09- Kasangati-Matuga'!K51,'24.09 Kasangati-Matugga'!K51,'25.09 Kasangati-Matugga'!K51,'27.09 Matugga-Kasangati'!K51,'26.09 Kasangati-Matugga-24h'!K51,'28.09 Kasangati-Matugga-24h'!K51,'29.09 Kasangati-Matugga'!K51)</f>
        <v>0</v>
      </c>
      <c r="L51" s="49">
        <f>AVERAGE('23.09- Kasangati-Matuga'!L51,'24.09 Kasangati-Matugga'!L51,'25.09 Kasangati-Matugga'!L51,'27.09 Matugga-Kasangati'!L51,'26.09 Kasangati-Matugga-24h'!L51,'28.09 Kasangati-Matugga-24h'!L51,'29.09 Kasangati-Matugga'!L51)</f>
        <v>0</v>
      </c>
      <c r="M51" s="49">
        <f>AVERAGE('23.09- Kasangati-Matuga'!M51,'24.09 Kasangati-Matugga'!M51,'25.09 Kasangati-Matugga'!M51,'27.09 Matugga-Kasangati'!M51,'26.09 Kasangati-Matugga-24h'!M51,'28.09 Kasangati-Matugga-24h'!M51,'29.09 Kasangati-Matugga'!M51)</f>
        <v>42.714285714285715</v>
      </c>
      <c r="N51" s="49">
        <f>AVERAGE('23.09- Kasangati-Matuga'!N51,'24.09 Kasangati-Matugga'!N51,'25.09 Kasangati-Matugga'!N51,'27.09 Matugga-Kasangati'!N51,'26.09 Kasangati-Matugga-24h'!N51,'28.09 Kasangati-Matugga-24h'!N51,'29.09 Kasangati-Matugga'!N51)</f>
        <v>0.14285714285714285</v>
      </c>
      <c r="O51" s="15">
        <f t="shared" si="0"/>
        <v>28.857142857142858</v>
      </c>
      <c r="P51" s="15">
        <f t="shared" si="1"/>
        <v>71.571428571428569</v>
      </c>
      <c r="R51" s="8"/>
      <c r="T51"/>
    </row>
    <row r="52" spans="2:20" ht="23.1" customHeight="1" x14ac:dyDescent="0.25">
      <c r="B52" s="24" t="s">
        <v>79</v>
      </c>
      <c r="C52" s="49">
        <f>AVERAGE('23.09- Kasangati-Matuga'!C52,'24.09 Kasangati-Matugga'!C52,'25.09 Kasangati-Matugga'!C52,'27.09 Matugga-Kasangati'!C52,'26.09 Kasangati-Matugga-24h'!C52,'28.09 Kasangati-Matugga-24h'!C52,'29.09 Kasangati-Matugga'!C52)</f>
        <v>15.428571428571429</v>
      </c>
      <c r="D52" s="49">
        <f>AVERAGE('23.09- Kasangati-Matuga'!D52,'24.09 Kasangati-Matugga'!D52,'25.09 Kasangati-Matugga'!D52,'27.09 Matugga-Kasangati'!D52,'26.09 Kasangati-Matugga-24h'!D52,'28.09 Kasangati-Matugga-24h'!D52,'29.09 Kasangati-Matugga'!D52)</f>
        <v>7.4285714285714288</v>
      </c>
      <c r="E52" s="49">
        <f>AVERAGE('23.09- Kasangati-Matuga'!E52,'24.09 Kasangati-Matugga'!E52,'25.09 Kasangati-Matugga'!E52,'27.09 Matugga-Kasangati'!E52,'26.09 Kasangati-Matugga-24h'!E52,'28.09 Kasangati-Matugga-24h'!E52,'29.09 Kasangati-Matugga'!E52)</f>
        <v>3.4285714285714284</v>
      </c>
      <c r="F52" s="49">
        <f>AVERAGE('23.09- Kasangati-Matuga'!F52,'24.09 Kasangati-Matugga'!F52,'25.09 Kasangati-Matugga'!F52,'27.09 Matugga-Kasangati'!F52,'26.09 Kasangati-Matugga-24h'!F52,'28.09 Kasangati-Matugga-24h'!F52,'29.09 Kasangati-Matugga'!F52)</f>
        <v>4.2857142857142856</v>
      </c>
      <c r="G52" s="49">
        <f>AVERAGE('23.09- Kasangati-Matuga'!G52,'24.09 Kasangati-Matugga'!G52,'25.09 Kasangati-Matugga'!G52,'27.09 Matugga-Kasangati'!G52,'26.09 Kasangati-Matugga-24h'!G52,'28.09 Kasangati-Matugga-24h'!G52,'29.09 Kasangati-Matugga'!G52)</f>
        <v>0</v>
      </c>
      <c r="H52" s="49">
        <f>AVERAGE('23.09- Kasangati-Matuga'!H52,'24.09 Kasangati-Matugga'!H52,'25.09 Kasangati-Matugga'!H52,'27.09 Matugga-Kasangati'!H52,'26.09 Kasangati-Matugga-24h'!H52,'28.09 Kasangati-Matugga-24h'!H52,'29.09 Kasangati-Matugga'!H52)</f>
        <v>0.14285714285714285</v>
      </c>
      <c r="I52" s="49">
        <f>AVERAGE('23.09- Kasangati-Matuga'!I52,'24.09 Kasangati-Matugga'!I52,'25.09 Kasangati-Matugga'!I52,'27.09 Matugga-Kasangati'!I52,'26.09 Kasangati-Matugga-24h'!I52,'28.09 Kasangati-Matugga-24h'!I52,'29.09 Kasangati-Matugga'!I52)</f>
        <v>1.8571428571428572</v>
      </c>
      <c r="J52" s="49">
        <f>AVERAGE('23.09- Kasangati-Matuga'!J52,'24.09 Kasangati-Matugga'!J52,'25.09 Kasangati-Matugga'!J52,'27.09 Matugga-Kasangati'!J52,'26.09 Kasangati-Matugga-24h'!J52,'28.09 Kasangati-Matugga-24h'!J52,'29.09 Kasangati-Matugga'!J52)</f>
        <v>0.14285714285714285</v>
      </c>
      <c r="K52" s="49">
        <f>AVERAGE('23.09- Kasangati-Matuga'!K52,'24.09 Kasangati-Matugga'!K52,'25.09 Kasangati-Matugga'!K52,'27.09 Matugga-Kasangati'!K52,'26.09 Kasangati-Matugga-24h'!K52,'28.09 Kasangati-Matugga-24h'!K52,'29.09 Kasangati-Matugga'!K52)</f>
        <v>0.14285714285714285</v>
      </c>
      <c r="L52" s="49">
        <f>AVERAGE('23.09- Kasangati-Matuga'!L52,'24.09 Kasangati-Matugga'!L52,'25.09 Kasangati-Matugga'!L52,'27.09 Matugga-Kasangati'!L52,'26.09 Kasangati-Matugga-24h'!L52,'28.09 Kasangati-Matugga-24h'!L52,'29.09 Kasangati-Matugga'!L52)</f>
        <v>0.2857142857142857</v>
      </c>
      <c r="M52" s="49">
        <f>AVERAGE('23.09- Kasangati-Matuga'!M52,'24.09 Kasangati-Matugga'!M52,'25.09 Kasangati-Matugga'!M52,'27.09 Matugga-Kasangati'!M52,'26.09 Kasangati-Matugga-24h'!M52,'28.09 Kasangati-Matugga-24h'!M52,'29.09 Kasangati-Matugga'!M52)</f>
        <v>41</v>
      </c>
      <c r="N52" s="49">
        <f>AVERAGE('23.09- Kasangati-Matuga'!N52,'24.09 Kasangati-Matugga'!N52,'25.09 Kasangati-Matugga'!N52,'27.09 Matugga-Kasangati'!N52,'26.09 Kasangati-Matugga-24h'!N52,'28.09 Kasangati-Matugga-24h'!N52,'29.09 Kasangati-Matugga'!N52)</f>
        <v>0</v>
      </c>
      <c r="O52" s="15">
        <f t="shared" si="0"/>
        <v>33.142857142857146</v>
      </c>
      <c r="P52" s="15">
        <f t="shared" si="1"/>
        <v>74.142857142857139</v>
      </c>
      <c r="R52" s="8"/>
      <c r="T52"/>
    </row>
    <row r="53" spans="2:20" ht="23.1" customHeight="1" x14ac:dyDescent="0.25">
      <c r="B53" s="23" t="s">
        <v>80</v>
      </c>
      <c r="C53" s="49">
        <f>AVERAGE('23.09- Kasangati-Matuga'!C53,'24.09 Kasangati-Matugga'!C53,'25.09 Kasangati-Matugga'!C53,'27.09 Matugga-Kasangati'!C53,'26.09 Kasangati-Matugga-24h'!C53,'28.09 Kasangati-Matugga-24h'!C53,'29.09 Kasangati-Matugga'!C53)</f>
        <v>13.571428571428571</v>
      </c>
      <c r="D53" s="49">
        <f>AVERAGE('23.09- Kasangati-Matuga'!D53,'24.09 Kasangati-Matugga'!D53,'25.09 Kasangati-Matugga'!D53,'27.09 Matugga-Kasangati'!D53,'26.09 Kasangati-Matugga-24h'!D53,'28.09 Kasangati-Matugga-24h'!D53,'29.09 Kasangati-Matugga'!D53)</f>
        <v>5.5714285714285712</v>
      </c>
      <c r="E53" s="49">
        <f>AVERAGE('23.09- Kasangati-Matuga'!E53,'24.09 Kasangati-Matugga'!E53,'25.09 Kasangati-Matugga'!E53,'27.09 Matugga-Kasangati'!E53,'26.09 Kasangati-Matugga-24h'!E53,'28.09 Kasangati-Matugga-24h'!E53,'29.09 Kasangati-Matugga'!E53)</f>
        <v>2</v>
      </c>
      <c r="F53" s="49">
        <f>AVERAGE('23.09- Kasangati-Matuga'!F53,'24.09 Kasangati-Matugga'!F53,'25.09 Kasangati-Matugga'!F53,'27.09 Matugga-Kasangati'!F53,'26.09 Kasangati-Matugga-24h'!F53,'28.09 Kasangati-Matugga-24h'!F53,'29.09 Kasangati-Matugga'!F53)</f>
        <v>3.8571428571428572</v>
      </c>
      <c r="G53" s="49">
        <f>AVERAGE('23.09- Kasangati-Matuga'!G53,'24.09 Kasangati-Matugga'!G53,'25.09 Kasangati-Matugga'!G53,'27.09 Matugga-Kasangati'!G53,'26.09 Kasangati-Matugga-24h'!G53,'28.09 Kasangati-Matugga-24h'!G53,'29.09 Kasangati-Matugga'!G53)</f>
        <v>0.2857142857142857</v>
      </c>
      <c r="H53" s="49">
        <f>AVERAGE('23.09- Kasangati-Matuga'!H53,'24.09 Kasangati-Matugga'!H53,'25.09 Kasangati-Matugga'!H53,'27.09 Matugga-Kasangati'!H53,'26.09 Kasangati-Matugga-24h'!H53,'28.09 Kasangati-Matugga-24h'!H53,'29.09 Kasangati-Matugga'!H53)</f>
        <v>0.2857142857142857</v>
      </c>
      <c r="I53" s="49">
        <f>AVERAGE('23.09- Kasangati-Matuga'!I53,'24.09 Kasangati-Matugga'!I53,'25.09 Kasangati-Matugga'!I53,'27.09 Matugga-Kasangati'!I53,'26.09 Kasangati-Matugga-24h'!I53,'28.09 Kasangati-Matugga-24h'!I53,'29.09 Kasangati-Matugga'!I53)</f>
        <v>2.7142857142857144</v>
      </c>
      <c r="J53" s="49">
        <f>AVERAGE('23.09- Kasangati-Matuga'!J53,'24.09 Kasangati-Matugga'!J53,'25.09 Kasangati-Matugga'!J53,'27.09 Matugga-Kasangati'!J53,'26.09 Kasangati-Matugga-24h'!J53,'28.09 Kasangati-Matugga-24h'!J53,'29.09 Kasangati-Matugga'!J53)</f>
        <v>0.5714285714285714</v>
      </c>
      <c r="K53" s="49">
        <f>AVERAGE('23.09- Kasangati-Matuga'!K53,'24.09 Kasangati-Matugga'!K53,'25.09 Kasangati-Matugga'!K53,'27.09 Matugga-Kasangati'!K53,'26.09 Kasangati-Matugga-24h'!K53,'28.09 Kasangati-Matugga-24h'!K53,'29.09 Kasangati-Matugga'!K53)</f>
        <v>0</v>
      </c>
      <c r="L53" s="49">
        <f>AVERAGE('23.09- Kasangati-Matuga'!L53,'24.09 Kasangati-Matugga'!L53,'25.09 Kasangati-Matugga'!L53,'27.09 Matugga-Kasangati'!L53,'26.09 Kasangati-Matugga-24h'!L53,'28.09 Kasangati-Matugga-24h'!L53,'29.09 Kasangati-Matugga'!L53)</f>
        <v>0.14285714285714285</v>
      </c>
      <c r="M53" s="49">
        <f>AVERAGE('23.09- Kasangati-Matuga'!M53,'24.09 Kasangati-Matugga'!M53,'25.09 Kasangati-Matugga'!M53,'27.09 Matugga-Kasangati'!M53,'26.09 Kasangati-Matugga-24h'!M53,'28.09 Kasangati-Matugga-24h'!M53,'29.09 Kasangati-Matugga'!M53)</f>
        <v>39.571428571428569</v>
      </c>
      <c r="N53" s="49">
        <f>AVERAGE('23.09- Kasangati-Matuga'!N53,'24.09 Kasangati-Matugga'!N53,'25.09 Kasangati-Matugga'!N53,'27.09 Matugga-Kasangati'!N53,'26.09 Kasangati-Matugga-24h'!N53,'28.09 Kasangati-Matugga-24h'!N53,'29.09 Kasangati-Matugga'!N53)</f>
        <v>0</v>
      </c>
      <c r="O53" s="15">
        <f t="shared" si="0"/>
        <v>29</v>
      </c>
      <c r="P53" s="15">
        <f t="shared" si="1"/>
        <v>68.571428571428569</v>
      </c>
      <c r="R53" s="8"/>
      <c r="T53"/>
    </row>
    <row r="54" spans="2:20" ht="23.1" customHeight="1" x14ac:dyDescent="0.25">
      <c r="B54" s="23" t="s">
        <v>81</v>
      </c>
      <c r="C54" s="49">
        <f>AVERAGE('23.09- Kasangati-Matuga'!C54,'24.09 Kasangati-Matugga'!C54,'25.09 Kasangati-Matugga'!C54,'27.09 Matugga-Kasangati'!C54,'26.09 Kasangati-Matugga-24h'!C54,'28.09 Kasangati-Matugga-24h'!C54,'29.09 Kasangati-Matugga'!C54)</f>
        <v>15.285714285714286</v>
      </c>
      <c r="D54" s="49">
        <f>AVERAGE('23.09- Kasangati-Matuga'!D54,'24.09 Kasangati-Matugga'!D54,'25.09 Kasangati-Matugga'!D54,'27.09 Matugga-Kasangati'!D54,'26.09 Kasangati-Matugga-24h'!D54,'28.09 Kasangati-Matugga-24h'!D54,'29.09 Kasangati-Matugga'!D54)</f>
        <v>4.2857142857142856</v>
      </c>
      <c r="E54" s="49">
        <f>AVERAGE('23.09- Kasangati-Matuga'!E54,'24.09 Kasangati-Matugga'!E54,'25.09 Kasangati-Matugga'!E54,'27.09 Matugga-Kasangati'!E54,'26.09 Kasangati-Matugga-24h'!E54,'28.09 Kasangati-Matugga-24h'!E54,'29.09 Kasangati-Matugga'!E54)</f>
        <v>3.4285714285714284</v>
      </c>
      <c r="F54" s="49">
        <f>AVERAGE('23.09- Kasangati-Matuga'!F54,'24.09 Kasangati-Matugga'!F54,'25.09 Kasangati-Matugga'!F54,'27.09 Matugga-Kasangati'!F54,'26.09 Kasangati-Matugga-24h'!F54,'28.09 Kasangati-Matugga-24h'!F54,'29.09 Kasangati-Matugga'!F54)</f>
        <v>6</v>
      </c>
      <c r="G54" s="49">
        <f>AVERAGE('23.09- Kasangati-Matuga'!G54,'24.09 Kasangati-Matugga'!G54,'25.09 Kasangati-Matugga'!G54,'27.09 Matugga-Kasangati'!G54,'26.09 Kasangati-Matugga-24h'!G54,'28.09 Kasangati-Matugga-24h'!G54,'29.09 Kasangati-Matugga'!G54)</f>
        <v>0</v>
      </c>
      <c r="H54" s="49">
        <f>AVERAGE('23.09- Kasangati-Matuga'!H54,'24.09 Kasangati-Matugga'!H54,'25.09 Kasangati-Matugga'!H54,'27.09 Matugga-Kasangati'!H54,'26.09 Kasangati-Matugga-24h'!H54,'28.09 Kasangati-Matugga-24h'!H54,'29.09 Kasangati-Matugga'!H54)</f>
        <v>0</v>
      </c>
      <c r="I54" s="49">
        <f>AVERAGE('23.09- Kasangati-Matuga'!I54,'24.09 Kasangati-Matugga'!I54,'25.09 Kasangati-Matugga'!I54,'27.09 Matugga-Kasangati'!I54,'26.09 Kasangati-Matugga-24h'!I54,'28.09 Kasangati-Matugga-24h'!I54,'29.09 Kasangati-Matugga'!I54)</f>
        <v>2.8571428571428572</v>
      </c>
      <c r="J54" s="49">
        <f>AVERAGE('23.09- Kasangati-Matuga'!J54,'24.09 Kasangati-Matugga'!J54,'25.09 Kasangati-Matugga'!J54,'27.09 Matugga-Kasangati'!J54,'26.09 Kasangati-Matugga-24h'!J54,'28.09 Kasangati-Matugga-24h'!J54,'29.09 Kasangati-Matugga'!J54)</f>
        <v>0.42857142857142855</v>
      </c>
      <c r="K54" s="49">
        <f>AVERAGE('23.09- Kasangati-Matuga'!K54,'24.09 Kasangati-Matugga'!K54,'25.09 Kasangati-Matugga'!K54,'27.09 Matugga-Kasangati'!K54,'26.09 Kasangati-Matugga-24h'!K54,'28.09 Kasangati-Matugga-24h'!K54,'29.09 Kasangati-Matugga'!K54)</f>
        <v>0</v>
      </c>
      <c r="L54" s="49">
        <f>AVERAGE('23.09- Kasangati-Matuga'!L54,'24.09 Kasangati-Matugga'!L54,'25.09 Kasangati-Matugga'!L54,'27.09 Matugga-Kasangati'!L54,'26.09 Kasangati-Matugga-24h'!L54,'28.09 Kasangati-Matugga-24h'!L54,'29.09 Kasangati-Matugga'!L54)</f>
        <v>0.2857142857142857</v>
      </c>
      <c r="M54" s="49">
        <f>AVERAGE('23.09- Kasangati-Matuga'!M54,'24.09 Kasangati-Matugga'!M54,'25.09 Kasangati-Matugga'!M54,'27.09 Matugga-Kasangati'!M54,'26.09 Kasangati-Matugga-24h'!M54,'28.09 Kasangati-Matugga-24h'!M54,'29.09 Kasangati-Matugga'!M54)</f>
        <v>41.857142857142854</v>
      </c>
      <c r="N54" s="49">
        <f>AVERAGE('23.09- Kasangati-Matuga'!N54,'24.09 Kasangati-Matugga'!N54,'25.09 Kasangati-Matugga'!N54,'27.09 Matugga-Kasangati'!N54,'26.09 Kasangati-Matugga-24h'!N54,'28.09 Kasangati-Matugga-24h'!N54,'29.09 Kasangati-Matugga'!N54)</f>
        <v>0</v>
      </c>
      <c r="O54" s="15">
        <f t="shared" si="0"/>
        <v>32.571428571428569</v>
      </c>
      <c r="P54" s="15">
        <f t="shared" si="1"/>
        <v>74.428571428571416</v>
      </c>
      <c r="R54" s="8"/>
      <c r="T54"/>
    </row>
    <row r="55" spans="2:20" ht="23.1" customHeight="1" x14ac:dyDescent="0.25">
      <c r="B55" s="23" t="s">
        <v>82</v>
      </c>
      <c r="C55" s="49">
        <f>AVERAGE('23.09- Kasangati-Matuga'!C55,'24.09 Kasangati-Matugga'!C55,'25.09 Kasangati-Matugga'!C55,'27.09 Matugga-Kasangati'!C55,'26.09 Kasangati-Matugga-24h'!C55,'28.09 Kasangati-Matugga-24h'!C55,'29.09 Kasangati-Matugga'!C55)</f>
        <v>15</v>
      </c>
      <c r="D55" s="49">
        <f>AVERAGE('23.09- Kasangati-Matuga'!D55,'24.09 Kasangati-Matugga'!D55,'25.09 Kasangati-Matugga'!D55,'27.09 Matugga-Kasangati'!D55,'26.09 Kasangati-Matugga-24h'!D55,'28.09 Kasangati-Matugga-24h'!D55,'29.09 Kasangati-Matugga'!D55)</f>
        <v>6.7142857142857144</v>
      </c>
      <c r="E55" s="49">
        <f>AVERAGE('23.09- Kasangati-Matuga'!E55,'24.09 Kasangati-Matugga'!E55,'25.09 Kasangati-Matugga'!E55,'27.09 Matugga-Kasangati'!E55,'26.09 Kasangati-Matugga-24h'!E55,'28.09 Kasangati-Matugga-24h'!E55,'29.09 Kasangati-Matugga'!E55)</f>
        <v>2.5714285714285716</v>
      </c>
      <c r="F55" s="49">
        <f>AVERAGE('23.09- Kasangati-Matuga'!F55,'24.09 Kasangati-Matugga'!F55,'25.09 Kasangati-Matugga'!F55,'27.09 Matugga-Kasangati'!F55,'26.09 Kasangati-Matugga-24h'!F55,'28.09 Kasangati-Matugga-24h'!F55,'29.09 Kasangati-Matugga'!F55)</f>
        <v>5.1428571428571432</v>
      </c>
      <c r="G55" s="49">
        <f>AVERAGE('23.09- Kasangati-Matuga'!G55,'24.09 Kasangati-Matugga'!G55,'25.09 Kasangati-Matugga'!G55,'27.09 Matugga-Kasangati'!G55,'26.09 Kasangati-Matugga-24h'!G55,'28.09 Kasangati-Matugga-24h'!G55,'29.09 Kasangati-Matugga'!G55)</f>
        <v>0.14285714285714285</v>
      </c>
      <c r="H55" s="49">
        <f>AVERAGE('23.09- Kasangati-Matuga'!I55,'24.09 Kasangati-Matugga'!H55,'25.09 Kasangati-Matugga'!H55,'27.09 Matugga-Kasangati'!H55,'26.09 Kasangati-Matugga-24h'!H55,'28.09 Kasangati-Matugga-24h'!H55,'29.09 Kasangati-Matugga'!H55)</f>
        <v>0.5714285714285714</v>
      </c>
      <c r="I55" s="49">
        <f>AVERAGE('23.09- Kasangati-Matuga'!J55,'24.09 Kasangati-Matugga'!I55,'25.09 Kasangati-Matugga'!I55,'27.09 Matugga-Kasangati'!I55,'26.09 Kasangati-Matugga-24h'!I55,'28.09 Kasangati-Matugga-24h'!I55,'29.09 Kasangati-Matugga'!I55)</f>
        <v>2</v>
      </c>
      <c r="J55" s="49">
        <f>AVERAGE('23.09- Kasangati-Matuga'!K55,'24.09 Kasangati-Matugga'!J55,'25.09 Kasangati-Matugga'!J55,'27.09 Matugga-Kasangati'!J55,'26.09 Kasangati-Matugga-24h'!J55,'28.09 Kasangati-Matugga-24h'!J55,'29.09 Kasangati-Matugga'!J55)</f>
        <v>0.2857142857142857</v>
      </c>
      <c r="K55" s="49">
        <f>AVERAGE('23.09- Kasangati-Matuga'!K55,'24.09 Kasangati-Matugga'!K55,'25.09 Kasangati-Matugga'!K55,'27.09 Matugga-Kasangati'!K55,'26.09 Kasangati-Matugga-24h'!K55,'28.09 Kasangati-Matugga-24h'!K55,'29.09 Kasangati-Matugga'!K55)</f>
        <v>0</v>
      </c>
      <c r="L55" s="49">
        <f>AVERAGE('23.09- Kasangati-Matuga'!L55,'24.09 Kasangati-Matugga'!L55,'25.09 Kasangati-Matugga'!L55,'27.09 Matugga-Kasangati'!L55,'26.09 Kasangati-Matugga-24h'!L55,'28.09 Kasangati-Matugga-24h'!L55,'29.09 Kasangati-Matugga'!L55)</f>
        <v>0</v>
      </c>
      <c r="M55" s="49">
        <f>AVERAGE('23.09- Kasangati-Matuga'!M55,'24.09 Kasangati-Matugga'!M55,'25.09 Kasangati-Matugga'!M55,'27.09 Matugga-Kasangati'!M55,'26.09 Kasangati-Matugga-24h'!M55,'28.09 Kasangati-Matugga-24h'!M55,'29.09 Kasangati-Matugga'!M55)</f>
        <v>42.571428571428569</v>
      </c>
      <c r="N55" s="49">
        <f>AVERAGE('23.09- Kasangati-Matuga'!N55,'24.09 Kasangati-Matugga'!N55,'25.09 Kasangati-Matugga'!N55,'27.09 Matugga-Kasangati'!N55,'26.09 Kasangati-Matugga-24h'!N55,'28.09 Kasangati-Matugga-24h'!N55,'29.09 Kasangati-Matugga'!N55)</f>
        <v>0</v>
      </c>
      <c r="O55" s="15">
        <f t="shared" si="0"/>
        <v>32.428571428571431</v>
      </c>
      <c r="P55" s="15">
        <f t="shared" si="1"/>
        <v>75</v>
      </c>
      <c r="R55" s="8"/>
      <c r="T55"/>
    </row>
    <row r="56" spans="2:20" ht="23.1" customHeight="1" x14ac:dyDescent="0.25">
      <c r="B56" s="23" t="s">
        <v>83</v>
      </c>
      <c r="C56" s="49">
        <f>AVERAGE('23.09- Kasangati-Matuga'!C56,'24.09 Kasangati-Matugga'!C56,'25.09 Kasangati-Matugga'!C56,'27.09 Matugga-Kasangati'!C56,'26.09 Kasangati-Matugga-24h'!C56,'28.09 Kasangati-Matugga-24h'!C56,'29.09 Kasangati-Matugga'!C56)</f>
        <v>12.571428571428571</v>
      </c>
      <c r="D56" s="49">
        <f>AVERAGE('23.09- Kasangati-Matuga'!D56,'24.09 Kasangati-Matugga'!D56,'25.09 Kasangati-Matugga'!D56,'27.09 Matugga-Kasangati'!D56,'26.09 Kasangati-Matugga-24h'!D56,'28.09 Kasangati-Matugga-24h'!D56,'29.09 Kasangati-Matugga'!D56)</f>
        <v>7.8571428571428568</v>
      </c>
      <c r="E56" s="49">
        <f>AVERAGE('23.09- Kasangati-Matuga'!E56,'24.09 Kasangati-Matugga'!E56,'25.09 Kasangati-Matugga'!E56,'27.09 Matugga-Kasangati'!E56,'26.09 Kasangati-Matugga-24h'!E56,'28.09 Kasangati-Matugga-24h'!E56,'29.09 Kasangati-Matugga'!E56)</f>
        <v>2.4285714285714284</v>
      </c>
      <c r="F56" s="49">
        <f>AVERAGE('23.09- Kasangati-Matuga'!F56,'24.09 Kasangati-Matugga'!F56,'25.09 Kasangati-Matugga'!F56,'27.09 Matugga-Kasangati'!F56,'26.09 Kasangati-Matugga-24h'!F56,'28.09 Kasangati-Matugga-24h'!F56,'29.09 Kasangati-Matugga'!F56)</f>
        <v>5</v>
      </c>
      <c r="G56" s="49">
        <f>AVERAGE('23.09- Kasangati-Matuga'!G56,'24.09 Kasangati-Matugga'!G56,'25.09 Kasangati-Matugga'!G56,'27.09 Matugga-Kasangati'!G56,'26.09 Kasangati-Matugga-24h'!G56,'28.09 Kasangati-Matugga-24h'!G56,'29.09 Kasangati-Matugga'!G56)</f>
        <v>0</v>
      </c>
      <c r="H56" s="49">
        <f>AVERAGE('23.09- Kasangati-Matuga'!H56,'24.09 Kasangati-Matugga'!H56,'25.09 Kasangati-Matugga'!H56,'27.09 Matugga-Kasangati'!H56,'26.09 Kasangati-Matugga-24h'!H56,'28.09 Kasangati-Matugga-24h'!H56,'29.09 Kasangati-Matugga'!H56)</f>
        <v>0</v>
      </c>
      <c r="I56" s="49">
        <f>AVERAGE('23.09- Kasangati-Matuga'!I56,'24.09 Kasangati-Matugga'!I56,'25.09 Kasangati-Matugga'!I56,'27.09 Matugga-Kasangati'!I56,'26.09 Kasangati-Matugga-24h'!I56,'28.09 Kasangati-Matugga-24h'!I56,'29.09 Kasangati-Matugga'!I56)</f>
        <v>1.4285714285714286</v>
      </c>
      <c r="J56" s="49">
        <f>AVERAGE('23.09- Kasangati-Matuga'!J56,'24.09 Kasangati-Matugga'!J56,'25.09 Kasangati-Matugga'!J56,'27.09 Matugga-Kasangati'!J56,'26.09 Kasangati-Matugga-24h'!J56,'28.09 Kasangati-Matugga-24h'!J56,'29.09 Kasangati-Matugga'!J56)</f>
        <v>0.7142857142857143</v>
      </c>
      <c r="K56" s="49">
        <f>AVERAGE('23.09- Kasangati-Matuga'!K56,'24.09 Kasangati-Matugga'!K56,'25.09 Kasangati-Matugga'!K56,'27.09 Matugga-Kasangati'!K56,'26.09 Kasangati-Matugga-24h'!K56,'28.09 Kasangati-Matugga-24h'!K56,'29.09 Kasangati-Matugga'!K56)</f>
        <v>0</v>
      </c>
      <c r="L56" s="49">
        <f>AVERAGE('23.09- Kasangati-Matuga'!L56,'24.09 Kasangati-Matugga'!L56,'25.09 Kasangati-Matugga'!L56,'27.09 Matugga-Kasangati'!L56,'26.09 Kasangati-Matugga-24h'!L56,'28.09 Kasangati-Matugga-24h'!L56,'29.09 Kasangati-Matugga'!L56)</f>
        <v>0.2857142857142857</v>
      </c>
      <c r="M56" s="49">
        <f>AVERAGE('23.09- Kasangati-Matuga'!M56,'24.09 Kasangati-Matugga'!M56,'25.09 Kasangati-Matugga'!M56,'27.09 Matugga-Kasangati'!M56,'26.09 Kasangati-Matugga-24h'!M56,'28.09 Kasangati-Matugga-24h'!M56,'29.09 Kasangati-Matugga'!M56)</f>
        <v>39.571428571428569</v>
      </c>
      <c r="N56" s="49">
        <f>AVERAGE('23.09- Kasangati-Matuga'!N56,'24.09 Kasangati-Matugga'!N56,'25.09 Kasangati-Matugga'!N56,'27.09 Matugga-Kasangati'!N56,'26.09 Kasangati-Matugga-24h'!N56,'28.09 Kasangati-Matugga-24h'!N56,'29.09 Kasangati-Matugga'!N56)</f>
        <v>0</v>
      </c>
      <c r="O56" s="15">
        <f t="shared" si="0"/>
        <v>30.285714285714281</v>
      </c>
      <c r="P56" s="15">
        <f t="shared" si="1"/>
        <v>69.857142857142847</v>
      </c>
      <c r="R56" s="8"/>
      <c r="T56"/>
    </row>
    <row r="57" spans="2:20" ht="23.1" customHeight="1" x14ac:dyDescent="0.25">
      <c r="B57" s="23" t="s">
        <v>84</v>
      </c>
      <c r="C57" s="49">
        <f>AVERAGE('23.09- Kasangati-Matuga'!C57,'24.09 Kasangati-Matugga'!C57,'25.09 Kasangati-Matugga'!C57,'27.09 Matugga-Kasangati'!C57,'26.09 Kasangati-Matugga-24h'!C57,'28.09 Kasangati-Matugga-24h'!C57,'29.09 Kasangati-Matugga'!C57)</f>
        <v>11.285714285714286</v>
      </c>
      <c r="D57" s="49">
        <f>AVERAGE('23.09- Kasangati-Matuga'!D57,'24.09 Kasangati-Matugga'!D57,'25.09 Kasangati-Matugga'!D57,'27.09 Matugga-Kasangati'!D57,'26.09 Kasangati-Matugga-24h'!D57,'28.09 Kasangati-Matugga-24h'!D57,'29.09 Kasangati-Matugga'!D57)</f>
        <v>4.4285714285714288</v>
      </c>
      <c r="E57" s="49">
        <f>AVERAGE('23.09- Kasangati-Matuga'!E57,'24.09 Kasangati-Matugga'!E57,'25.09 Kasangati-Matugga'!E57,'27.09 Matugga-Kasangati'!E57,'26.09 Kasangati-Matugga-24h'!E57,'28.09 Kasangati-Matugga-24h'!E57,'29.09 Kasangati-Matugga'!E57)</f>
        <v>3</v>
      </c>
      <c r="F57" s="49">
        <f>AVERAGE('23.09- Kasangati-Matuga'!F57,'24.09 Kasangati-Matugga'!F57,'25.09 Kasangati-Matugga'!F57,'27.09 Matugga-Kasangati'!F57,'26.09 Kasangati-Matugga-24h'!F57,'28.09 Kasangati-Matugga-24h'!F57,'29.09 Kasangati-Matugga'!F57)</f>
        <v>3.7142857142857144</v>
      </c>
      <c r="G57" s="49">
        <f>AVERAGE('23.09- Kasangati-Matuga'!G57,'24.09 Kasangati-Matugga'!G57,'25.09 Kasangati-Matugga'!G57,'27.09 Matugga-Kasangati'!G57,'26.09 Kasangati-Matugga-24h'!G57,'28.09 Kasangati-Matugga-24h'!G57,'29.09 Kasangati-Matugga'!G57)</f>
        <v>0</v>
      </c>
      <c r="H57" s="49">
        <f>AVERAGE('23.09- Kasangati-Matuga'!H57,'24.09 Kasangati-Matugga'!H57,'25.09 Kasangati-Matugga'!H57,'27.09 Matugga-Kasangati'!H57,'26.09 Kasangati-Matugga-24h'!H57,'28.09 Kasangati-Matugga-24h'!H57,'29.09 Kasangati-Matugga'!H57)</f>
        <v>0</v>
      </c>
      <c r="I57" s="49">
        <f>AVERAGE('23.09- Kasangati-Matuga'!I57,'24.09 Kasangati-Matugga'!I57,'25.09 Kasangati-Matugga'!I57,'27.09 Matugga-Kasangati'!I57,'26.09 Kasangati-Matugga-24h'!I57,'28.09 Kasangati-Matugga-24h'!I57,'29.09 Kasangati-Matugga'!I57)</f>
        <v>1.7142857142857142</v>
      </c>
      <c r="J57" s="49">
        <f>AVERAGE('23.09- Kasangati-Matuga'!J57,'24.09 Kasangati-Matugga'!J57,'25.09 Kasangati-Matugga'!J57,'27.09 Matugga-Kasangati'!J57,'26.09 Kasangati-Matugga-24h'!J57,'28.09 Kasangati-Matugga-24h'!J57,'29.09 Kasangati-Matugga'!J57)</f>
        <v>1</v>
      </c>
      <c r="K57" s="49">
        <f>AVERAGE('23.09- Kasangati-Matuga'!K57,'24.09 Kasangati-Matugga'!K57,'25.09 Kasangati-Matugga'!K57,'27.09 Matugga-Kasangati'!K57,'26.09 Kasangati-Matugga-24h'!K57,'28.09 Kasangati-Matugga-24h'!K57,'29.09 Kasangati-Matugga'!K57)</f>
        <v>0.14285714285714285</v>
      </c>
      <c r="L57" s="49">
        <f>AVERAGE('23.09- Kasangati-Matuga'!L57,'24.09 Kasangati-Matugga'!L57,'25.09 Kasangati-Matugga'!L57,'27.09 Matugga-Kasangati'!L57,'26.09 Kasangati-Matugga-24h'!L57,'28.09 Kasangati-Matugga-24h'!L57,'29.09 Kasangati-Matugga'!L57)</f>
        <v>0.2857142857142857</v>
      </c>
      <c r="M57" s="49">
        <f>AVERAGE('23.09- Kasangati-Matuga'!M57,'24.09 Kasangati-Matugga'!M57,'25.09 Kasangati-Matugga'!M57,'27.09 Matugga-Kasangati'!M57,'26.09 Kasangati-Matugga-24h'!M57,'28.09 Kasangati-Matugga-24h'!M57,'29.09 Kasangati-Matugga'!M57)</f>
        <v>46.857142857142854</v>
      </c>
      <c r="N57" s="49">
        <f>AVERAGE('23.09- Kasangati-Matuga'!N57,'24.09 Kasangati-Matugga'!N57,'25.09 Kasangati-Matugga'!N57,'27.09 Matugga-Kasangati'!N57,'26.09 Kasangati-Matugga-24h'!N57,'28.09 Kasangati-Matugga-24h'!N57,'29.09 Kasangati-Matugga'!N57)</f>
        <v>0</v>
      </c>
      <c r="O57" s="15">
        <f t="shared" si="0"/>
        <v>25.571428571428573</v>
      </c>
      <c r="P57" s="15">
        <f t="shared" si="1"/>
        <v>72.428571428571431</v>
      </c>
      <c r="R57" s="8"/>
      <c r="T57"/>
    </row>
    <row r="58" spans="2:20" s="101" customFormat="1" ht="23.1" customHeight="1" x14ac:dyDescent="0.25">
      <c r="B58" s="123" t="s">
        <v>99</v>
      </c>
      <c r="C58" s="49">
        <f>AVERAGE('26.09 Kasangati-Matugga-24h'!C58,'28.09 Kasangati-Matugga-24h'!C58)</f>
        <v>6.5</v>
      </c>
      <c r="D58" s="49">
        <f>AVERAGE('26.09 Kasangati-Matugga-24h'!D58,'28.09 Kasangati-Matugga-24h'!D58)</f>
        <v>4</v>
      </c>
      <c r="E58" s="49">
        <f>AVERAGE('26.09 Kasangati-Matugga-24h'!E58,'28.09 Kasangati-Matugga-24h'!E58)</f>
        <v>2.5</v>
      </c>
      <c r="F58" s="49">
        <f>AVERAGE('26.09 Kasangati-Matugga-24h'!F58,'28.09 Kasangati-Matugga-24h'!F58)</f>
        <v>4</v>
      </c>
      <c r="G58" s="49">
        <f>AVERAGE('26.09 Kasangati-Matugga-24h'!G58,'28.09 Kasangati-Matugga-24h'!G58)</f>
        <v>0</v>
      </c>
      <c r="H58" s="49">
        <f>AVERAGE('26.09 Kasangati-Matugga-24h'!H58,'28.09 Kasangati-Matugga-24h'!H58)</f>
        <v>0</v>
      </c>
      <c r="I58" s="49">
        <f>AVERAGE('26.09 Kasangati-Matugga-24h'!I58,'28.09 Kasangati-Matugga-24h'!I58)</f>
        <v>1.5</v>
      </c>
      <c r="J58" s="49">
        <f>AVERAGE('26.09 Kasangati-Matugga-24h'!J58,'28.09 Kasangati-Matugga-24h'!J58)</f>
        <v>0.5</v>
      </c>
      <c r="K58" s="49">
        <f>AVERAGE('26.09 Kasangati-Matugga-24h'!K58,'28.09 Kasangati-Matugga-24h'!K58)</f>
        <v>0</v>
      </c>
      <c r="L58" s="49">
        <f>AVERAGE('26.09 Kasangati-Matugga-24h'!L58,'28.09 Kasangati-Matugga-24h'!L58)</f>
        <v>0</v>
      </c>
      <c r="M58" s="49">
        <f>AVERAGE('26.09 Kasangati-Matugga-24h'!M58,'28.09 Kasangati-Matugga-24h'!M58)</f>
        <v>40.5</v>
      </c>
      <c r="N58" s="49">
        <f>AVERAGE('26.09 Kasangati-Matugga-24h'!N58,'28.09 Kasangati-Matugga-24h'!N58)</f>
        <v>0</v>
      </c>
      <c r="O58" s="116">
        <f t="shared" si="0"/>
        <v>19</v>
      </c>
      <c r="P58" s="116">
        <f t="shared" si="1"/>
        <v>59.5</v>
      </c>
      <c r="R58" s="109"/>
      <c r="S58" s="109"/>
    </row>
    <row r="59" spans="2:20" s="101" customFormat="1" ht="23.1" customHeight="1" x14ac:dyDescent="0.25">
      <c r="B59" s="123" t="s">
        <v>100</v>
      </c>
      <c r="C59" s="49">
        <f>AVERAGE('26.09 Kasangati-Matugga-24h'!C59,'28.09 Kasangati-Matugga-24h'!C59)</f>
        <v>10</v>
      </c>
      <c r="D59" s="49">
        <f>AVERAGE('26.09 Kasangati-Matugga-24h'!D59,'28.09 Kasangati-Matugga-24h'!D59)</f>
        <v>3</v>
      </c>
      <c r="E59" s="49">
        <f>AVERAGE('26.09 Kasangati-Matugga-24h'!E59,'28.09 Kasangati-Matugga-24h'!E59)</f>
        <v>3</v>
      </c>
      <c r="F59" s="49">
        <f>AVERAGE('26.09 Kasangati-Matugga-24h'!F59,'28.09 Kasangati-Matugga-24h'!F59)</f>
        <v>3.5</v>
      </c>
      <c r="G59" s="49">
        <f>AVERAGE('26.09 Kasangati-Matugga-24h'!G59,'28.09 Kasangati-Matugga-24h'!G59)</f>
        <v>0</v>
      </c>
      <c r="H59" s="49">
        <f>AVERAGE('26.09 Kasangati-Matugga-24h'!H59,'28.09 Kasangati-Matugga-24h'!H59)</f>
        <v>0</v>
      </c>
      <c r="I59" s="49">
        <f>AVERAGE('26.09 Kasangati-Matugga-24h'!I59,'28.09 Kasangati-Matugga-24h'!I59)</f>
        <v>1</v>
      </c>
      <c r="J59" s="49">
        <f>AVERAGE('26.09 Kasangati-Matugga-24h'!J59,'28.09 Kasangati-Matugga-24h'!J59)</f>
        <v>0</v>
      </c>
      <c r="K59" s="49">
        <f>AVERAGE('26.09 Kasangati-Matugga-24h'!K59,'28.09 Kasangati-Matugga-24h'!K59)</f>
        <v>0</v>
      </c>
      <c r="L59" s="49">
        <f>AVERAGE('26.09 Kasangati-Matugga-24h'!L59,'28.09 Kasangati-Matugga-24h'!L59)</f>
        <v>0</v>
      </c>
      <c r="M59" s="49">
        <f>AVERAGE('26.09 Kasangati-Matugga-24h'!M59,'28.09 Kasangati-Matugga-24h'!M59)</f>
        <v>54.5</v>
      </c>
      <c r="N59" s="49">
        <f>AVERAGE('26.09 Kasangati-Matugga-24h'!N59,'28.09 Kasangati-Matugga-24h'!N59)</f>
        <v>0</v>
      </c>
      <c r="O59" s="116">
        <f t="shared" ref="O59:O105" si="35">SUM(C59:L59,N59)</f>
        <v>20.5</v>
      </c>
      <c r="P59" s="116">
        <f t="shared" ref="P59:P105" si="36">SUM(C59:N59)</f>
        <v>75</v>
      </c>
      <c r="R59" s="109"/>
      <c r="S59" s="109"/>
    </row>
    <row r="60" spans="2:20" s="101" customFormat="1" ht="23.1" customHeight="1" x14ac:dyDescent="0.25">
      <c r="B60" s="123" t="s">
        <v>101</v>
      </c>
      <c r="C60" s="49">
        <f>AVERAGE('26.09 Kasangati-Matugga-24h'!C60,'28.09 Kasangati-Matugga-24h'!C60)</f>
        <v>22</v>
      </c>
      <c r="D60" s="49">
        <f>AVERAGE('26.09 Kasangati-Matugga-24h'!D60,'28.09 Kasangati-Matugga-24h'!D60)</f>
        <v>2.5</v>
      </c>
      <c r="E60" s="49">
        <f>AVERAGE('26.09 Kasangati-Matugga-24h'!E60,'28.09 Kasangati-Matugga-24h'!E60)</f>
        <v>2</v>
      </c>
      <c r="F60" s="49">
        <f>AVERAGE('26.09 Kasangati-Matugga-24h'!F60,'28.09 Kasangati-Matugga-24h'!F60)</f>
        <v>3.5</v>
      </c>
      <c r="G60" s="49">
        <f>AVERAGE('26.09 Kasangati-Matugga-24h'!G60,'28.09 Kasangati-Matugga-24h'!G60)</f>
        <v>0</v>
      </c>
      <c r="H60" s="49">
        <f>AVERAGE('26.09 Kasangati-Matugga-24h'!H60,'28.09 Kasangati-Matugga-24h'!H60)</f>
        <v>0</v>
      </c>
      <c r="I60" s="49">
        <f>AVERAGE('26.09 Kasangati-Matugga-24h'!I60,'28.09 Kasangati-Matugga-24h'!I60)</f>
        <v>0.5</v>
      </c>
      <c r="J60" s="49">
        <f>AVERAGE('26.09 Kasangati-Matugga-24h'!J60,'28.09 Kasangati-Matugga-24h'!J60)</f>
        <v>0</v>
      </c>
      <c r="K60" s="49">
        <f>AVERAGE('26.09 Kasangati-Matugga-24h'!K60,'28.09 Kasangati-Matugga-24h'!K60)</f>
        <v>0</v>
      </c>
      <c r="L60" s="49">
        <f>AVERAGE('26.09 Kasangati-Matugga-24h'!L60,'28.09 Kasangati-Matugga-24h'!L60)</f>
        <v>0</v>
      </c>
      <c r="M60" s="49">
        <f>AVERAGE('26.09 Kasangati-Matugga-24h'!M60,'28.09 Kasangati-Matugga-24h'!M60)</f>
        <v>64.5</v>
      </c>
      <c r="N60" s="49">
        <f>AVERAGE('26.09 Kasangati-Matugga-24h'!N60,'28.09 Kasangati-Matugga-24h'!N60)</f>
        <v>0</v>
      </c>
      <c r="O60" s="116">
        <f t="shared" si="35"/>
        <v>30.5</v>
      </c>
      <c r="P60" s="116">
        <f t="shared" si="36"/>
        <v>95</v>
      </c>
      <c r="R60" s="109"/>
      <c r="S60" s="109"/>
    </row>
    <row r="61" spans="2:20" s="101" customFormat="1" ht="23.1" customHeight="1" x14ac:dyDescent="0.25">
      <c r="B61" s="123" t="s">
        <v>102</v>
      </c>
      <c r="C61" s="49">
        <f>AVERAGE('26.09 Kasangati-Matugga-24h'!C61,'28.09 Kasangati-Matugga-24h'!C61)</f>
        <v>22.5</v>
      </c>
      <c r="D61" s="49">
        <f>AVERAGE('26.09 Kasangati-Matugga-24h'!D61,'28.09 Kasangati-Matugga-24h'!D61)</f>
        <v>1.5</v>
      </c>
      <c r="E61" s="49">
        <f>AVERAGE('26.09 Kasangati-Matugga-24h'!E61,'28.09 Kasangati-Matugga-24h'!E61)</f>
        <v>1.5</v>
      </c>
      <c r="F61" s="49">
        <f>AVERAGE('26.09 Kasangati-Matugga-24h'!F61,'28.09 Kasangati-Matugga-24h'!F61)</f>
        <v>3</v>
      </c>
      <c r="G61" s="49">
        <f>AVERAGE('26.09 Kasangati-Matugga-24h'!G61,'28.09 Kasangati-Matugga-24h'!G61)</f>
        <v>1.5</v>
      </c>
      <c r="H61" s="49">
        <f>AVERAGE('26.09 Kasangati-Matugga-24h'!H61,'28.09 Kasangati-Matugga-24h'!H61)</f>
        <v>0</v>
      </c>
      <c r="I61" s="49">
        <f>AVERAGE('26.09 Kasangati-Matugga-24h'!I61,'28.09 Kasangati-Matugga-24h'!I61)</f>
        <v>3</v>
      </c>
      <c r="J61" s="49">
        <f>AVERAGE('26.09 Kasangati-Matugga-24h'!J61,'28.09 Kasangati-Matugga-24h'!J61)</f>
        <v>0</v>
      </c>
      <c r="K61" s="49">
        <f>AVERAGE('26.09 Kasangati-Matugga-24h'!K61,'28.09 Kasangati-Matugga-24h'!K61)</f>
        <v>0</v>
      </c>
      <c r="L61" s="49">
        <f>AVERAGE('26.09 Kasangati-Matugga-24h'!L61,'28.09 Kasangati-Matugga-24h'!L61)</f>
        <v>0</v>
      </c>
      <c r="M61" s="49">
        <f>AVERAGE('26.09 Kasangati-Matugga-24h'!M61,'28.09 Kasangati-Matugga-24h'!M61)</f>
        <v>64</v>
      </c>
      <c r="N61" s="49">
        <f>AVERAGE('26.09 Kasangati-Matugga-24h'!N61,'28.09 Kasangati-Matugga-24h'!N61)</f>
        <v>0</v>
      </c>
      <c r="O61" s="116">
        <f t="shared" si="35"/>
        <v>33</v>
      </c>
      <c r="P61" s="116">
        <f t="shared" si="36"/>
        <v>97</v>
      </c>
      <c r="R61" s="109"/>
      <c r="S61" s="109"/>
    </row>
    <row r="62" spans="2:20" s="101" customFormat="1" ht="23.1" customHeight="1" x14ac:dyDescent="0.25">
      <c r="B62" s="123" t="s">
        <v>107</v>
      </c>
      <c r="C62" s="49">
        <f>AVERAGE('26.09 Kasangati-Matugga-24h'!C62,'28.09 Kasangati-Matugga-24h'!C62)</f>
        <v>22.5</v>
      </c>
      <c r="D62" s="49">
        <f>AVERAGE('26.09 Kasangati-Matugga-24h'!D62,'28.09 Kasangati-Matugga-24h'!D62)</f>
        <v>3.5</v>
      </c>
      <c r="E62" s="49">
        <f>AVERAGE('26.09 Kasangati-Matugga-24h'!E62,'28.09 Kasangati-Matugga-24h'!E62)</f>
        <v>1.5</v>
      </c>
      <c r="F62" s="49">
        <f>AVERAGE('26.09 Kasangati-Matugga-24h'!F62,'28.09 Kasangati-Matugga-24h'!F62)</f>
        <v>5.5</v>
      </c>
      <c r="G62" s="49">
        <f>AVERAGE('26.09 Kasangati-Matugga-24h'!G62,'28.09 Kasangati-Matugga-24h'!G62)</f>
        <v>0.5</v>
      </c>
      <c r="H62" s="49">
        <f>AVERAGE('26.09 Kasangati-Matugga-24h'!H62,'28.09 Kasangati-Matugga-24h'!H62)</f>
        <v>0</v>
      </c>
      <c r="I62" s="49">
        <f>AVERAGE('26.09 Kasangati-Matugga-24h'!I62,'28.09 Kasangati-Matugga-24h'!I62)</f>
        <v>2</v>
      </c>
      <c r="J62" s="49">
        <f>AVERAGE('26.09 Kasangati-Matugga-24h'!J62,'28.09 Kasangati-Matugga-24h'!J62)</f>
        <v>0</v>
      </c>
      <c r="K62" s="49">
        <f>AVERAGE('26.09 Kasangati-Matugga-24h'!K62,'28.09 Kasangati-Matugga-24h'!K62)</f>
        <v>0</v>
      </c>
      <c r="L62" s="49">
        <f>AVERAGE('26.09 Kasangati-Matugga-24h'!L62,'28.09 Kasangati-Matugga-24h'!L62)</f>
        <v>0</v>
      </c>
      <c r="M62" s="49">
        <f>AVERAGE('26.09 Kasangati-Matugga-24h'!M62,'28.09 Kasangati-Matugga-24h'!M62)</f>
        <v>54</v>
      </c>
      <c r="N62" s="49">
        <f>AVERAGE('26.09 Kasangati-Matugga-24h'!N62,'28.09 Kasangati-Matugga-24h'!N62)</f>
        <v>0</v>
      </c>
      <c r="O62" s="116">
        <f t="shared" si="35"/>
        <v>35.5</v>
      </c>
      <c r="P62" s="116">
        <f t="shared" si="36"/>
        <v>89.5</v>
      </c>
      <c r="R62" s="109"/>
      <c r="S62" s="109"/>
    </row>
    <row r="63" spans="2:20" s="101" customFormat="1" ht="23.1" customHeight="1" x14ac:dyDescent="0.25">
      <c r="B63" s="123" t="s">
        <v>108</v>
      </c>
      <c r="C63" s="49">
        <f>AVERAGE('26.09 Kasangati-Matugga-24h'!C63,'28.09 Kasangati-Matugga-24h'!C63)</f>
        <v>25.5</v>
      </c>
      <c r="D63" s="49">
        <f>AVERAGE('26.09 Kasangati-Matugga-24h'!D63,'28.09 Kasangati-Matugga-24h'!D63)</f>
        <v>2</v>
      </c>
      <c r="E63" s="49">
        <f>AVERAGE('26.09 Kasangati-Matugga-24h'!E63,'28.09 Kasangati-Matugga-24h'!E63)</f>
        <v>1</v>
      </c>
      <c r="F63" s="49">
        <f>AVERAGE('26.09 Kasangati-Matugga-24h'!F63,'28.09 Kasangati-Matugga-24h'!F63)</f>
        <v>4.5</v>
      </c>
      <c r="G63" s="49">
        <f>AVERAGE('26.09 Kasangati-Matugga-24h'!G63,'28.09 Kasangati-Matugga-24h'!G63)</f>
        <v>0</v>
      </c>
      <c r="H63" s="49">
        <f>AVERAGE('26.09 Kasangati-Matugga-24h'!H63,'28.09 Kasangati-Matugga-24h'!H63)</f>
        <v>0</v>
      </c>
      <c r="I63" s="49">
        <f>AVERAGE('26.09 Kasangati-Matugga-24h'!I63,'28.09 Kasangati-Matugga-24h'!I63)</f>
        <v>2.5</v>
      </c>
      <c r="J63" s="49">
        <f>AVERAGE('26.09 Kasangati-Matugga-24h'!J63,'28.09 Kasangati-Matugga-24h'!J63)</f>
        <v>0</v>
      </c>
      <c r="K63" s="49">
        <f>AVERAGE('26.09 Kasangati-Matugga-24h'!K63,'28.09 Kasangati-Matugga-24h'!K63)</f>
        <v>0</v>
      </c>
      <c r="L63" s="49">
        <f>AVERAGE('26.09 Kasangati-Matugga-24h'!L63,'28.09 Kasangati-Matugga-24h'!L63)</f>
        <v>0</v>
      </c>
      <c r="M63" s="49">
        <f>AVERAGE('26.09 Kasangati-Matugga-24h'!M63,'28.09 Kasangati-Matugga-24h'!M63)</f>
        <v>55.5</v>
      </c>
      <c r="N63" s="49">
        <f>AVERAGE('26.09 Kasangati-Matugga-24h'!N63,'28.09 Kasangati-Matugga-24h'!N63)</f>
        <v>0</v>
      </c>
      <c r="O63" s="116">
        <f t="shared" si="35"/>
        <v>35.5</v>
      </c>
      <c r="P63" s="116">
        <f t="shared" si="36"/>
        <v>91</v>
      </c>
      <c r="R63" s="109"/>
      <c r="S63" s="109"/>
    </row>
    <row r="64" spans="2:20" s="101" customFormat="1" ht="23.1" customHeight="1" x14ac:dyDescent="0.25">
      <c r="B64" s="123" t="s">
        <v>109</v>
      </c>
      <c r="C64" s="49">
        <f>AVERAGE('26.09 Kasangati-Matugga-24h'!C64,'28.09 Kasangati-Matugga-24h'!C64)</f>
        <v>21.5</v>
      </c>
      <c r="D64" s="49">
        <f>AVERAGE('26.09 Kasangati-Matugga-24h'!D64,'28.09 Kasangati-Matugga-24h'!D64)</f>
        <v>3.5</v>
      </c>
      <c r="E64" s="49">
        <f>AVERAGE('26.09 Kasangati-Matugga-24h'!E64,'28.09 Kasangati-Matugga-24h'!E64)</f>
        <v>3.5</v>
      </c>
      <c r="F64" s="49">
        <f>AVERAGE('26.09 Kasangati-Matugga-24h'!F64,'28.09 Kasangati-Matugga-24h'!F64)</f>
        <v>4</v>
      </c>
      <c r="G64" s="49">
        <f>AVERAGE('26.09 Kasangati-Matugga-24h'!G64,'28.09 Kasangati-Matugga-24h'!G64)</f>
        <v>0</v>
      </c>
      <c r="H64" s="49">
        <f>AVERAGE('26.09 Kasangati-Matugga-24h'!H64,'28.09 Kasangati-Matugga-24h'!H64)</f>
        <v>0</v>
      </c>
      <c r="I64" s="49">
        <f>AVERAGE('26.09 Kasangati-Matugga-24h'!I64,'28.09 Kasangati-Matugga-24h'!I64)</f>
        <v>2.5</v>
      </c>
      <c r="J64" s="49">
        <f>AVERAGE('26.09 Kasangati-Matugga-24h'!J64,'28.09 Kasangati-Matugga-24h'!J64)</f>
        <v>0</v>
      </c>
      <c r="K64" s="49">
        <f>AVERAGE('26.09 Kasangati-Matugga-24h'!K64,'28.09 Kasangati-Matugga-24h'!K64)</f>
        <v>0</v>
      </c>
      <c r="L64" s="49">
        <f>AVERAGE('26.09 Kasangati-Matugga-24h'!L64,'28.09 Kasangati-Matugga-24h'!L64)</f>
        <v>0</v>
      </c>
      <c r="M64" s="49">
        <f>AVERAGE('26.09 Kasangati-Matugga-24h'!M64,'28.09 Kasangati-Matugga-24h'!M64)</f>
        <v>59.5</v>
      </c>
      <c r="N64" s="49">
        <f>AVERAGE('26.09 Kasangati-Matugga-24h'!N64,'28.09 Kasangati-Matugga-24h'!N64)</f>
        <v>0</v>
      </c>
      <c r="O64" s="116">
        <f t="shared" si="35"/>
        <v>35</v>
      </c>
      <c r="P64" s="116">
        <f t="shared" si="36"/>
        <v>94.5</v>
      </c>
      <c r="R64" s="109"/>
      <c r="S64" s="109"/>
    </row>
    <row r="65" spans="2:19" s="101" customFormat="1" ht="23.1" customHeight="1" x14ac:dyDescent="0.25">
      <c r="B65" s="123" t="s">
        <v>158</v>
      </c>
      <c r="C65" s="49">
        <f>AVERAGE('26.09 Kasangati-Matugga-24h'!C65,'28.09 Kasangati-Matugga-24h'!C65)</f>
        <v>21.5</v>
      </c>
      <c r="D65" s="49">
        <f>AVERAGE('26.09 Kasangati-Matugga-24h'!D65,'28.09 Kasangati-Matugga-24h'!D65)</f>
        <v>1</v>
      </c>
      <c r="E65" s="49">
        <f>AVERAGE('26.09 Kasangati-Matugga-24h'!E65,'28.09 Kasangati-Matugga-24h'!E65)</f>
        <v>3</v>
      </c>
      <c r="F65" s="49">
        <f>AVERAGE('26.09 Kasangati-Matugga-24h'!F65,'28.09 Kasangati-Matugga-24h'!F65)</f>
        <v>1.5</v>
      </c>
      <c r="G65" s="49">
        <f>AVERAGE('26.09 Kasangati-Matugga-24h'!G65,'28.09 Kasangati-Matugga-24h'!G65)</f>
        <v>0</v>
      </c>
      <c r="H65" s="49">
        <f>AVERAGE('26.09 Kasangati-Matugga-24h'!H65,'28.09 Kasangati-Matugga-24h'!H65)</f>
        <v>0.5</v>
      </c>
      <c r="I65" s="49">
        <f>AVERAGE('26.09 Kasangati-Matugga-24h'!I65,'28.09 Kasangati-Matugga-24h'!I65)</f>
        <v>2</v>
      </c>
      <c r="J65" s="49">
        <f>AVERAGE('26.09 Kasangati-Matugga-24h'!J65,'28.09 Kasangati-Matugga-24h'!J65)</f>
        <v>1.5</v>
      </c>
      <c r="K65" s="49">
        <f>AVERAGE('26.09 Kasangati-Matugga-24h'!K65,'28.09 Kasangati-Matugga-24h'!K65)</f>
        <v>0</v>
      </c>
      <c r="L65" s="49">
        <f>AVERAGE('26.09 Kasangati-Matugga-24h'!L65,'28.09 Kasangati-Matugga-24h'!L65)</f>
        <v>0</v>
      </c>
      <c r="M65" s="49">
        <f>AVERAGE('26.09 Kasangati-Matugga-24h'!M65,'28.09 Kasangati-Matugga-24h'!M65)</f>
        <v>54</v>
      </c>
      <c r="N65" s="49">
        <f>AVERAGE('26.09 Kasangati-Matugga-24h'!N65,'28.09 Kasangati-Matugga-24h'!N65)</f>
        <v>0</v>
      </c>
      <c r="O65" s="116">
        <f t="shared" si="35"/>
        <v>31</v>
      </c>
      <c r="P65" s="116">
        <f t="shared" si="36"/>
        <v>85</v>
      </c>
      <c r="R65" s="109"/>
      <c r="S65" s="109"/>
    </row>
    <row r="66" spans="2:19" s="101" customFormat="1" ht="23.1" customHeight="1" x14ac:dyDescent="0.25">
      <c r="B66" s="123" t="s">
        <v>103</v>
      </c>
      <c r="C66" s="49">
        <f>AVERAGE('26.09 Kasangati-Matugga-24h'!C66,'28.09 Kasangati-Matugga-24h'!C66)</f>
        <v>26</v>
      </c>
      <c r="D66" s="49">
        <f>AVERAGE('26.09 Kasangati-Matugga-24h'!D66,'28.09 Kasangati-Matugga-24h'!D66)</f>
        <v>4</v>
      </c>
      <c r="E66" s="49">
        <f>AVERAGE('26.09 Kasangati-Matugga-24h'!E66,'28.09 Kasangati-Matugga-24h'!E66)</f>
        <v>2.5</v>
      </c>
      <c r="F66" s="49">
        <f>AVERAGE('26.09 Kasangati-Matugga-24h'!F66,'28.09 Kasangati-Matugga-24h'!F66)</f>
        <v>3.5</v>
      </c>
      <c r="G66" s="49">
        <f>AVERAGE('26.09 Kasangati-Matugga-24h'!G66,'28.09 Kasangati-Matugga-24h'!G66)</f>
        <v>0</v>
      </c>
      <c r="H66" s="49">
        <f>AVERAGE('26.09 Kasangati-Matugga-24h'!H66,'28.09 Kasangati-Matugga-24h'!H66)</f>
        <v>0</v>
      </c>
      <c r="I66" s="49">
        <f>AVERAGE('26.09 Kasangati-Matugga-24h'!I66,'28.09 Kasangati-Matugga-24h'!I66)</f>
        <v>3.5</v>
      </c>
      <c r="J66" s="49">
        <f>AVERAGE('26.09 Kasangati-Matugga-24h'!J66,'28.09 Kasangati-Matugga-24h'!J66)</f>
        <v>1</v>
      </c>
      <c r="K66" s="49">
        <f>AVERAGE('26.09 Kasangati-Matugga-24h'!K66,'28.09 Kasangati-Matugga-24h'!K66)</f>
        <v>0</v>
      </c>
      <c r="L66" s="49">
        <f>AVERAGE('26.09 Kasangati-Matugga-24h'!L66,'28.09 Kasangati-Matugga-24h'!L66)</f>
        <v>0</v>
      </c>
      <c r="M66" s="49">
        <f>AVERAGE('26.09 Kasangati-Matugga-24h'!M66,'28.09 Kasangati-Matugga-24h'!M66)</f>
        <v>60.5</v>
      </c>
      <c r="N66" s="49">
        <f>AVERAGE('26.09 Kasangati-Matugga-24h'!N66,'28.09 Kasangati-Matugga-24h'!N66)</f>
        <v>0</v>
      </c>
      <c r="O66" s="116">
        <f t="shared" si="35"/>
        <v>40.5</v>
      </c>
      <c r="P66" s="116">
        <f t="shared" si="36"/>
        <v>101</v>
      </c>
      <c r="R66" s="109"/>
      <c r="S66" s="109"/>
    </row>
    <row r="67" spans="2:19" s="101" customFormat="1" ht="23.1" customHeight="1" x14ac:dyDescent="0.25">
      <c r="B67" s="123" t="s">
        <v>104</v>
      </c>
      <c r="C67" s="49">
        <f>AVERAGE('26.09 Kasangati-Matugga-24h'!C67,'28.09 Kasangati-Matugga-24h'!C67)</f>
        <v>27</v>
      </c>
      <c r="D67" s="49">
        <f>AVERAGE('26.09 Kasangati-Matugga-24h'!D67,'28.09 Kasangati-Matugga-24h'!D67)</f>
        <v>4</v>
      </c>
      <c r="E67" s="49">
        <f>AVERAGE('26.09 Kasangati-Matugga-24h'!E67,'28.09 Kasangati-Matugga-24h'!E67)</f>
        <v>2</v>
      </c>
      <c r="F67" s="49">
        <f>AVERAGE('26.09 Kasangati-Matugga-24h'!F67,'28.09 Kasangati-Matugga-24h'!F67)</f>
        <v>3</v>
      </c>
      <c r="G67" s="49">
        <f>AVERAGE('26.09 Kasangati-Matugga-24h'!G67,'28.09 Kasangati-Matugga-24h'!G67)</f>
        <v>0</v>
      </c>
      <c r="H67" s="49">
        <f>AVERAGE('26.09 Kasangati-Matugga-24h'!H67,'28.09 Kasangati-Matugga-24h'!H67)</f>
        <v>0</v>
      </c>
      <c r="I67" s="49">
        <f>AVERAGE('26.09 Kasangati-Matugga-24h'!I67,'28.09 Kasangati-Matugga-24h'!I67)</f>
        <v>1</v>
      </c>
      <c r="J67" s="49">
        <f>AVERAGE('26.09 Kasangati-Matugga-24h'!J67,'28.09 Kasangati-Matugga-24h'!J67)</f>
        <v>0.5</v>
      </c>
      <c r="K67" s="49">
        <f>AVERAGE('26.09 Kasangati-Matugga-24h'!K67,'28.09 Kasangati-Matugga-24h'!K67)</f>
        <v>0</v>
      </c>
      <c r="L67" s="49">
        <f>AVERAGE('26.09 Kasangati-Matugga-24h'!L67,'28.09 Kasangati-Matugga-24h'!L67)</f>
        <v>0</v>
      </c>
      <c r="M67" s="49">
        <f>AVERAGE('26.09 Kasangati-Matugga-24h'!M67,'28.09 Kasangati-Matugga-24h'!M67)</f>
        <v>59.5</v>
      </c>
      <c r="N67" s="49">
        <f>AVERAGE('26.09 Kasangati-Matugga-24h'!N67,'28.09 Kasangati-Matugga-24h'!N67)</f>
        <v>0</v>
      </c>
      <c r="O67" s="116">
        <f t="shared" si="35"/>
        <v>37.5</v>
      </c>
      <c r="P67" s="116">
        <f t="shared" si="36"/>
        <v>97</v>
      </c>
      <c r="R67" s="109"/>
      <c r="S67" s="109"/>
    </row>
    <row r="68" spans="2:19" s="101" customFormat="1" ht="23.1" customHeight="1" x14ac:dyDescent="0.25">
      <c r="B68" s="123" t="s">
        <v>105</v>
      </c>
      <c r="C68" s="49">
        <f>AVERAGE('26.09 Kasangati-Matugga-24h'!C68,'28.09 Kasangati-Matugga-24h'!C68)</f>
        <v>18.5</v>
      </c>
      <c r="D68" s="49">
        <f>AVERAGE('26.09 Kasangati-Matugga-24h'!D68,'28.09 Kasangati-Matugga-24h'!D68)</f>
        <v>1.5</v>
      </c>
      <c r="E68" s="49">
        <f>AVERAGE('26.09 Kasangati-Matugga-24h'!E68,'28.09 Kasangati-Matugga-24h'!E68)</f>
        <v>7</v>
      </c>
      <c r="F68" s="49">
        <f>AVERAGE('26.09 Kasangati-Matugga-24h'!F68,'28.09 Kasangati-Matugga-24h'!F68)</f>
        <v>2</v>
      </c>
      <c r="G68" s="49">
        <f>AVERAGE('26.09 Kasangati-Matugga-24h'!G68,'28.09 Kasangati-Matugga-24h'!G68)</f>
        <v>0</v>
      </c>
      <c r="H68" s="49">
        <f>AVERAGE('26.09 Kasangati-Matugga-24h'!H68,'28.09 Kasangati-Matugga-24h'!H68)</f>
        <v>0</v>
      </c>
      <c r="I68" s="49">
        <f>AVERAGE('26.09 Kasangati-Matugga-24h'!I68,'28.09 Kasangati-Matugga-24h'!I68)</f>
        <v>3.5</v>
      </c>
      <c r="J68" s="49">
        <f>AVERAGE('26.09 Kasangati-Matugga-24h'!J68,'28.09 Kasangati-Matugga-24h'!J68)</f>
        <v>0</v>
      </c>
      <c r="K68" s="49">
        <f>AVERAGE('26.09 Kasangati-Matugga-24h'!K68,'28.09 Kasangati-Matugga-24h'!K68)</f>
        <v>0</v>
      </c>
      <c r="L68" s="49">
        <f>AVERAGE('26.09 Kasangati-Matugga-24h'!L68,'28.09 Kasangati-Matugga-24h'!L68)</f>
        <v>0</v>
      </c>
      <c r="M68" s="49">
        <f>AVERAGE('26.09 Kasangati-Matugga-24h'!M68,'28.09 Kasangati-Matugga-24h'!M68)</f>
        <v>53</v>
      </c>
      <c r="N68" s="49">
        <f>AVERAGE('26.09 Kasangati-Matugga-24h'!N68,'28.09 Kasangati-Matugga-24h'!N68)</f>
        <v>0</v>
      </c>
      <c r="O68" s="116">
        <f t="shared" si="35"/>
        <v>32.5</v>
      </c>
      <c r="P68" s="116">
        <f t="shared" si="36"/>
        <v>85.5</v>
      </c>
      <c r="R68" s="109"/>
      <c r="S68" s="109"/>
    </row>
    <row r="69" spans="2:19" s="101" customFormat="1" ht="23.1" customHeight="1" x14ac:dyDescent="0.25">
      <c r="B69" s="123" t="s">
        <v>106</v>
      </c>
      <c r="C69" s="49">
        <f>AVERAGE('26.09 Kasangati-Matugga-24h'!C69,'28.09 Kasangati-Matugga-24h'!C69)</f>
        <v>24</v>
      </c>
      <c r="D69" s="49">
        <f>AVERAGE('26.09 Kasangati-Matugga-24h'!D69,'28.09 Kasangati-Matugga-24h'!D69)</f>
        <v>1</v>
      </c>
      <c r="E69" s="49">
        <f>AVERAGE('26.09 Kasangati-Matugga-24h'!E69,'28.09 Kasangati-Matugga-24h'!E69)</f>
        <v>1.5</v>
      </c>
      <c r="F69" s="49">
        <f>AVERAGE('26.09 Kasangati-Matugga-24h'!F69,'28.09 Kasangati-Matugga-24h'!F69)</f>
        <v>3.5</v>
      </c>
      <c r="G69" s="49">
        <f>AVERAGE('26.09 Kasangati-Matugga-24h'!G69,'28.09 Kasangati-Matugga-24h'!G69)</f>
        <v>0</v>
      </c>
      <c r="H69" s="49">
        <f>AVERAGE('26.09 Kasangati-Matugga-24h'!H69,'28.09 Kasangati-Matugga-24h'!H69)</f>
        <v>0</v>
      </c>
      <c r="I69" s="49">
        <f>AVERAGE('26.09 Kasangati-Matugga-24h'!I69,'28.09 Kasangati-Matugga-24h'!I69)</f>
        <v>1</v>
      </c>
      <c r="J69" s="49">
        <f>AVERAGE('26.09 Kasangati-Matugga-24h'!J69,'28.09 Kasangati-Matugga-24h'!J69)</f>
        <v>0</v>
      </c>
      <c r="K69" s="49">
        <f>AVERAGE('26.09 Kasangati-Matugga-24h'!K69,'28.09 Kasangati-Matugga-24h'!K69)</f>
        <v>0</v>
      </c>
      <c r="L69" s="49">
        <f>AVERAGE('26.09 Kasangati-Matugga-24h'!L69,'28.09 Kasangati-Matugga-24h'!L69)</f>
        <v>0</v>
      </c>
      <c r="M69" s="49">
        <f>AVERAGE('26.09 Kasangati-Matugga-24h'!M69,'28.09 Kasangati-Matugga-24h'!M69)</f>
        <v>42.5</v>
      </c>
      <c r="N69" s="49">
        <f>AVERAGE('26.09 Kasangati-Matugga-24h'!N69,'28.09 Kasangati-Matugga-24h'!N69)</f>
        <v>0.5</v>
      </c>
      <c r="O69" s="116">
        <f t="shared" si="35"/>
        <v>31.5</v>
      </c>
      <c r="P69" s="116">
        <f t="shared" si="36"/>
        <v>74</v>
      </c>
      <c r="R69" s="109"/>
      <c r="S69" s="109"/>
    </row>
    <row r="70" spans="2:19" s="101" customFormat="1" ht="23.1" customHeight="1" x14ac:dyDescent="0.25">
      <c r="B70" s="123" t="s">
        <v>110</v>
      </c>
      <c r="C70" s="49">
        <f>AVERAGE('26.09 Kasangati-Matugga-24h'!C70,'28.09 Kasangati-Matugga-24h'!C70)</f>
        <v>25</v>
      </c>
      <c r="D70" s="49">
        <f>AVERAGE('26.09 Kasangati-Matugga-24h'!D70,'28.09 Kasangati-Matugga-24h'!D70)</f>
        <v>3.5</v>
      </c>
      <c r="E70" s="49">
        <f>AVERAGE('26.09 Kasangati-Matugga-24h'!E70,'28.09 Kasangati-Matugga-24h'!E70)</f>
        <v>2.5</v>
      </c>
      <c r="F70" s="49">
        <f>AVERAGE('26.09 Kasangati-Matugga-24h'!F70,'28.09 Kasangati-Matugga-24h'!F70)</f>
        <v>4</v>
      </c>
      <c r="G70" s="49">
        <f>AVERAGE('26.09 Kasangati-Matugga-24h'!G70,'28.09 Kasangati-Matugga-24h'!G70)</f>
        <v>0</v>
      </c>
      <c r="H70" s="49">
        <f>AVERAGE('26.09 Kasangati-Matugga-24h'!H70,'28.09 Kasangati-Matugga-24h'!H70)</f>
        <v>0</v>
      </c>
      <c r="I70" s="49">
        <f>AVERAGE('26.09 Kasangati-Matugga-24h'!I70,'28.09 Kasangati-Matugga-24h'!I70)</f>
        <v>1.5</v>
      </c>
      <c r="J70" s="49">
        <f>AVERAGE('26.09 Kasangati-Matugga-24h'!J70,'28.09 Kasangati-Matugga-24h'!J70)</f>
        <v>0</v>
      </c>
      <c r="K70" s="49">
        <f>AVERAGE('26.09 Kasangati-Matugga-24h'!K70,'28.09 Kasangati-Matugga-24h'!K70)</f>
        <v>0</v>
      </c>
      <c r="L70" s="49">
        <f>AVERAGE('26.09 Kasangati-Matugga-24h'!L70,'28.09 Kasangati-Matugga-24h'!L70)</f>
        <v>0</v>
      </c>
      <c r="M70" s="49">
        <f>AVERAGE('26.09 Kasangati-Matugga-24h'!M70,'28.09 Kasangati-Matugga-24h'!M70)</f>
        <v>47</v>
      </c>
      <c r="N70" s="49">
        <f>AVERAGE('26.09 Kasangati-Matugga-24h'!N70,'28.09 Kasangati-Matugga-24h'!N70)</f>
        <v>0</v>
      </c>
      <c r="O70" s="116">
        <f t="shared" si="35"/>
        <v>36.5</v>
      </c>
      <c r="P70" s="116">
        <f t="shared" si="36"/>
        <v>83.5</v>
      </c>
      <c r="R70" s="109"/>
      <c r="S70" s="109"/>
    </row>
    <row r="71" spans="2:19" s="101" customFormat="1" ht="23.1" customHeight="1" x14ac:dyDescent="0.25">
      <c r="B71" s="123" t="s">
        <v>111</v>
      </c>
      <c r="C71" s="49">
        <f>AVERAGE('26.09 Kasangati-Matugga-24h'!C71,'28.09 Kasangati-Matugga-24h'!C71)</f>
        <v>10.5</v>
      </c>
      <c r="D71" s="49">
        <f>AVERAGE('26.09 Kasangati-Matugga-24h'!D71,'28.09 Kasangati-Matugga-24h'!D71)</f>
        <v>1</v>
      </c>
      <c r="E71" s="49">
        <f>AVERAGE('26.09 Kasangati-Matugga-24h'!E71,'28.09 Kasangati-Matugga-24h'!E71)</f>
        <v>1.5</v>
      </c>
      <c r="F71" s="49">
        <f>AVERAGE('26.09 Kasangati-Matugga-24h'!F71,'28.09 Kasangati-Matugga-24h'!F71)</f>
        <v>0.5</v>
      </c>
      <c r="G71" s="49">
        <f>AVERAGE('26.09 Kasangati-Matugga-24h'!G71,'28.09 Kasangati-Matugga-24h'!G71)</f>
        <v>0</v>
      </c>
      <c r="H71" s="49">
        <f>AVERAGE('26.09 Kasangati-Matugga-24h'!H71,'28.09 Kasangati-Matugga-24h'!H71)</f>
        <v>0</v>
      </c>
      <c r="I71" s="49">
        <f>AVERAGE('26.09 Kasangati-Matugga-24h'!I71,'28.09 Kasangati-Matugga-24h'!I71)</f>
        <v>2.5</v>
      </c>
      <c r="J71" s="49">
        <f>AVERAGE('26.09 Kasangati-Matugga-24h'!J71,'28.09 Kasangati-Matugga-24h'!J71)</f>
        <v>0</v>
      </c>
      <c r="K71" s="49">
        <f>AVERAGE('26.09 Kasangati-Matugga-24h'!K71,'28.09 Kasangati-Matugga-24h'!K71)</f>
        <v>0</v>
      </c>
      <c r="L71" s="49">
        <f>AVERAGE('26.09 Kasangati-Matugga-24h'!L71,'28.09 Kasangati-Matugga-24h'!L71)</f>
        <v>0</v>
      </c>
      <c r="M71" s="49">
        <f>AVERAGE('26.09 Kasangati-Matugga-24h'!M71,'28.09 Kasangati-Matugga-24h'!M71)</f>
        <v>32</v>
      </c>
      <c r="N71" s="49">
        <f>AVERAGE('26.09 Kasangati-Matugga-24h'!N71,'28.09 Kasangati-Matugga-24h'!N71)</f>
        <v>0</v>
      </c>
      <c r="O71" s="116">
        <f t="shared" si="35"/>
        <v>16</v>
      </c>
      <c r="P71" s="116">
        <f t="shared" si="36"/>
        <v>48</v>
      </c>
      <c r="R71" s="109"/>
      <c r="S71" s="109"/>
    </row>
    <row r="72" spans="2:19" s="101" customFormat="1" ht="23.1" customHeight="1" x14ac:dyDescent="0.25">
      <c r="B72" s="123" t="s">
        <v>112</v>
      </c>
      <c r="C72" s="49">
        <f>AVERAGE('26.09 Kasangati-Matugga-24h'!C72,'28.09 Kasangati-Matugga-24h'!C72)</f>
        <v>22.5</v>
      </c>
      <c r="D72" s="49">
        <f>AVERAGE('26.09 Kasangati-Matugga-24h'!D72,'28.09 Kasangati-Matugga-24h'!D72)</f>
        <v>0.5</v>
      </c>
      <c r="E72" s="49">
        <f>AVERAGE('26.09 Kasangati-Matugga-24h'!E72,'28.09 Kasangati-Matugga-24h'!E72)</f>
        <v>2</v>
      </c>
      <c r="F72" s="49">
        <f>AVERAGE('26.09 Kasangati-Matugga-24h'!F72,'28.09 Kasangati-Matugga-24h'!F72)</f>
        <v>4</v>
      </c>
      <c r="G72" s="49">
        <f>AVERAGE('26.09 Kasangati-Matugga-24h'!G72,'28.09 Kasangati-Matugga-24h'!G72)</f>
        <v>0</v>
      </c>
      <c r="H72" s="49">
        <f>AVERAGE('26.09 Kasangati-Matugga-24h'!H72,'28.09 Kasangati-Matugga-24h'!H72)</f>
        <v>0</v>
      </c>
      <c r="I72" s="49">
        <f>AVERAGE('26.09 Kasangati-Matugga-24h'!I72,'28.09 Kasangati-Matugga-24h'!I72)</f>
        <v>2</v>
      </c>
      <c r="J72" s="49">
        <f>AVERAGE('26.09 Kasangati-Matugga-24h'!J72,'28.09 Kasangati-Matugga-24h'!J72)</f>
        <v>0.5</v>
      </c>
      <c r="K72" s="49">
        <f>AVERAGE('26.09 Kasangati-Matugga-24h'!K72,'28.09 Kasangati-Matugga-24h'!K72)</f>
        <v>0</v>
      </c>
      <c r="L72" s="49">
        <f>AVERAGE('26.09 Kasangati-Matugga-24h'!L72,'28.09 Kasangati-Matugga-24h'!L72)</f>
        <v>0</v>
      </c>
      <c r="M72" s="49">
        <f>AVERAGE('26.09 Kasangati-Matugga-24h'!M72,'28.09 Kasangati-Matugga-24h'!M72)</f>
        <v>49</v>
      </c>
      <c r="N72" s="49">
        <f>AVERAGE('26.09 Kasangati-Matugga-24h'!N72,'28.09 Kasangati-Matugga-24h'!N72)</f>
        <v>0</v>
      </c>
      <c r="O72" s="116">
        <f t="shared" si="35"/>
        <v>31.5</v>
      </c>
      <c r="P72" s="116">
        <f t="shared" si="36"/>
        <v>80.5</v>
      </c>
      <c r="R72" s="109"/>
      <c r="S72" s="109"/>
    </row>
    <row r="73" spans="2:19" s="101" customFormat="1" ht="23.1" customHeight="1" x14ac:dyDescent="0.25">
      <c r="B73" s="123" t="s">
        <v>113</v>
      </c>
      <c r="C73" s="49">
        <f>AVERAGE('26.09 Kasangati-Matugga-24h'!C73,'28.09 Kasangati-Matugga-24h'!C73)</f>
        <v>13</v>
      </c>
      <c r="D73" s="49">
        <f>AVERAGE('26.09 Kasangati-Matugga-24h'!D73,'28.09 Kasangati-Matugga-24h'!D73)</f>
        <v>6</v>
      </c>
      <c r="E73" s="49">
        <f>AVERAGE('26.09 Kasangati-Matugga-24h'!E73,'28.09 Kasangati-Matugga-24h'!E73)</f>
        <v>1.5</v>
      </c>
      <c r="F73" s="49">
        <f>AVERAGE('26.09 Kasangati-Matugga-24h'!F73,'28.09 Kasangati-Matugga-24h'!F73)</f>
        <v>2</v>
      </c>
      <c r="G73" s="49">
        <f>AVERAGE('26.09 Kasangati-Matugga-24h'!G73,'28.09 Kasangati-Matugga-24h'!G73)</f>
        <v>0</v>
      </c>
      <c r="H73" s="49">
        <f>AVERAGE('26.09 Kasangati-Matugga-24h'!H73,'28.09 Kasangati-Matugga-24h'!H73)</f>
        <v>0</v>
      </c>
      <c r="I73" s="49">
        <f>AVERAGE('26.09 Kasangati-Matugga-24h'!I73,'28.09 Kasangati-Matugga-24h'!I73)</f>
        <v>1</v>
      </c>
      <c r="J73" s="49">
        <f>AVERAGE('26.09 Kasangati-Matugga-24h'!J73,'28.09 Kasangati-Matugga-24h'!J73)</f>
        <v>0</v>
      </c>
      <c r="K73" s="49">
        <f>AVERAGE('26.09 Kasangati-Matugga-24h'!K73,'28.09 Kasangati-Matugga-24h'!K73)</f>
        <v>0</v>
      </c>
      <c r="L73" s="49">
        <f>AVERAGE('26.09 Kasangati-Matugga-24h'!L73,'28.09 Kasangati-Matugga-24h'!L73)</f>
        <v>0</v>
      </c>
      <c r="M73" s="49">
        <f>AVERAGE('26.09 Kasangati-Matugga-24h'!M73,'28.09 Kasangati-Matugga-24h'!M73)</f>
        <v>35</v>
      </c>
      <c r="N73" s="49">
        <f>AVERAGE('26.09 Kasangati-Matugga-24h'!N73,'28.09 Kasangati-Matugga-24h'!N73)</f>
        <v>0</v>
      </c>
      <c r="O73" s="116">
        <f t="shared" si="35"/>
        <v>23.5</v>
      </c>
      <c r="P73" s="116">
        <f t="shared" si="36"/>
        <v>58.5</v>
      </c>
      <c r="R73" s="109"/>
      <c r="S73" s="109"/>
    </row>
    <row r="74" spans="2:19" s="101" customFormat="1" ht="23.1" customHeight="1" x14ac:dyDescent="0.25">
      <c r="B74" s="123" t="s">
        <v>114</v>
      </c>
      <c r="C74" s="49">
        <f>AVERAGE('26.09 Kasangati-Matugga-24h'!C74,'28.09 Kasangati-Matugga-24h'!C74)</f>
        <v>10</v>
      </c>
      <c r="D74" s="49">
        <f>AVERAGE('26.09 Kasangati-Matugga-24h'!D74,'28.09 Kasangati-Matugga-24h'!D74)</f>
        <v>1.5</v>
      </c>
      <c r="E74" s="49">
        <f>AVERAGE('26.09 Kasangati-Matugga-24h'!E74,'28.09 Kasangati-Matugga-24h'!E74)</f>
        <v>1.5</v>
      </c>
      <c r="F74" s="49">
        <f>AVERAGE('26.09 Kasangati-Matugga-24h'!F74,'28.09 Kasangati-Matugga-24h'!F74)</f>
        <v>1</v>
      </c>
      <c r="G74" s="49">
        <f>AVERAGE('26.09 Kasangati-Matugga-24h'!G74,'28.09 Kasangati-Matugga-24h'!G74)</f>
        <v>0</v>
      </c>
      <c r="H74" s="49">
        <f>AVERAGE('26.09 Kasangati-Matugga-24h'!H74,'28.09 Kasangati-Matugga-24h'!H74)</f>
        <v>0</v>
      </c>
      <c r="I74" s="49">
        <f>AVERAGE('26.09 Kasangati-Matugga-24h'!I74,'28.09 Kasangati-Matugga-24h'!I74)</f>
        <v>0.5</v>
      </c>
      <c r="J74" s="49">
        <f>AVERAGE('26.09 Kasangati-Matugga-24h'!J74,'28.09 Kasangati-Matugga-24h'!J74)</f>
        <v>0</v>
      </c>
      <c r="K74" s="49">
        <f>AVERAGE('26.09 Kasangati-Matugga-24h'!K74,'28.09 Kasangati-Matugga-24h'!K74)</f>
        <v>0.5</v>
      </c>
      <c r="L74" s="49">
        <f>AVERAGE('26.09 Kasangati-Matugga-24h'!L74,'28.09 Kasangati-Matugga-24h'!L74)</f>
        <v>0</v>
      </c>
      <c r="M74" s="49">
        <f>AVERAGE('26.09 Kasangati-Matugga-24h'!M74,'28.09 Kasangati-Matugga-24h'!M74)</f>
        <v>28.5</v>
      </c>
      <c r="N74" s="49">
        <f>AVERAGE('26.09 Kasangati-Matugga-24h'!N74,'28.09 Kasangati-Matugga-24h'!N74)</f>
        <v>0</v>
      </c>
      <c r="O74" s="116">
        <f t="shared" si="35"/>
        <v>15</v>
      </c>
      <c r="P74" s="116">
        <f t="shared" si="36"/>
        <v>43.5</v>
      </c>
      <c r="R74" s="109"/>
      <c r="S74" s="109"/>
    </row>
    <row r="75" spans="2:19" s="101" customFormat="1" ht="23.1" customHeight="1" x14ac:dyDescent="0.25">
      <c r="B75" s="123" t="s">
        <v>115</v>
      </c>
      <c r="C75" s="49">
        <f>AVERAGE('26.09 Kasangati-Matugga-24h'!C75,'28.09 Kasangati-Matugga-24h'!C75)</f>
        <v>9</v>
      </c>
      <c r="D75" s="49">
        <f>AVERAGE('26.09 Kasangati-Matugga-24h'!D75,'28.09 Kasangati-Matugga-24h'!D75)</f>
        <v>1.5</v>
      </c>
      <c r="E75" s="49">
        <f>AVERAGE('26.09 Kasangati-Matugga-24h'!E75,'28.09 Kasangati-Matugga-24h'!E75)</f>
        <v>0.5</v>
      </c>
      <c r="F75" s="49">
        <f>AVERAGE('26.09 Kasangati-Matugga-24h'!F75,'28.09 Kasangati-Matugga-24h'!F75)</f>
        <v>0</v>
      </c>
      <c r="G75" s="49">
        <f>AVERAGE('26.09 Kasangati-Matugga-24h'!G75,'28.09 Kasangati-Matugga-24h'!G75)</f>
        <v>0</v>
      </c>
      <c r="H75" s="49">
        <f>AVERAGE('26.09 Kasangati-Matugga-24h'!H75,'28.09 Kasangati-Matugga-24h'!H75)</f>
        <v>0</v>
      </c>
      <c r="I75" s="49">
        <f>AVERAGE('26.09 Kasangati-Matugga-24h'!I75,'28.09 Kasangati-Matugga-24h'!I75)</f>
        <v>2.5</v>
      </c>
      <c r="J75" s="49">
        <f>AVERAGE('26.09 Kasangati-Matugga-24h'!J75,'28.09 Kasangati-Matugga-24h'!J75)</f>
        <v>0.5</v>
      </c>
      <c r="K75" s="49">
        <f>AVERAGE('26.09 Kasangati-Matugga-24h'!K75,'28.09 Kasangati-Matugga-24h'!K75)</f>
        <v>0</v>
      </c>
      <c r="L75" s="49">
        <f>AVERAGE('26.09 Kasangati-Matugga-24h'!L75,'28.09 Kasangati-Matugga-24h'!L75)</f>
        <v>0</v>
      </c>
      <c r="M75" s="49">
        <f>AVERAGE('26.09 Kasangati-Matugga-24h'!M75,'28.09 Kasangati-Matugga-24h'!M75)</f>
        <v>24</v>
      </c>
      <c r="N75" s="49">
        <f>AVERAGE('26.09 Kasangati-Matugga-24h'!N75,'28.09 Kasangati-Matugga-24h'!N75)</f>
        <v>0</v>
      </c>
      <c r="O75" s="116">
        <f t="shared" si="35"/>
        <v>14</v>
      </c>
      <c r="P75" s="116">
        <f t="shared" si="36"/>
        <v>38</v>
      </c>
      <c r="R75" s="109"/>
      <c r="S75" s="109"/>
    </row>
    <row r="76" spans="2:19" s="101" customFormat="1" ht="23.1" customHeight="1" x14ac:dyDescent="0.25">
      <c r="B76" s="123" t="s">
        <v>116</v>
      </c>
      <c r="C76" s="49">
        <f>AVERAGE('26.09 Kasangati-Matugga-24h'!C76,'28.09 Kasangati-Matugga-24h'!C76)</f>
        <v>5.5</v>
      </c>
      <c r="D76" s="49">
        <f>AVERAGE('26.09 Kasangati-Matugga-24h'!D76,'28.09 Kasangati-Matugga-24h'!D76)</f>
        <v>0</v>
      </c>
      <c r="E76" s="49">
        <f>AVERAGE('26.09 Kasangati-Matugga-24h'!E76,'28.09 Kasangati-Matugga-24h'!E76)</f>
        <v>1</v>
      </c>
      <c r="F76" s="49">
        <f>AVERAGE('26.09 Kasangati-Matugga-24h'!F76,'28.09 Kasangati-Matugga-24h'!F76)</f>
        <v>1</v>
      </c>
      <c r="G76" s="49">
        <f>AVERAGE('26.09 Kasangati-Matugga-24h'!G76,'28.09 Kasangati-Matugga-24h'!G76)</f>
        <v>0</v>
      </c>
      <c r="H76" s="49">
        <f>AVERAGE('26.09 Kasangati-Matugga-24h'!H76,'28.09 Kasangati-Matugga-24h'!H76)</f>
        <v>0</v>
      </c>
      <c r="I76" s="49">
        <f>AVERAGE('26.09 Kasangati-Matugga-24h'!I76,'28.09 Kasangati-Matugga-24h'!I76)</f>
        <v>0.5</v>
      </c>
      <c r="J76" s="49">
        <f>AVERAGE('26.09 Kasangati-Matugga-24h'!J76,'28.09 Kasangati-Matugga-24h'!J76)</f>
        <v>0</v>
      </c>
      <c r="K76" s="49">
        <f>AVERAGE('26.09 Kasangati-Matugga-24h'!K76,'28.09 Kasangati-Matugga-24h'!K76)</f>
        <v>0</v>
      </c>
      <c r="L76" s="49">
        <f>AVERAGE('26.09 Kasangati-Matugga-24h'!L76,'28.09 Kasangati-Matugga-24h'!L76)</f>
        <v>0</v>
      </c>
      <c r="M76" s="49">
        <f>AVERAGE('26.09 Kasangati-Matugga-24h'!M76,'28.09 Kasangati-Matugga-24h'!M76)</f>
        <v>19</v>
      </c>
      <c r="N76" s="49">
        <f>AVERAGE('26.09 Kasangati-Matugga-24h'!N76,'28.09 Kasangati-Matugga-24h'!N76)</f>
        <v>0</v>
      </c>
      <c r="O76" s="116">
        <f t="shared" si="35"/>
        <v>8</v>
      </c>
      <c r="P76" s="116">
        <f t="shared" si="36"/>
        <v>27</v>
      </c>
      <c r="R76" s="109"/>
      <c r="S76" s="109"/>
    </row>
    <row r="77" spans="2:19" s="101" customFormat="1" ht="23.1" customHeight="1" x14ac:dyDescent="0.25">
      <c r="B77" s="123" t="s">
        <v>117</v>
      </c>
      <c r="C77" s="49">
        <f>AVERAGE('26.09 Kasangati-Matugga-24h'!C77,'28.09 Kasangati-Matugga-24h'!C77)</f>
        <v>7</v>
      </c>
      <c r="D77" s="49">
        <f>AVERAGE('26.09 Kasangati-Matugga-24h'!D77,'28.09 Kasangati-Matugga-24h'!D77)</f>
        <v>1.5</v>
      </c>
      <c r="E77" s="49">
        <f>AVERAGE('26.09 Kasangati-Matugga-24h'!E77,'28.09 Kasangati-Matugga-24h'!E77)</f>
        <v>1</v>
      </c>
      <c r="F77" s="49">
        <f>AVERAGE('26.09 Kasangati-Matugga-24h'!F77,'28.09 Kasangati-Matugga-24h'!F77)</f>
        <v>1</v>
      </c>
      <c r="G77" s="49">
        <f>AVERAGE('26.09 Kasangati-Matugga-24h'!G77,'28.09 Kasangati-Matugga-24h'!G77)</f>
        <v>0</v>
      </c>
      <c r="H77" s="49">
        <f>AVERAGE('26.09 Kasangati-Matugga-24h'!H77,'28.09 Kasangati-Matugga-24h'!H77)</f>
        <v>0</v>
      </c>
      <c r="I77" s="49">
        <f>AVERAGE('26.09 Kasangati-Matugga-24h'!I77,'28.09 Kasangati-Matugga-24h'!I77)</f>
        <v>0.5</v>
      </c>
      <c r="J77" s="49">
        <f>AVERAGE('26.09 Kasangati-Matugga-24h'!J77,'28.09 Kasangati-Matugga-24h'!J77)</f>
        <v>0</v>
      </c>
      <c r="K77" s="49">
        <f>AVERAGE('26.09 Kasangati-Matugga-24h'!K77,'28.09 Kasangati-Matugga-24h'!K77)</f>
        <v>0</v>
      </c>
      <c r="L77" s="49">
        <f>AVERAGE('26.09 Kasangati-Matugga-24h'!L77,'28.09 Kasangati-Matugga-24h'!L77)</f>
        <v>0</v>
      </c>
      <c r="M77" s="49">
        <f>AVERAGE('26.09 Kasangati-Matugga-24h'!M77,'28.09 Kasangati-Matugga-24h'!M77)</f>
        <v>22</v>
      </c>
      <c r="N77" s="49">
        <f>AVERAGE('26.09 Kasangati-Matugga-24h'!N77,'28.09 Kasangati-Matugga-24h'!N77)</f>
        <v>0</v>
      </c>
      <c r="O77" s="116">
        <f t="shared" si="35"/>
        <v>11</v>
      </c>
      <c r="P77" s="116">
        <f t="shared" si="36"/>
        <v>33</v>
      </c>
      <c r="R77" s="109"/>
      <c r="S77" s="109"/>
    </row>
    <row r="78" spans="2:19" s="101" customFormat="1" ht="23.1" customHeight="1" x14ac:dyDescent="0.25">
      <c r="B78" s="124" t="s">
        <v>118</v>
      </c>
      <c r="C78" s="49">
        <f>AVERAGE('26.09 Kasangati-Matugga-24h'!C78,'28.09 Kasangati-Matugga-24h'!C78)</f>
        <v>7.5</v>
      </c>
      <c r="D78" s="49">
        <f>AVERAGE('26.09 Kasangati-Matugga-24h'!D78,'28.09 Kasangati-Matugga-24h'!D78)</f>
        <v>1</v>
      </c>
      <c r="E78" s="49">
        <f>AVERAGE('26.09 Kasangati-Matugga-24h'!E78,'28.09 Kasangati-Matugga-24h'!E78)</f>
        <v>1.5</v>
      </c>
      <c r="F78" s="49">
        <f>AVERAGE('26.09 Kasangati-Matugga-24h'!F78,'28.09 Kasangati-Matugga-24h'!F78)</f>
        <v>1</v>
      </c>
      <c r="G78" s="49">
        <f>AVERAGE('26.09 Kasangati-Matugga-24h'!G78,'28.09 Kasangati-Matugga-24h'!G78)</f>
        <v>0</v>
      </c>
      <c r="H78" s="49">
        <f>AVERAGE('26.09 Kasangati-Matugga-24h'!H78,'28.09 Kasangati-Matugga-24h'!H78)</f>
        <v>0</v>
      </c>
      <c r="I78" s="49">
        <f>AVERAGE('26.09 Kasangati-Matugga-24h'!I78,'28.09 Kasangati-Matugga-24h'!I78)</f>
        <v>0.5</v>
      </c>
      <c r="J78" s="49">
        <f>AVERAGE('26.09 Kasangati-Matugga-24h'!J78,'28.09 Kasangati-Matugga-24h'!J78)</f>
        <v>0</v>
      </c>
      <c r="K78" s="49">
        <f>AVERAGE('26.09 Kasangati-Matugga-24h'!K78,'28.09 Kasangati-Matugga-24h'!K78)</f>
        <v>0</v>
      </c>
      <c r="L78" s="49">
        <f>AVERAGE('26.09 Kasangati-Matugga-24h'!L78,'28.09 Kasangati-Matugga-24h'!L78)</f>
        <v>0</v>
      </c>
      <c r="M78" s="49">
        <f>AVERAGE('26.09 Kasangati-Matugga-24h'!M78,'28.09 Kasangati-Matugga-24h'!M78)</f>
        <v>13</v>
      </c>
      <c r="N78" s="49">
        <f>AVERAGE('26.09 Kasangati-Matugga-24h'!N78,'28.09 Kasangati-Matugga-24h'!N78)</f>
        <v>0</v>
      </c>
      <c r="O78" s="116">
        <f t="shared" si="35"/>
        <v>11.5</v>
      </c>
      <c r="P78" s="116">
        <f t="shared" si="36"/>
        <v>24.5</v>
      </c>
      <c r="R78" s="109"/>
      <c r="S78" s="109"/>
    </row>
    <row r="79" spans="2:19" s="101" customFormat="1" ht="23.1" customHeight="1" x14ac:dyDescent="0.25">
      <c r="B79" s="123" t="s">
        <v>119</v>
      </c>
      <c r="C79" s="49">
        <f>AVERAGE('26.09 Kasangati-Matugga-24h'!C79,'28.09 Kasangati-Matugga-24h'!C79)</f>
        <v>5.5</v>
      </c>
      <c r="D79" s="49">
        <f>AVERAGE('26.09 Kasangati-Matugga-24h'!D79,'28.09 Kasangati-Matugga-24h'!D79)</f>
        <v>0</v>
      </c>
      <c r="E79" s="49">
        <f>AVERAGE('26.09 Kasangati-Matugga-24h'!E79,'28.09 Kasangati-Matugga-24h'!E79)</f>
        <v>0.5</v>
      </c>
      <c r="F79" s="49">
        <f>AVERAGE('26.09 Kasangati-Matugga-24h'!F79,'28.09 Kasangati-Matugga-24h'!F79)</f>
        <v>0.5</v>
      </c>
      <c r="G79" s="49">
        <f>AVERAGE('26.09 Kasangati-Matugga-24h'!G79,'28.09 Kasangati-Matugga-24h'!G79)</f>
        <v>0</v>
      </c>
      <c r="H79" s="49">
        <f>AVERAGE('26.09 Kasangati-Matugga-24h'!H79,'28.09 Kasangati-Matugga-24h'!H79)</f>
        <v>0</v>
      </c>
      <c r="I79" s="49">
        <f>AVERAGE('26.09 Kasangati-Matugga-24h'!I79,'28.09 Kasangati-Matugga-24h'!I79)</f>
        <v>0</v>
      </c>
      <c r="J79" s="49">
        <f>AVERAGE('26.09 Kasangati-Matugga-24h'!J79,'28.09 Kasangati-Matugga-24h'!J79)</f>
        <v>0.5</v>
      </c>
      <c r="K79" s="49">
        <f>AVERAGE('26.09 Kasangati-Matugga-24h'!K79,'28.09 Kasangati-Matugga-24h'!K79)</f>
        <v>0</v>
      </c>
      <c r="L79" s="49">
        <f>AVERAGE('26.09 Kasangati-Matugga-24h'!L79,'28.09 Kasangati-Matugga-24h'!L79)</f>
        <v>0</v>
      </c>
      <c r="M79" s="49">
        <f>AVERAGE('26.09 Kasangati-Matugga-24h'!M79,'28.09 Kasangati-Matugga-24h'!M79)</f>
        <v>12.5</v>
      </c>
      <c r="N79" s="49">
        <f>AVERAGE('26.09 Kasangati-Matugga-24h'!N79,'28.09 Kasangati-Matugga-24h'!N79)</f>
        <v>0</v>
      </c>
      <c r="O79" s="116">
        <f t="shared" si="35"/>
        <v>7</v>
      </c>
      <c r="P79" s="116">
        <f t="shared" si="36"/>
        <v>19.5</v>
      </c>
      <c r="R79" s="109"/>
      <c r="S79" s="109"/>
    </row>
    <row r="80" spans="2:19" s="101" customFormat="1" ht="23.1" customHeight="1" x14ac:dyDescent="0.25">
      <c r="B80" s="125" t="s">
        <v>120</v>
      </c>
      <c r="C80" s="49">
        <f>AVERAGE('26.09 Kasangati-Matugga-24h'!C80,'28.09 Kasangati-Matugga-24h'!C80)</f>
        <v>6</v>
      </c>
      <c r="D80" s="49">
        <f>AVERAGE('26.09 Kasangati-Matugga-24h'!D80,'28.09 Kasangati-Matugga-24h'!D80)</f>
        <v>1</v>
      </c>
      <c r="E80" s="49">
        <f>AVERAGE('26.09 Kasangati-Matugga-24h'!E80,'28.09 Kasangati-Matugga-24h'!E80)</f>
        <v>0</v>
      </c>
      <c r="F80" s="49">
        <f>AVERAGE('26.09 Kasangati-Matugga-24h'!F80,'28.09 Kasangati-Matugga-24h'!F80)</f>
        <v>0</v>
      </c>
      <c r="G80" s="49">
        <f>AVERAGE('26.09 Kasangati-Matugga-24h'!G80,'28.09 Kasangati-Matugga-24h'!G80)</f>
        <v>0</v>
      </c>
      <c r="H80" s="49">
        <f>AVERAGE('26.09 Kasangati-Matugga-24h'!H80,'28.09 Kasangati-Matugga-24h'!H80)</f>
        <v>0</v>
      </c>
      <c r="I80" s="49">
        <f>AVERAGE('26.09 Kasangati-Matugga-24h'!I80,'28.09 Kasangati-Matugga-24h'!I80)</f>
        <v>0</v>
      </c>
      <c r="J80" s="49">
        <f>AVERAGE('26.09 Kasangati-Matugga-24h'!J80,'28.09 Kasangati-Matugga-24h'!J80)</f>
        <v>0</v>
      </c>
      <c r="K80" s="49">
        <f>AVERAGE('26.09 Kasangati-Matugga-24h'!K80,'28.09 Kasangati-Matugga-24h'!K80)</f>
        <v>0.5</v>
      </c>
      <c r="L80" s="49">
        <f>AVERAGE('26.09 Kasangati-Matugga-24h'!L80,'28.09 Kasangati-Matugga-24h'!L80)</f>
        <v>0</v>
      </c>
      <c r="M80" s="49">
        <f>AVERAGE('26.09 Kasangati-Matugga-24h'!M80,'28.09 Kasangati-Matugga-24h'!M80)</f>
        <v>9.5</v>
      </c>
      <c r="N80" s="49">
        <f>AVERAGE('26.09 Kasangati-Matugga-24h'!N80,'28.09 Kasangati-Matugga-24h'!N80)</f>
        <v>0</v>
      </c>
      <c r="O80" s="116">
        <f t="shared" si="35"/>
        <v>7.5</v>
      </c>
      <c r="P80" s="116">
        <f t="shared" si="36"/>
        <v>17</v>
      </c>
      <c r="R80" s="109"/>
      <c r="S80" s="109"/>
    </row>
    <row r="81" spans="2:19" s="101" customFormat="1" ht="23.1" customHeight="1" x14ac:dyDescent="0.25">
      <c r="B81" s="123" t="s">
        <v>121</v>
      </c>
      <c r="C81" s="49">
        <f>AVERAGE('26.09 Kasangati-Matugga-24h'!C81,'28.09 Kasangati-Matugga-24h'!C81)</f>
        <v>4.5</v>
      </c>
      <c r="D81" s="49">
        <f>AVERAGE('26.09 Kasangati-Matugga-24h'!D81,'28.09 Kasangati-Matugga-24h'!D81)</f>
        <v>1.5</v>
      </c>
      <c r="E81" s="49">
        <f>AVERAGE('26.09 Kasangati-Matugga-24h'!E81,'28.09 Kasangati-Matugga-24h'!E81)</f>
        <v>1</v>
      </c>
      <c r="F81" s="49">
        <f>AVERAGE('26.09 Kasangati-Matugga-24h'!F81,'28.09 Kasangati-Matugga-24h'!F81)</f>
        <v>0</v>
      </c>
      <c r="G81" s="49">
        <f>AVERAGE('26.09 Kasangati-Matugga-24h'!G81,'28.09 Kasangati-Matugga-24h'!G81)</f>
        <v>0</v>
      </c>
      <c r="H81" s="49">
        <f>AVERAGE('26.09 Kasangati-Matugga-24h'!H81,'28.09 Kasangati-Matugga-24h'!H81)</f>
        <v>0</v>
      </c>
      <c r="I81" s="49">
        <f>AVERAGE('26.09 Kasangati-Matugga-24h'!I81,'28.09 Kasangati-Matugga-24h'!I81)</f>
        <v>0.5</v>
      </c>
      <c r="J81" s="49">
        <f>AVERAGE('26.09 Kasangati-Matugga-24h'!J81,'28.09 Kasangati-Matugga-24h'!J81)</f>
        <v>0</v>
      </c>
      <c r="K81" s="49">
        <f>AVERAGE('26.09 Kasangati-Matugga-24h'!K81,'28.09 Kasangati-Matugga-24h'!K81)</f>
        <v>0</v>
      </c>
      <c r="L81" s="49">
        <f>AVERAGE('26.09 Kasangati-Matugga-24h'!L81,'28.09 Kasangati-Matugga-24h'!L81)</f>
        <v>0</v>
      </c>
      <c r="M81" s="49">
        <f>AVERAGE('26.09 Kasangati-Matugga-24h'!M81,'28.09 Kasangati-Matugga-24h'!M81)</f>
        <v>11</v>
      </c>
      <c r="N81" s="49">
        <f>AVERAGE('26.09 Kasangati-Matugga-24h'!N81,'28.09 Kasangati-Matugga-24h'!N81)</f>
        <v>0</v>
      </c>
      <c r="O81" s="116">
        <f t="shared" si="35"/>
        <v>7.5</v>
      </c>
      <c r="P81" s="116">
        <f t="shared" si="36"/>
        <v>18.5</v>
      </c>
      <c r="R81" s="109"/>
      <c r="S81" s="109"/>
    </row>
    <row r="82" spans="2:19" s="101" customFormat="1" ht="23.1" customHeight="1" x14ac:dyDescent="0.25">
      <c r="B82" s="124" t="s">
        <v>122</v>
      </c>
      <c r="C82" s="49">
        <f>AVERAGE('26.09 Kasangati-Matugga-24h'!C82,'28.09 Kasangati-Matugga-24h'!C82)</f>
        <v>3.5</v>
      </c>
      <c r="D82" s="49">
        <f>AVERAGE('26.09 Kasangati-Matugga-24h'!D82,'28.09 Kasangati-Matugga-24h'!D82)</f>
        <v>0</v>
      </c>
      <c r="E82" s="49">
        <f>AVERAGE('26.09 Kasangati-Matugga-24h'!E82,'28.09 Kasangati-Matugga-24h'!E82)</f>
        <v>0</v>
      </c>
      <c r="F82" s="49">
        <f>AVERAGE('26.09 Kasangati-Matugga-24h'!F82,'28.09 Kasangati-Matugga-24h'!F82)</f>
        <v>2</v>
      </c>
      <c r="G82" s="49">
        <f>AVERAGE('26.09 Kasangati-Matugga-24h'!G82,'28.09 Kasangati-Matugga-24h'!G82)</f>
        <v>0</v>
      </c>
      <c r="H82" s="49">
        <f>AVERAGE('26.09 Kasangati-Matugga-24h'!H82,'28.09 Kasangati-Matugga-24h'!H82)</f>
        <v>0</v>
      </c>
      <c r="I82" s="49">
        <f>AVERAGE('26.09 Kasangati-Matugga-24h'!I82,'28.09 Kasangati-Matugga-24h'!I82)</f>
        <v>0</v>
      </c>
      <c r="J82" s="49">
        <f>AVERAGE('26.09 Kasangati-Matugga-24h'!J82,'28.09 Kasangati-Matugga-24h'!J82)</f>
        <v>0</v>
      </c>
      <c r="K82" s="49">
        <f>AVERAGE('26.09 Kasangati-Matugga-24h'!K82,'28.09 Kasangati-Matugga-24h'!K82)</f>
        <v>0</v>
      </c>
      <c r="L82" s="49">
        <f>AVERAGE('26.09 Kasangati-Matugga-24h'!L82,'28.09 Kasangati-Matugga-24h'!L82)</f>
        <v>0</v>
      </c>
      <c r="M82" s="49">
        <f>AVERAGE('26.09 Kasangati-Matugga-24h'!M82,'28.09 Kasangati-Matugga-24h'!M82)</f>
        <v>14</v>
      </c>
      <c r="N82" s="49">
        <f>AVERAGE('26.09 Kasangati-Matugga-24h'!N82,'28.09 Kasangati-Matugga-24h'!N82)</f>
        <v>0</v>
      </c>
      <c r="O82" s="116">
        <f t="shared" si="35"/>
        <v>5.5</v>
      </c>
      <c r="P82" s="116">
        <f t="shared" si="36"/>
        <v>19.5</v>
      </c>
      <c r="R82" s="109"/>
      <c r="S82" s="109"/>
    </row>
    <row r="83" spans="2:19" s="101" customFormat="1" ht="23.1" customHeight="1" x14ac:dyDescent="0.25">
      <c r="B83" s="123" t="s">
        <v>123</v>
      </c>
      <c r="C83" s="49">
        <f>AVERAGE('26.09 Kasangati-Matugga-24h'!C83,'28.09 Kasangati-Matugga-24h'!C83)</f>
        <v>4</v>
      </c>
      <c r="D83" s="49">
        <f>AVERAGE('26.09 Kasangati-Matugga-24h'!D83,'28.09 Kasangati-Matugga-24h'!D83)</f>
        <v>0</v>
      </c>
      <c r="E83" s="49">
        <f>AVERAGE('26.09 Kasangati-Matugga-24h'!E83,'28.09 Kasangati-Matugga-24h'!E83)</f>
        <v>1</v>
      </c>
      <c r="F83" s="49">
        <f>AVERAGE('26.09 Kasangati-Matugga-24h'!F83,'28.09 Kasangati-Matugga-24h'!F83)</f>
        <v>1</v>
      </c>
      <c r="G83" s="49">
        <f>AVERAGE('26.09 Kasangati-Matugga-24h'!G83,'28.09 Kasangati-Matugga-24h'!G83)</f>
        <v>0</v>
      </c>
      <c r="H83" s="49">
        <f>AVERAGE('26.09 Kasangati-Matugga-24h'!H83,'28.09 Kasangati-Matugga-24h'!H83)</f>
        <v>0</v>
      </c>
      <c r="I83" s="49">
        <f>AVERAGE('26.09 Kasangati-Matugga-24h'!I83,'28.09 Kasangati-Matugga-24h'!I83)</f>
        <v>0</v>
      </c>
      <c r="J83" s="49">
        <f>AVERAGE('26.09 Kasangati-Matugga-24h'!J83,'28.09 Kasangati-Matugga-24h'!J83)</f>
        <v>0</v>
      </c>
      <c r="K83" s="49">
        <f>AVERAGE('26.09 Kasangati-Matugga-24h'!K83,'28.09 Kasangati-Matugga-24h'!K83)</f>
        <v>0</v>
      </c>
      <c r="L83" s="49">
        <f>AVERAGE('26.09 Kasangati-Matugga-24h'!L83,'28.09 Kasangati-Matugga-24h'!L83)</f>
        <v>0</v>
      </c>
      <c r="M83" s="49">
        <f>AVERAGE('26.09 Kasangati-Matugga-24h'!M83,'28.09 Kasangati-Matugga-24h'!M83)</f>
        <v>10.5</v>
      </c>
      <c r="N83" s="49">
        <f>AVERAGE('26.09 Kasangati-Matugga-24h'!N83,'28.09 Kasangati-Matugga-24h'!N83)</f>
        <v>0</v>
      </c>
      <c r="O83" s="116">
        <f t="shared" si="35"/>
        <v>6</v>
      </c>
      <c r="P83" s="116">
        <f t="shared" si="36"/>
        <v>16.5</v>
      </c>
      <c r="R83" s="109"/>
      <c r="S83" s="109"/>
    </row>
    <row r="84" spans="2:19" s="101" customFormat="1" ht="23.1" customHeight="1" x14ac:dyDescent="0.25">
      <c r="B84" s="125" t="s">
        <v>124</v>
      </c>
      <c r="C84" s="49">
        <f>AVERAGE('26.09 Kasangati-Matugga-24h'!C84,'28.09 Kasangati-Matugga-24h'!C84)</f>
        <v>3.5</v>
      </c>
      <c r="D84" s="49">
        <f>AVERAGE('26.09 Kasangati-Matugga-24h'!D84,'28.09 Kasangati-Matugga-24h'!D84)</f>
        <v>0.5</v>
      </c>
      <c r="E84" s="49">
        <f>AVERAGE('26.09 Kasangati-Matugga-24h'!E84,'28.09 Kasangati-Matugga-24h'!E84)</f>
        <v>0</v>
      </c>
      <c r="F84" s="49">
        <f>AVERAGE('26.09 Kasangati-Matugga-24h'!F84,'28.09 Kasangati-Matugga-24h'!F84)</f>
        <v>0</v>
      </c>
      <c r="G84" s="49">
        <f>AVERAGE('26.09 Kasangati-Matugga-24h'!G84,'28.09 Kasangati-Matugga-24h'!G84)</f>
        <v>0</v>
      </c>
      <c r="H84" s="49">
        <f>AVERAGE('26.09 Kasangati-Matugga-24h'!H84,'28.09 Kasangati-Matugga-24h'!H84)</f>
        <v>0</v>
      </c>
      <c r="I84" s="49">
        <f>AVERAGE('26.09 Kasangati-Matugga-24h'!I84,'28.09 Kasangati-Matugga-24h'!I84)</f>
        <v>0</v>
      </c>
      <c r="J84" s="49">
        <f>AVERAGE('26.09 Kasangati-Matugga-24h'!J84,'28.09 Kasangati-Matugga-24h'!J84)</f>
        <v>0</v>
      </c>
      <c r="K84" s="49">
        <f>AVERAGE('26.09 Kasangati-Matugga-24h'!K84,'28.09 Kasangati-Matugga-24h'!K84)</f>
        <v>0</v>
      </c>
      <c r="L84" s="49">
        <f>AVERAGE('26.09 Kasangati-Matugga-24h'!L84,'28.09 Kasangati-Matugga-24h'!L84)</f>
        <v>0</v>
      </c>
      <c r="M84" s="49">
        <f>AVERAGE('26.09 Kasangati-Matugga-24h'!M84,'28.09 Kasangati-Matugga-24h'!M84)</f>
        <v>8.5</v>
      </c>
      <c r="N84" s="49">
        <f>AVERAGE('26.09 Kasangati-Matugga-24h'!N84,'28.09 Kasangati-Matugga-24h'!N84)</f>
        <v>0</v>
      </c>
      <c r="O84" s="116">
        <f t="shared" si="35"/>
        <v>4</v>
      </c>
      <c r="P84" s="116">
        <f t="shared" si="36"/>
        <v>12.5</v>
      </c>
      <c r="R84" s="109"/>
      <c r="S84" s="109"/>
    </row>
    <row r="85" spans="2:19" s="101" customFormat="1" ht="23.1" customHeight="1" x14ac:dyDescent="0.25">
      <c r="B85" s="123" t="s">
        <v>125</v>
      </c>
      <c r="C85" s="49">
        <f>AVERAGE('26.09 Kasangati-Matugga-24h'!C85,'28.09 Kasangati-Matugga-24h'!C85)</f>
        <v>1.5</v>
      </c>
      <c r="D85" s="49">
        <f>AVERAGE('26.09 Kasangati-Matugga-24h'!D85,'28.09 Kasangati-Matugga-24h'!D85)</f>
        <v>1.5</v>
      </c>
      <c r="E85" s="49">
        <f>AVERAGE('26.09 Kasangati-Matugga-24h'!E85,'28.09 Kasangati-Matugga-24h'!E85)</f>
        <v>0.5</v>
      </c>
      <c r="F85" s="49">
        <f>AVERAGE('26.09 Kasangati-Matugga-24h'!F85,'28.09 Kasangati-Matugga-24h'!F85)</f>
        <v>0</v>
      </c>
      <c r="G85" s="49">
        <f>AVERAGE('26.09 Kasangati-Matugga-24h'!G85,'28.09 Kasangati-Matugga-24h'!G85)</f>
        <v>0</v>
      </c>
      <c r="H85" s="49">
        <f>AVERAGE('26.09 Kasangati-Matugga-24h'!H85,'28.09 Kasangati-Matugga-24h'!H85)</f>
        <v>0</v>
      </c>
      <c r="I85" s="49">
        <f>AVERAGE('26.09 Kasangati-Matugga-24h'!I85,'28.09 Kasangati-Matugga-24h'!I85)</f>
        <v>0</v>
      </c>
      <c r="J85" s="49">
        <f>AVERAGE('26.09 Kasangati-Matugga-24h'!J85,'28.09 Kasangati-Matugga-24h'!J85)</f>
        <v>1</v>
      </c>
      <c r="K85" s="49">
        <f>AVERAGE('26.09 Kasangati-Matugga-24h'!K85,'28.09 Kasangati-Matugga-24h'!K85)</f>
        <v>0</v>
      </c>
      <c r="L85" s="49">
        <f>AVERAGE('26.09 Kasangati-Matugga-24h'!L85,'28.09 Kasangati-Matugga-24h'!L85)</f>
        <v>0</v>
      </c>
      <c r="M85" s="49">
        <f>AVERAGE('26.09 Kasangati-Matugga-24h'!M85,'28.09 Kasangati-Matugga-24h'!M85)</f>
        <v>5.5</v>
      </c>
      <c r="N85" s="49">
        <f>AVERAGE('26.09 Kasangati-Matugga-24h'!N85,'28.09 Kasangati-Matugga-24h'!N85)</f>
        <v>0</v>
      </c>
      <c r="O85" s="116">
        <f t="shared" si="35"/>
        <v>4.5</v>
      </c>
      <c r="P85" s="116">
        <f t="shared" si="36"/>
        <v>10</v>
      </c>
      <c r="R85" s="109"/>
      <c r="S85" s="109"/>
    </row>
    <row r="86" spans="2:19" s="101" customFormat="1" ht="23.1" customHeight="1" x14ac:dyDescent="0.25">
      <c r="B86" s="124" t="s">
        <v>126</v>
      </c>
      <c r="C86" s="49">
        <f>AVERAGE('26.09 Kasangati-Matugga-24h'!C86,'28.09 Kasangati-Matugga-24h'!C86)</f>
        <v>0.5</v>
      </c>
      <c r="D86" s="49">
        <f>AVERAGE('26.09 Kasangati-Matugga-24h'!D86,'28.09 Kasangati-Matugga-24h'!D86)</f>
        <v>0.5</v>
      </c>
      <c r="E86" s="49">
        <f>AVERAGE('26.09 Kasangati-Matugga-24h'!E86,'28.09 Kasangati-Matugga-24h'!E86)</f>
        <v>0</v>
      </c>
      <c r="F86" s="49">
        <f>AVERAGE('26.09 Kasangati-Matugga-24h'!F86,'28.09 Kasangati-Matugga-24h'!F86)</f>
        <v>0</v>
      </c>
      <c r="G86" s="49">
        <f>AVERAGE('26.09 Kasangati-Matugga-24h'!G86,'28.09 Kasangati-Matugga-24h'!G86)</f>
        <v>0</v>
      </c>
      <c r="H86" s="49">
        <f>AVERAGE('26.09 Kasangati-Matugga-24h'!H86,'28.09 Kasangati-Matugga-24h'!H86)</f>
        <v>0</v>
      </c>
      <c r="I86" s="49">
        <f>AVERAGE('26.09 Kasangati-Matugga-24h'!I86,'28.09 Kasangati-Matugga-24h'!I86)</f>
        <v>0</v>
      </c>
      <c r="J86" s="49">
        <f>AVERAGE('26.09 Kasangati-Matugga-24h'!J86,'28.09 Kasangati-Matugga-24h'!J86)</f>
        <v>0</v>
      </c>
      <c r="K86" s="49">
        <f>AVERAGE('26.09 Kasangati-Matugga-24h'!K86,'28.09 Kasangati-Matugga-24h'!K86)</f>
        <v>0</v>
      </c>
      <c r="L86" s="49">
        <f>AVERAGE('26.09 Kasangati-Matugga-24h'!L86,'28.09 Kasangati-Matugga-24h'!L86)</f>
        <v>0</v>
      </c>
      <c r="M86" s="49">
        <f>AVERAGE('26.09 Kasangati-Matugga-24h'!M86,'28.09 Kasangati-Matugga-24h'!M86)</f>
        <v>5.5</v>
      </c>
      <c r="N86" s="49">
        <f>AVERAGE('26.09 Kasangati-Matugga-24h'!N86,'28.09 Kasangati-Matugga-24h'!N86)</f>
        <v>0</v>
      </c>
      <c r="O86" s="116">
        <f t="shared" si="35"/>
        <v>1</v>
      </c>
      <c r="P86" s="116">
        <f t="shared" si="36"/>
        <v>6.5</v>
      </c>
      <c r="R86" s="109"/>
      <c r="S86" s="109"/>
    </row>
    <row r="87" spans="2:19" s="101" customFormat="1" ht="23.1" customHeight="1" x14ac:dyDescent="0.25">
      <c r="B87" s="123" t="s">
        <v>127</v>
      </c>
      <c r="C87" s="49">
        <f>AVERAGE('26.09 Kasangati-Matugga-24h'!C87,'28.09 Kasangati-Matugga-24h'!C87)</f>
        <v>0.5</v>
      </c>
      <c r="D87" s="49">
        <f>AVERAGE('26.09 Kasangati-Matugga-24h'!D87,'28.09 Kasangati-Matugga-24h'!D87)</f>
        <v>0</v>
      </c>
      <c r="E87" s="49">
        <f>AVERAGE('26.09 Kasangati-Matugga-24h'!E87,'28.09 Kasangati-Matugga-24h'!E87)</f>
        <v>1</v>
      </c>
      <c r="F87" s="49">
        <f>AVERAGE('26.09 Kasangati-Matugga-24h'!F87,'28.09 Kasangati-Matugga-24h'!F87)</f>
        <v>0</v>
      </c>
      <c r="G87" s="49">
        <f>AVERAGE('26.09 Kasangati-Matugga-24h'!G87,'28.09 Kasangati-Matugga-24h'!G87)</f>
        <v>0</v>
      </c>
      <c r="H87" s="49">
        <f>AVERAGE('26.09 Kasangati-Matugga-24h'!H87,'28.09 Kasangati-Matugga-24h'!H87)</f>
        <v>0</v>
      </c>
      <c r="I87" s="49">
        <f>AVERAGE('26.09 Kasangati-Matugga-24h'!I87,'28.09 Kasangati-Matugga-24h'!I87)</f>
        <v>0.5</v>
      </c>
      <c r="J87" s="49">
        <f>AVERAGE('26.09 Kasangati-Matugga-24h'!J87,'28.09 Kasangati-Matugga-24h'!J87)</f>
        <v>0</v>
      </c>
      <c r="K87" s="49">
        <f>AVERAGE('26.09 Kasangati-Matugga-24h'!K87,'28.09 Kasangati-Matugga-24h'!K87)</f>
        <v>0</v>
      </c>
      <c r="L87" s="49">
        <f>AVERAGE('26.09 Kasangati-Matugga-24h'!L87,'28.09 Kasangati-Matugga-24h'!L87)</f>
        <v>0</v>
      </c>
      <c r="M87" s="49">
        <f>AVERAGE('26.09 Kasangati-Matugga-24h'!M87,'28.09 Kasangati-Matugga-24h'!M87)</f>
        <v>4</v>
      </c>
      <c r="N87" s="49">
        <f>AVERAGE('26.09 Kasangati-Matugga-24h'!N87,'28.09 Kasangati-Matugga-24h'!N87)</f>
        <v>0</v>
      </c>
      <c r="O87" s="116">
        <f t="shared" si="35"/>
        <v>2</v>
      </c>
      <c r="P87" s="116">
        <f t="shared" si="36"/>
        <v>6</v>
      </c>
      <c r="R87" s="109"/>
      <c r="S87" s="109"/>
    </row>
    <row r="88" spans="2:19" s="101" customFormat="1" ht="23.1" customHeight="1" x14ac:dyDescent="0.25">
      <c r="B88" s="125" t="s">
        <v>128</v>
      </c>
      <c r="C88" s="49">
        <f>AVERAGE('26.09 Kasangati-Matugga-24h'!C88,'28.09 Kasangati-Matugga-24h'!C88)</f>
        <v>1</v>
      </c>
      <c r="D88" s="49">
        <f>AVERAGE('26.09 Kasangati-Matugga-24h'!D88,'28.09 Kasangati-Matugga-24h'!D88)</f>
        <v>0.5</v>
      </c>
      <c r="E88" s="49">
        <f>AVERAGE('26.09 Kasangati-Matugga-24h'!E88,'28.09 Kasangati-Matugga-24h'!E88)</f>
        <v>0</v>
      </c>
      <c r="F88" s="49">
        <f>AVERAGE('26.09 Kasangati-Matugga-24h'!F88,'28.09 Kasangati-Matugga-24h'!F88)</f>
        <v>0.5</v>
      </c>
      <c r="G88" s="49">
        <f>AVERAGE('26.09 Kasangati-Matugga-24h'!G88,'28.09 Kasangati-Matugga-24h'!G88)</f>
        <v>0</v>
      </c>
      <c r="H88" s="49">
        <f>AVERAGE('26.09 Kasangati-Matugga-24h'!H88,'28.09 Kasangati-Matugga-24h'!H88)</f>
        <v>0</v>
      </c>
      <c r="I88" s="49">
        <f>AVERAGE('26.09 Kasangati-Matugga-24h'!I88,'28.09 Kasangati-Matugga-24h'!I88)</f>
        <v>0.5</v>
      </c>
      <c r="J88" s="49">
        <f>AVERAGE('26.09 Kasangati-Matugga-24h'!J88,'28.09 Kasangati-Matugga-24h'!J88)</f>
        <v>0</v>
      </c>
      <c r="K88" s="49">
        <f>AVERAGE('26.09 Kasangati-Matugga-24h'!K88,'28.09 Kasangati-Matugga-24h'!K88)</f>
        <v>0</v>
      </c>
      <c r="L88" s="49">
        <f>AVERAGE('26.09 Kasangati-Matugga-24h'!L88,'28.09 Kasangati-Matugga-24h'!L88)</f>
        <v>0</v>
      </c>
      <c r="M88" s="49">
        <f>AVERAGE('26.09 Kasangati-Matugga-24h'!M88,'28.09 Kasangati-Matugga-24h'!M88)</f>
        <v>4.5</v>
      </c>
      <c r="N88" s="49">
        <f>AVERAGE('26.09 Kasangati-Matugga-24h'!N88,'28.09 Kasangati-Matugga-24h'!N88)</f>
        <v>0</v>
      </c>
      <c r="O88" s="116">
        <f t="shared" si="35"/>
        <v>2.5</v>
      </c>
      <c r="P88" s="116">
        <f t="shared" si="36"/>
        <v>7</v>
      </c>
      <c r="R88" s="109"/>
      <c r="S88" s="109"/>
    </row>
    <row r="89" spans="2:19" s="101" customFormat="1" ht="23.1" customHeight="1" x14ac:dyDescent="0.25">
      <c r="B89" s="123" t="s">
        <v>129</v>
      </c>
      <c r="C89" s="49">
        <f>AVERAGE('26.09 Kasangati-Matugga-24h'!C89,'28.09 Kasangati-Matugga-24h'!C89)</f>
        <v>2</v>
      </c>
      <c r="D89" s="49">
        <f>AVERAGE('26.09 Kasangati-Matugga-24h'!D89,'28.09 Kasangati-Matugga-24h'!D89)</f>
        <v>1</v>
      </c>
      <c r="E89" s="49">
        <f>AVERAGE('26.09 Kasangati-Matugga-24h'!E89,'28.09 Kasangati-Matugga-24h'!E89)</f>
        <v>0.5</v>
      </c>
      <c r="F89" s="49">
        <f>AVERAGE('26.09 Kasangati-Matugga-24h'!F89,'28.09 Kasangati-Matugga-24h'!F89)</f>
        <v>0</v>
      </c>
      <c r="G89" s="49">
        <f>AVERAGE('26.09 Kasangati-Matugga-24h'!G89,'28.09 Kasangati-Matugga-24h'!G89)</f>
        <v>0</v>
      </c>
      <c r="H89" s="49">
        <f>AVERAGE('26.09 Kasangati-Matugga-24h'!H89,'28.09 Kasangati-Matugga-24h'!H89)</f>
        <v>0</v>
      </c>
      <c r="I89" s="49">
        <f>AVERAGE('26.09 Kasangati-Matugga-24h'!I89,'28.09 Kasangati-Matugga-24h'!I89)</f>
        <v>0.5</v>
      </c>
      <c r="J89" s="49">
        <f>AVERAGE('26.09 Kasangati-Matugga-24h'!J89,'28.09 Kasangati-Matugga-24h'!J89)</f>
        <v>0</v>
      </c>
      <c r="K89" s="49">
        <f>AVERAGE('26.09 Kasangati-Matugga-24h'!K89,'28.09 Kasangati-Matugga-24h'!K89)</f>
        <v>0</v>
      </c>
      <c r="L89" s="49">
        <f>AVERAGE('26.09 Kasangati-Matugga-24h'!L89,'28.09 Kasangati-Matugga-24h'!L89)</f>
        <v>0</v>
      </c>
      <c r="M89" s="49">
        <f>AVERAGE('26.09 Kasangati-Matugga-24h'!M89,'28.09 Kasangati-Matugga-24h'!M89)</f>
        <v>3.5</v>
      </c>
      <c r="N89" s="49">
        <f>AVERAGE('26.09 Kasangati-Matugga-24h'!N89,'28.09 Kasangati-Matugga-24h'!N89)</f>
        <v>0</v>
      </c>
      <c r="O89" s="116">
        <f t="shared" si="35"/>
        <v>4</v>
      </c>
      <c r="P89" s="116">
        <f t="shared" si="36"/>
        <v>7.5</v>
      </c>
      <c r="R89" s="109"/>
      <c r="S89" s="109"/>
    </row>
    <row r="90" spans="2:19" s="101" customFormat="1" ht="23.1" customHeight="1" x14ac:dyDescent="0.25">
      <c r="B90" s="124" t="s">
        <v>130</v>
      </c>
      <c r="C90" s="49">
        <f>AVERAGE('26.09 Kasangati-Matugga-24h'!C90,'28.09 Kasangati-Matugga-24h'!C90)</f>
        <v>1.5</v>
      </c>
      <c r="D90" s="49">
        <f>AVERAGE('26.09 Kasangati-Matugga-24h'!D90,'28.09 Kasangati-Matugga-24h'!D90)</f>
        <v>1</v>
      </c>
      <c r="E90" s="49">
        <f>AVERAGE('26.09 Kasangati-Matugga-24h'!E90,'28.09 Kasangati-Matugga-24h'!E90)</f>
        <v>0.5</v>
      </c>
      <c r="F90" s="49">
        <f>AVERAGE('26.09 Kasangati-Matugga-24h'!F90,'28.09 Kasangati-Matugga-24h'!F90)</f>
        <v>0</v>
      </c>
      <c r="G90" s="49">
        <f>AVERAGE('26.09 Kasangati-Matugga-24h'!G90,'28.09 Kasangati-Matugga-24h'!G90)</f>
        <v>0</v>
      </c>
      <c r="H90" s="49">
        <f>AVERAGE('26.09 Kasangati-Matugga-24h'!H90,'28.09 Kasangati-Matugga-24h'!H90)</f>
        <v>0</v>
      </c>
      <c r="I90" s="49">
        <f>AVERAGE('26.09 Kasangati-Matugga-24h'!I90,'28.09 Kasangati-Matugga-24h'!I90)</f>
        <v>0</v>
      </c>
      <c r="J90" s="49">
        <f>AVERAGE('26.09 Kasangati-Matugga-24h'!J90,'28.09 Kasangati-Matugga-24h'!J90)</f>
        <v>0</v>
      </c>
      <c r="K90" s="49">
        <f>AVERAGE('26.09 Kasangati-Matugga-24h'!K90,'28.09 Kasangati-Matugga-24h'!K90)</f>
        <v>0</v>
      </c>
      <c r="L90" s="49">
        <f>AVERAGE('26.09 Kasangati-Matugga-24h'!L90,'28.09 Kasangati-Matugga-24h'!L90)</f>
        <v>0</v>
      </c>
      <c r="M90" s="49">
        <f>AVERAGE('26.09 Kasangati-Matugga-24h'!M90,'28.09 Kasangati-Matugga-24h'!M90)</f>
        <v>4</v>
      </c>
      <c r="N90" s="49">
        <f>AVERAGE('26.09 Kasangati-Matugga-24h'!N90,'28.09 Kasangati-Matugga-24h'!N90)</f>
        <v>0</v>
      </c>
      <c r="O90" s="116">
        <f t="shared" si="35"/>
        <v>3</v>
      </c>
      <c r="P90" s="116">
        <f t="shared" si="36"/>
        <v>7</v>
      </c>
      <c r="R90" s="109"/>
      <c r="S90" s="109"/>
    </row>
    <row r="91" spans="2:19" s="101" customFormat="1" ht="23.1" customHeight="1" x14ac:dyDescent="0.25">
      <c r="B91" s="123" t="s">
        <v>131</v>
      </c>
      <c r="C91" s="49">
        <f>AVERAGE('26.09 Kasangati-Matugga-24h'!C91,'28.09 Kasangati-Matugga-24h'!C91)</f>
        <v>2</v>
      </c>
      <c r="D91" s="49">
        <f>AVERAGE('26.09 Kasangati-Matugga-24h'!D91,'28.09 Kasangati-Matugga-24h'!D91)</f>
        <v>0</v>
      </c>
      <c r="E91" s="49">
        <f>AVERAGE('26.09 Kasangati-Matugga-24h'!E91,'28.09 Kasangati-Matugga-24h'!E91)</f>
        <v>0</v>
      </c>
      <c r="F91" s="49">
        <f>AVERAGE('26.09 Kasangati-Matugga-24h'!F91,'28.09 Kasangati-Matugga-24h'!F91)</f>
        <v>0</v>
      </c>
      <c r="G91" s="49">
        <f>AVERAGE('26.09 Kasangati-Matugga-24h'!G91,'28.09 Kasangati-Matugga-24h'!G91)</f>
        <v>0</v>
      </c>
      <c r="H91" s="49">
        <f>AVERAGE('26.09 Kasangati-Matugga-24h'!H91,'28.09 Kasangati-Matugga-24h'!H91)</f>
        <v>0</v>
      </c>
      <c r="I91" s="49">
        <f>AVERAGE('26.09 Kasangati-Matugga-24h'!I91,'28.09 Kasangati-Matugga-24h'!I91)</f>
        <v>0</v>
      </c>
      <c r="J91" s="49">
        <f>AVERAGE('26.09 Kasangati-Matugga-24h'!J91,'28.09 Kasangati-Matugga-24h'!J91)</f>
        <v>0</v>
      </c>
      <c r="K91" s="49">
        <f>AVERAGE('26.09 Kasangati-Matugga-24h'!K91,'28.09 Kasangati-Matugga-24h'!K91)</f>
        <v>0</v>
      </c>
      <c r="L91" s="49">
        <f>AVERAGE('26.09 Kasangati-Matugga-24h'!L91,'28.09 Kasangati-Matugga-24h'!L91)</f>
        <v>0</v>
      </c>
      <c r="M91" s="49">
        <f>AVERAGE('26.09 Kasangati-Matugga-24h'!M91,'28.09 Kasangati-Matugga-24h'!M91)</f>
        <v>4</v>
      </c>
      <c r="N91" s="49">
        <f>AVERAGE('26.09 Kasangati-Matugga-24h'!N91,'28.09 Kasangati-Matugga-24h'!N91)</f>
        <v>0</v>
      </c>
      <c r="O91" s="116">
        <f t="shared" si="35"/>
        <v>2</v>
      </c>
      <c r="P91" s="116">
        <f t="shared" si="36"/>
        <v>6</v>
      </c>
      <c r="R91" s="109"/>
      <c r="S91" s="109"/>
    </row>
    <row r="92" spans="2:19" s="101" customFormat="1" ht="23.1" customHeight="1" x14ac:dyDescent="0.25">
      <c r="B92" s="125" t="s">
        <v>132</v>
      </c>
      <c r="C92" s="49">
        <f>AVERAGE('26.09 Kasangati-Matugga-24h'!C92,'28.09 Kasangati-Matugga-24h'!C92)</f>
        <v>1.5</v>
      </c>
      <c r="D92" s="49">
        <f>AVERAGE('26.09 Kasangati-Matugga-24h'!D92,'28.09 Kasangati-Matugga-24h'!D92)</f>
        <v>0</v>
      </c>
      <c r="E92" s="49">
        <f>AVERAGE('26.09 Kasangati-Matugga-24h'!E92,'28.09 Kasangati-Matugga-24h'!E92)</f>
        <v>0</v>
      </c>
      <c r="F92" s="49">
        <f>AVERAGE('26.09 Kasangati-Matugga-24h'!F92,'28.09 Kasangati-Matugga-24h'!F92)</f>
        <v>0</v>
      </c>
      <c r="G92" s="49">
        <f>AVERAGE('26.09 Kasangati-Matugga-24h'!G92,'28.09 Kasangati-Matugga-24h'!G92)</f>
        <v>0</v>
      </c>
      <c r="H92" s="49">
        <f>AVERAGE('26.09 Kasangati-Matugga-24h'!H92,'28.09 Kasangati-Matugga-24h'!H92)</f>
        <v>0</v>
      </c>
      <c r="I92" s="49">
        <f>AVERAGE('26.09 Kasangati-Matugga-24h'!I92,'28.09 Kasangati-Matugga-24h'!I92)</f>
        <v>0.5</v>
      </c>
      <c r="J92" s="49">
        <f>AVERAGE('26.09 Kasangati-Matugga-24h'!J92,'28.09 Kasangati-Matugga-24h'!J92)</f>
        <v>0</v>
      </c>
      <c r="K92" s="49">
        <f>AVERAGE('26.09 Kasangati-Matugga-24h'!K92,'28.09 Kasangati-Matugga-24h'!K92)</f>
        <v>0</v>
      </c>
      <c r="L92" s="49">
        <f>AVERAGE('26.09 Kasangati-Matugga-24h'!L92,'28.09 Kasangati-Matugga-24h'!L92)</f>
        <v>0</v>
      </c>
      <c r="M92" s="49">
        <f>AVERAGE('26.09 Kasangati-Matugga-24h'!M92,'28.09 Kasangati-Matugga-24h'!M92)</f>
        <v>2.5</v>
      </c>
      <c r="N92" s="49">
        <f>AVERAGE('26.09 Kasangati-Matugga-24h'!N92,'28.09 Kasangati-Matugga-24h'!N92)</f>
        <v>0</v>
      </c>
      <c r="O92" s="116">
        <f t="shared" si="35"/>
        <v>2</v>
      </c>
      <c r="P92" s="116">
        <f t="shared" si="36"/>
        <v>4.5</v>
      </c>
      <c r="R92" s="109"/>
      <c r="S92" s="109"/>
    </row>
    <row r="93" spans="2:19" s="101" customFormat="1" ht="23.1" customHeight="1" x14ac:dyDescent="0.25">
      <c r="B93" s="123" t="s">
        <v>133</v>
      </c>
      <c r="C93" s="49">
        <f>AVERAGE('26.09 Kasangati-Matugga-24h'!C93,'28.09 Kasangati-Matugga-24h'!C93)</f>
        <v>1.5</v>
      </c>
      <c r="D93" s="49">
        <f>AVERAGE('26.09 Kasangati-Matugga-24h'!D93,'28.09 Kasangati-Matugga-24h'!D93)</f>
        <v>0</v>
      </c>
      <c r="E93" s="49">
        <f>AVERAGE('26.09 Kasangati-Matugga-24h'!E93,'28.09 Kasangati-Matugga-24h'!E93)</f>
        <v>0</v>
      </c>
      <c r="F93" s="49">
        <f>AVERAGE('26.09 Kasangati-Matugga-24h'!F93,'28.09 Kasangati-Matugga-24h'!F93)</f>
        <v>0</v>
      </c>
      <c r="G93" s="49">
        <f>AVERAGE('26.09 Kasangati-Matugga-24h'!G93,'28.09 Kasangati-Matugga-24h'!G93)</f>
        <v>0</v>
      </c>
      <c r="H93" s="49">
        <f>AVERAGE('26.09 Kasangati-Matugga-24h'!H93,'28.09 Kasangati-Matugga-24h'!H93)</f>
        <v>0</v>
      </c>
      <c r="I93" s="49">
        <f>AVERAGE('26.09 Kasangati-Matugga-24h'!I93,'28.09 Kasangati-Matugga-24h'!I93)</f>
        <v>0</v>
      </c>
      <c r="J93" s="49">
        <f>AVERAGE('26.09 Kasangati-Matugga-24h'!J93,'28.09 Kasangati-Matugga-24h'!J93)</f>
        <v>0</v>
      </c>
      <c r="K93" s="49">
        <f>AVERAGE('26.09 Kasangati-Matugga-24h'!K93,'28.09 Kasangati-Matugga-24h'!K93)</f>
        <v>0</v>
      </c>
      <c r="L93" s="49">
        <f>AVERAGE('26.09 Kasangati-Matugga-24h'!L93,'28.09 Kasangati-Matugga-24h'!L93)</f>
        <v>0</v>
      </c>
      <c r="M93" s="49">
        <f>AVERAGE('26.09 Kasangati-Matugga-24h'!M93,'28.09 Kasangati-Matugga-24h'!M93)</f>
        <v>1</v>
      </c>
      <c r="N93" s="49">
        <f>AVERAGE('26.09 Kasangati-Matugga-24h'!N93,'28.09 Kasangati-Matugga-24h'!N93)</f>
        <v>0.5</v>
      </c>
      <c r="O93" s="116">
        <f t="shared" si="35"/>
        <v>2</v>
      </c>
      <c r="P93" s="116">
        <f t="shared" si="36"/>
        <v>3</v>
      </c>
      <c r="R93" s="109"/>
      <c r="S93" s="109"/>
    </row>
    <row r="94" spans="2:19" s="101" customFormat="1" ht="23.1" customHeight="1" x14ac:dyDescent="0.25">
      <c r="B94" s="124" t="s">
        <v>134</v>
      </c>
      <c r="C94" s="49">
        <f>AVERAGE('26.09 Kasangati-Matugga-24h'!C94,'28.09 Kasangati-Matugga-24h'!C94)</f>
        <v>0</v>
      </c>
      <c r="D94" s="49">
        <f>AVERAGE('26.09 Kasangati-Matugga-24h'!D94,'28.09 Kasangati-Matugga-24h'!D94)</f>
        <v>0</v>
      </c>
      <c r="E94" s="49">
        <f>AVERAGE('26.09 Kasangati-Matugga-24h'!E94,'28.09 Kasangati-Matugga-24h'!E94)</f>
        <v>0</v>
      </c>
      <c r="F94" s="49">
        <f>AVERAGE('26.09 Kasangati-Matugga-24h'!F94,'28.09 Kasangati-Matugga-24h'!F94)</f>
        <v>0.5</v>
      </c>
      <c r="G94" s="49">
        <f>AVERAGE('26.09 Kasangati-Matugga-24h'!G94,'28.09 Kasangati-Matugga-24h'!G94)</f>
        <v>0</v>
      </c>
      <c r="H94" s="49">
        <f>AVERAGE('26.09 Kasangati-Matugga-24h'!H94,'28.09 Kasangati-Matugga-24h'!H94)</f>
        <v>0</v>
      </c>
      <c r="I94" s="49">
        <f>AVERAGE('26.09 Kasangati-Matugga-24h'!I94,'28.09 Kasangati-Matugga-24h'!I94)</f>
        <v>0.5</v>
      </c>
      <c r="J94" s="49">
        <f>AVERAGE('26.09 Kasangati-Matugga-24h'!J94,'28.09 Kasangati-Matugga-24h'!J94)</f>
        <v>0</v>
      </c>
      <c r="K94" s="49">
        <f>AVERAGE('26.09 Kasangati-Matugga-24h'!K94,'28.09 Kasangati-Matugga-24h'!K94)</f>
        <v>0.5</v>
      </c>
      <c r="L94" s="49">
        <f>AVERAGE('26.09 Kasangati-Matugga-24h'!L94,'28.09 Kasangati-Matugga-24h'!L94)</f>
        <v>0</v>
      </c>
      <c r="M94" s="49">
        <f>AVERAGE('26.09 Kasangati-Matugga-24h'!M94,'28.09 Kasangati-Matugga-24h'!M94)</f>
        <v>2.5</v>
      </c>
      <c r="N94" s="49">
        <f>AVERAGE('26.09 Kasangati-Matugga-24h'!N94,'28.09 Kasangati-Matugga-24h'!N94)</f>
        <v>0</v>
      </c>
      <c r="O94" s="116">
        <f t="shared" si="35"/>
        <v>1.5</v>
      </c>
      <c r="P94" s="116">
        <f t="shared" si="36"/>
        <v>4</v>
      </c>
      <c r="R94" s="109"/>
      <c r="S94" s="109"/>
    </row>
    <row r="95" spans="2:19" s="101" customFormat="1" ht="23.1" customHeight="1" x14ac:dyDescent="0.25">
      <c r="B95" s="123" t="s">
        <v>135</v>
      </c>
      <c r="C95" s="49">
        <f>AVERAGE('26.09 Kasangati-Matugga-24h'!C95,'28.09 Kasangati-Matugga-24h'!C95)</f>
        <v>2</v>
      </c>
      <c r="D95" s="49">
        <f>AVERAGE('26.09 Kasangati-Matugga-24h'!D95,'28.09 Kasangati-Matugga-24h'!D95)</f>
        <v>0</v>
      </c>
      <c r="E95" s="49">
        <f>AVERAGE('26.09 Kasangati-Matugga-24h'!E95,'28.09 Kasangati-Matugga-24h'!E95)</f>
        <v>0.5</v>
      </c>
      <c r="F95" s="49">
        <f>AVERAGE('26.09 Kasangati-Matugga-24h'!F95,'28.09 Kasangati-Matugga-24h'!F95)</f>
        <v>0.5</v>
      </c>
      <c r="G95" s="49">
        <f>AVERAGE('26.09 Kasangati-Matugga-24h'!G95,'28.09 Kasangati-Matugga-24h'!G95)</f>
        <v>0</v>
      </c>
      <c r="H95" s="49">
        <f>AVERAGE('26.09 Kasangati-Matugga-24h'!H95,'28.09 Kasangati-Matugga-24h'!H95)</f>
        <v>0</v>
      </c>
      <c r="I95" s="49">
        <f>AVERAGE('26.09 Kasangati-Matugga-24h'!I95,'28.09 Kasangati-Matugga-24h'!I95)</f>
        <v>0</v>
      </c>
      <c r="J95" s="49">
        <f>AVERAGE('26.09 Kasangati-Matugga-24h'!J95,'28.09 Kasangati-Matugga-24h'!J95)</f>
        <v>0</v>
      </c>
      <c r="K95" s="49">
        <f>AVERAGE('26.09 Kasangati-Matugga-24h'!K95,'28.09 Kasangati-Matugga-24h'!K95)</f>
        <v>0</v>
      </c>
      <c r="L95" s="49">
        <f>AVERAGE('26.09 Kasangati-Matugga-24h'!L95,'28.09 Kasangati-Matugga-24h'!L95)</f>
        <v>0</v>
      </c>
      <c r="M95" s="49">
        <f>AVERAGE('26.09 Kasangati-Matugga-24h'!M95,'28.09 Kasangati-Matugga-24h'!M95)</f>
        <v>4</v>
      </c>
      <c r="N95" s="49">
        <f>AVERAGE('26.09 Kasangati-Matugga-24h'!N95,'28.09 Kasangati-Matugga-24h'!N95)</f>
        <v>0</v>
      </c>
      <c r="O95" s="116">
        <f t="shared" si="35"/>
        <v>3</v>
      </c>
      <c r="P95" s="116">
        <f t="shared" si="36"/>
        <v>7</v>
      </c>
      <c r="R95" s="109"/>
      <c r="S95" s="109"/>
    </row>
    <row r="96" spans="2:19" s="101" customFormat="1" ht="23.1" customHeight="1" x14ac:dyDescent="0.25">
      <c r="B96" s="125" t="s">
        <v>136</v>
      </c>
      <c r="C96" s="49">
        <f>AVERAGE('26.09 Kasangati-Matugga-24h'!C96,'28.09 Kasangati-Matugga-24h'!C96)</f>
        <v>0.5</v>
      </c>
      <c r="D96" s="49">
        <f>AVERAGE('26.09 Kasangati-Matugga-24h'!D96,'28.09 Kasangati-Matugga-24h'!D96)</f>
        <v>0</v>
      </c>
      <c r="E96" s="49">
        <f>AVERAGE('26.09 Kasangati-Matugga-24h'!E96,'28.09 Kasangati-Matugga-24h'!E96)</f>
        <v>0</v>
      </c>
      <c r="F96" s="49">
        <f>AVERAGE('26.09 Kasangati-Matugga-24h'!F96,'28.09 Kasangati-Matugga-24h'!F96)</f>
        <v>0.5</v>
      </c>
      <c r="G96" s="49">
        <f>AVERAGE('26.09 Kasangati-Matugga-24h'!G96,'28.09 Kasangati-Matugga-24h'!G96)</f>
        <v>0</v>
      </c>
      <c r="H96" s="49">
        <f>AVERAGE('26.09 Kasangati-Matugga-24h'!H96,'28.09 Kasangati-Matugga-24h'!H96)</f>
        <v>0</v>
      </c>
      <c r="I96" s="49">
        <f>AVERAGE('26.09 Kasangati-Matugga-24h'!I96,'28.09 Kasangati-Matugga-24h'!I96)</f>
        <v>0</v>
      </c>
      <c r="J96" s="49">
        <f>AVERAGE('26.09 Kasangati-Matugga-24h'!J96,'28.09 Kasangati-Matugga-24h'!J96)</f>
        <v>0</v>
      </c>
      <c r="K96" s="49">
        <f>AVERAGE('26.09 Kasangati-Matugga-24h'!K96,'28.09 Kasangati-Matugga-24h'!K96)</f>
        <v>0</v>
      </c>
      <c r="L96" s="49">
        <f>AVERAGE('26.09 Kasangati-Matugga-24h'!L96,'28.09 Kasangati-Matugga-24h'!L96)</f>
        <v>0</v>
      </c>
      <c r="M96" s="49">
        <f>AVERAGE('26.09 Kasangati-Matugga-24h'!M96,'28.09 Kasangati-Matugga-24h'!M96)</f>
        <v>3.5</v>
      </c>
      <c r="N96" s="49">
        <f>AVERAGE('26.09 Kasangati-Matugga-24h'!N96,'28.09 Kasangati-Matugga-24h'!N96)</f>
        <v>0</v>
      </c>
      <c r="O96" s="116">
        <f t="shared" si="35"/>
        <v>1</v>
      </c>
      <c r="P96" s="116">
        <f t="shared" si="36"/>
        <v>4.5</v>
      </c>
      <c r="R96" s="109"/>
      <c r="S96" s="109"/>
    </row>
    <row r="97" spans="2:20" s="101" customFormat="1" ht="23.1" customHeight="1" x14ac:dyDescent="0.25">
      <c r="B97" s="123" t="s">
        <v>137</v>
      </c>
      <c r="C97" s="49">
        <f>AVERAGE('26.09 Kasangati-Matugga-24h'!C97,'28.09 Kasangati-Matugga-24h'!C97)</f>
        <v>1.5</v>
      </c>
      <c r="D97" s="49">
        <f>AVERAGE('26.09 Kasangati-Matugga-24h'!D97,'28.09 Kasangati-Matugga-24h'!D97)</f>
        <v>0</v>
      </c>
      <c r="E97" s="49">
        <f>AVERAGE('26.09 Kasangati-Matugga-24h'!E97,'28.09 Kasangati-Matugga-24h'!E97)</f>
        <v>0.5</v>
      </c>
      <c r="F97" s="49">
        <f>AVERAGE('26.09 Kasangati-Matugga-24h'!F97,'28.09 Kasangati-Matugga-24h'!F97)</f>
        <v>0</v>
      </c>
      <c r="G97" s="49">
        <f>AVERAGE('26.09 Kasangati-Matugga-24h'!G97,'28.09 Kasangati-Matugga-24h'!G97)</f>
        <v>0</v>
      </c>
      <c r="H97" s="49">
        <f>AVERAGE('26.09 Kasangati-Matugga-24h'!H97,'28.09 Kasangati-Matugga-24h'!H97)</f>
        <v>0</v>
      </c>
      <c r="I97" s="49">
        <f>AVERAGE('26.09 Kasangati-Matugga-24h'!I97,'28.09 Kasangati-Matugga-24h'!I97)</f>
        <v>0.5</v>
      </c>
      <c r="J97" s="49">
        <f>AVERAGE('26.09 Kasangati-Matugga-24h'!J97,'28.09 Kasangati-Matugga-24h'!J97)</f>
        <v>0</v>
      </c>
      <c r="K97" s="49">
        <f>AVERAGE('26.09 Kasangati-Matugga-24h'!K97,'28.09 Kasangati-Matugga-24h'!K97)</f>
        <v>0</v>
      </c>
      <c r="L97" s="49">
        <f>AVERAGE('26.09 Kasangati-Matugga-24h'!L97,'28.09 Kasangati-Matugga-24h'!L97)</f>
        <v>0</v>
      </c>
      <c r="M97" s="49">
        <f>AVERAGE('26.09 Kasangati-Matugga-24h'!M97,'28.09 Kasangati-Matugga-24h'!M97)</f>
        <v>2</v>
      </c>
      <c r="N97" s="49">
        <f>AVERAGE('26.09 Kasangati-Matugga-24h'!N97,'28.09 Kasangati-Matugga-24h'!N97)</f>
        <v>0</v>
      </c>
      <c r="O97" s="116">
        <f t="shared" si="35"/>
        <v>2.5</v>
      </c>
      <c r="P97" s="116">
        <f t="shared" si="36"/>
        <v>4.5</v>
      </c>
      <c r="R97" s="109"/>
      <c r="S97" s="109"/>
    </row>
    <row r="98" spans="2:20" s="101" customFormat="1" ht="23.1" customHeight="1" x14ac:dyDescent="0.25">
      <c r="B98" s="124" t="s">
        <v>138</v>
      </c>
      <c r="C98" s="49">
        <f>AVERAGE('26.09 Kasangati-Matugga-24h'!C98,'28.09 Kasangati-Matugga-24h'!C98)</f>
        <v>0.5</v>
      </c>
      <c r="D98" s="49">
        <f>AVERAGE('26.09 Kasangati-Matugga-24h'!D98,'28.09 Kasangati-Matugga-24h'!D98)</f>
        <v>0</v>
      </c>
      <c r="E98" s="49">
        <f>AVERAGE('26.09 Kasangati-Matugga-24h'!E98,'28.09 Kasangati-Matugga-24h'!E98)</f>
        <v>1</v>
      </c>
      <c r="F98" s="49">
        <f>AVERAGE('26.09 Kasangati-Matugga-24h'!F98,'28.09 Kasangati-Matugga-24h'!F98)</f>
        <v>0</v>
      </c>
      <c r="G98" s="49">
        <f>AVERAGE('26.09 Kasangati-Matugga-24h'!G98,'28.09 Kasangati-Matugga-24h'!G98)</f>
        <v>0</v>
      </c>
      <c r="H98" s="49">
        <f>AVERAGE('26.09 Kasangati-Matugga-24h'!H98,'28.09 Kasangati-Matugga-24h'!H98)</f>
        <v>0</v>
      </c>
      <c r="I98" s="49">
        <f>AVERAGE('26.09 Kasangati-Matugga-24h'!I98,'28.09 Kasangati-Matugga-24h'!I98)</f>
        <v>0</v>
      </c>
      <c r="J98" s="49">
        <f>AVERAGE('26.09 Kasangati-Matugga-24h'!J98,'28.09 Kasangati-Matugga-24h'!J98)</f>
        <v>0.5</v>
      </c>
      <c r="K98" s="49">
        <f>AVERAGE('26.09 Kasangati-Matugga-24h'!K98,'28.09 Kasangati-Matugga-24h'!K98)</f>
        <v>0</v>
      </c>
      <c r="L98" s="49">
        <f>AVERAGE('26.09 Kasangati-Matugga-24h'!L98,'28.09 Kasangati-Matugga-24h'!L98)</f>
        <v>0</v>
      </c>
      <c r="M98" s="49">
        <f>AVERAGE('26.09 Kasangati-Matugga-24h'!M98,'28.09 Kasangati-Matugga-24h'!M98)</f>
        <v>3</v>
      </c>
      <c r="N98" s="49">
        <f>AVERAGE('26.09 Kasangati-Matugga-24h'!N98,'28.09 Kasangati-Matugga-24h'!N98)</f>
        <v>0</v>
      </c>
      <c r="O98" s="116">
        <f t="shared" si="35"/>
        <v>2</v>
      </c>
      <c r="P98" s="116">
        <f t="shared" si="36"/>
        <v>5</v>
      </c>
      <c r="R98" s="109"/>
      <c r="S98" s="109"/>
    </row>
    <row r="99" spans="2:20" s="101" customFormat="1" ht="23.1" customHeight="1" x14ac:dyDescent="0.25">
      <c r="B99" s="123" t="s">
        <v>139</v>
      </c>
      <c r="C99" s="49">
        <f>AVERAGE('26.09 Kasangati-Matugga-24h'!C99,'28.09 Kasangati-Matugga-24h'!C99)</f>
        <v>2</v>
      </c>
      <c r="D99" s="49">
        <f>AVERAGE('26.09 Kasangati-Matugga-24h'!D99,'28.09 Kasangati-Matugga-24h'!D99)</f>
        <v>0</v>
      </c>
      <c r="E99" s="49">
        <f>AVERAGE('26.09 Kasangati-Matugga-24h'!E99,'28.09 Kasangati-Matugga-24h'!E99)</f>
        <v>0.5</v>
      </c>
      <c r="F99" s="49">
        <f>AVERAGE('26.09 Kasangati-Matugga-24h'!F99,'28.09 Kasangati-Matugga-24h'!F99)</f>
        <v>1</v>
      </c>
      <c r="G99" s="49">
        <f>AVERAGE('26.09 Kasangati-Matugga-24h'!G99,'28.09 Kasangati-Matugga-24h'!G99)</f>
        <v>0</v>
      </c>
      <c r="H99" s="49">
        <f>AVERAGE('26.09 Kasangati-Matugga-24h'!H99,'28.09 Kasangati-Matugga-24h'!H99)</f>
        <v>0</v>
      </c>
      <c r="I99" s="49">
        <f>AVERAGE('26.09 Kasangati-Matugga-24h'!I99,'28.09 Kasangati-Matugga-24h'!I99)</f>
        <v>0</v>
      </c>
      <c r="J99" s="49">
        <f>AVERAGE('26.09 Kasangati-Matugga-24h'!J99,'28.09 Kasangati-Matugga-24h'!J99)</f>
        <v>0.5</v>
      </c>
      <c r="K99" s="49">
        <f>AVERAGE('26.09 Kasangati-Matugga-24h'!K99,'28.09 Kasangati-Matugga-24h'!K99)</f>
        <v>0</v>
      </c>
      <c r="L99" s="49">
        <f>AVERAGE('26.09 Kasangati-Matugga-24h'!L99,'28.09 Kasangati-Matugga-24h'!L99)</f>
        <v>0</v>
      </c>
      <c r="M99" s="49">
        <f>AVERAGE('26.09 Kasangati-Matugga-24h'!M99,'28.09 Kasangati-Matugga-24h'!M99)</f>
        <v>3.5</v>
      </c>
      <c r="N99" s="49">
        <f>AVERAGE('26.09 Kasangati-Matugga-24h'!N99,'28.09 Kasangati-Matugga-24h'!N99)</f>
        <v>0</v>
      </c>
      <c r="O99" s="116">
        <f t="shared" si="35"/>
        <v>4</v>
      </c>
      <c r="P99" s="116">
        <f t="shared" si="36"/>
        <v>7.5</v>
      </c>
      <c r="R99" s="109"/>
      <c r="S99" s="109"/>
    </row>
    <row r="100" spans="2:20" s="101" customFormat="1" ht="23.1" customHeight="1" x14ac:dyDescent="0.25">
      <c r="B100" s="125" t="s">
        <v>140</v>
      </c>
      <c r="C100" s="49">
        <f>AVERAGE('26.09 Kasangati-Matugga-24h'!C100,'28.09 Kasangati-Matugga-24h'!C100)</f>
        <v>3</v>
      </c>
      <c r="D100" s="49">
        <f>AVERAGE('26.09 Kasangati-Matugga-24h'!D100,'28.09 Kasangati-Matugga-24h'!D100)</f>
        <v>0.5</v>
      </c>
      <c r="E100" s="49">
        <f>AVERAGE('26.09 Kasangati-Matugga-24h'!E100,'28.09 Kasangati-Matugga-24h'!E100)</f>
        <v>0</v>
      </c>
      <c r="F100" s="49">
        <f>AVERAGE('26.09 Kasangati-Matugga-24h'!F100,'28.09 Kasangati-Matugga-24h'!F100)</f>
        <v>1.5</v>
      </c>
      <c r="G100" s="49">
        <f>AVERAGE('26.09 Kasangati-Matugga-24h'!G100,'28.09 Kasangati-Matugga-24h'!G100)</f>
        <v>0</v>
      </c>
      <c r="H100" s="49">
        <f>AVERAGE('26.09 Kasangati-Matugga-24h'!H100,'28.09 Kasangati-Matugga-24h'!H100)</f>
        <v>0</v>
      </c>
      <c r="I100" s="49">
        <f>AVERAGE('26.09 Kasangati-Matugga-24h'!I100,'28.09 Kasangati-Matugga-24h'!I100)</f>
        <v>1</v>
      </c>
      <c r="J100" s="49">
        <f>AVERAGE('26.09 Kasangati-Matugga-24h'!J100,'28.09 Kasangati-Matugga-24h'!J100)</f>
        <v>0.5</v>
      </c>
      <c r="K100" s="49">
        <f>AVERAGE('26.09 Kasangati-Matugga-24h'!K100,'28.09 Kasangati-Matugga-24h'!K100)</f>
        <v>0</v>
      </c>
      <c r="L100" s="49">
        <f>AVERAGE('26.09 Kasangati-Matugga-24h'!L100,'28.09 Kasangati-Matugga-24h'!L100)</f>
        <v>0</v>
      </c>
      <c r="M100" s="49">
        <f>AVERAGE('26.09 Kasangati-Matugga-24h'!M100,'28.09 Kasangati-Matugga-24h'!M100)</f>
        <v>7.5</v>
      </c>
      <c r="N100" s="49">
        <f>AVERAGE('26.09 Kasangati-Matugga-24h'!N100,'28.09 Kasangati-Matugga-24h'!N100)</f>
        <v>0</v>
      </c>
      <c r="O100" s="116">
        <f t="shared" si="35"/>
        <v>6.5</v>
      </c>
      <c r="P100" s="116">
        <f t="shared" si="36"/>
        <v>14</v>
      </c>
      <c r="R100" s="109"/>
      <c r="S100" s="109"/>
    </row>
    <row r="101" spans="2:20" s="101" customFormat="1" ht="23.1" customHeight="1" x14ac:dyDescent="0.25">
      <c r="B101" s="123" t="s">
        <v>141</v>
      </c>
      <c r="C101" s="49">
        <f>AVERAGE('26.09 Kasangati-Matugga-24h'!C101,'28.09 Kasangati-Matugga-24h'!C101)</f>
        <v>3</v>
      </c>
      <c r="D101" s="49">
        <f>AVERAGE('26.09 Kasangati-Matugga-24h'!D101,'28.09 Kasangati-Matugga-24h'!D101)</f>
        <v>0.5</v>
      </c>
      <c r="E101" s="49">
        <f>AVERAGE('26.09 Kasangati-Matugga-24h'!E101,'28.09 Kasangati-Matugga-24h'!E101)</f>
        <v>0</v>
      </c>
      <c r="F101" s="49">
        <f>AVERAGE('26.09 Kasangati-Matugga-24h'!F101,'28.09 Kasangati-Matugga-24h'!F101)</f>
        <v>2.5</v>
      </c>
      <c r="G101" s="49">
        <f>AVERAGE('26.09 Kasangati-Matugga-24h'!G101,'28.09 Kasangati-Matugga-24h'!G101)</f>
        <v>1</v>
      </c>
      <c r="H101" s="49">
        <f>AVERAGE('26.09 Kasangati-Matugga-24h'!H101,'28.09 Kasangati-Matugga-24h'!H101)</f>
        <v>0</v>
      </c>
      <c r="I101" s="49">
        <f>AVERAGE('26.09 Kasangati-Matugga-24h'!I101,'28.09 Kasangati-Matugga-24h'!I101)</f>
        <v>0</v>
      </c>
      <c r="J101" s="49">
        <f>AVERAGE('26.09 Kasangati-Matugga-24h'!J101,'28.09 Kasangati-Matugga-24h'!J101)</f>
        <v>0</v>
      </c>
      <c r="K101" s="49">
        <f>AVERAGE('26.09 Kasangati-Matugga-24h'!K101,'28.09 Kasangati-Matugga-24h'!K101)</f>
        <v>0</v>
      </c>
      <c r="L101" s="49">
        <f>AVERAGE('26.09 Kasangati-Matugga-24h'!L101,'28.09 Kasangati-Matugga-24h'!L101)</f>
        <v>0</v>
      </c>
      <c r="M101" s="49">
        <f>AVERAGE('26.09 Kasangati-Matugga-24h'!M101,'28.09 Kasangati-Matugga-24h'!M101)</f>
        <v>9.5</v>
      </c>
      <c r="N101" s="49">
        <f>AVERAGE('26.09 Kasangati-Matugga-24h'!N101,'28.09 Kasangati-Matugga-24h'!N101)</f>
        <v>0</v>
      </c>
      <c r="O101" s="116">
        <f t="shared" si="35"/>
        <v>7</v>
      </c>
      <c r="P101" s="116">
        <f t="shared" si="36"/>
        <v>16.5</v>
      </c>
      <c r="R101" s="109"/>
      <c r="S101" s="109"/>
    </row>
    <row r="102" spans="2:20" s="101" customFormat="1" ht="23.1" customHeight="1" x14ac:dyDescent="0.25">
      <c r="B102" s="124" t="s">
        <v>142</v>
      </c>
      <c r="C102" s="49">
        <f>AVERAGE('26.09 Kasangati-Matugga-24h'!C102,'28.09 Kasangati-Matugga-24h'!C102)</f>
        <v>2</v>
      </c>
      <c r="D102" s="49">
        <f>AVERAGE('26.09 Kasangati-Matugga-24h'!D102,'28.09 Kasangati-Matugga-24h'!D102)</f>
        <v>0</v>
      </c>
      <c r="E102" s="49">
        <f>AVERAGE('26.09 Kasangati-Matugga-24h'!E102,'28.09 Kasangati-Matugga-24h'!E102)</f>
        <v>0.5</v>
      </c>
      <c r="F102" s="49">
        <f>AVERAGE('26.09 Kasangati-Matugga-24h'!F102,'28.09 Kasangati-Matugga-24h'!F102)</f>
        <v>2</v>
      </c>
      <c r="G102" s="49">
        <f>AVERAGE('26.09 Kasangati-Matugga-24h'!G102,'28.09 Kasangati-Matugga-24h'!G102)</f>
        <v>0.5</v>
      </c>
      <c r="H102" s="49">
        <f>AVERAGE('26.09 Kasangati-Matugga-24h'!H102,'28.09 Kasangati-Matugga-24h'!H102)</f>
        <v>0</v>
      </c>
      <c r="I102" s="49">
        <f>AVERAGE('26.09 Kasangati-Matugga-24h'!I102,'28.09 Kasangati-Matugga-24h'!I102)</f>
        <v>1.5</v>
      </c>
      <c r="J102" s="49">
        <f>AVERAGE('26.09 Kasangati-Matugga-24h'!J102,'28.09 Kasangati-Matugga-24h'!J102)</f>
        <v>0</v>
      </c>
      <c r="K102" s="49">
        <f>AVERAGE('26.09 Kasangati-Matugga-24h'!K102,'28.09 Kasangati-Matugga-24h'!K102)</f>
        <v>0</v>
      </c>
      <c r="L102" s="49">
        <f>AVERAGE('26.09 Kasangati-Matugga-24h'!L102,'28.09 Kasangati-Matugga-24h'!L102)</f>
        <v>0</v>
      </c>
      <c r="M102" s="49">
        <f>AVERAGE('26.09 Kasangati-Matugga-24h'!M102,'28.09 Kasangati-Matugga-24h'!M102)</f>
        <v>10.5</v>
      </c>
      <c r="N102" s="49">
        <f>AVERAGE('26.09 Kasangati-Matugga-24h'!N102,'28.09 Kasangati-Matugga-24h'!N102)</f>
        <v>0</v>
      </c>
      <c r="O102" s="116">
        <f t="shared" si="35"/>
        <v>6.5</v>
      </c>
      <c r="P102" s="116">
        <f t="shared" si="36"/>
        <v>17</v>
      </c>
      <c r="R102" s="109"/>
      <c r="S102" s="109"/>
    </row>
    <row r="103" spans="2:20" s="101" customFormat="1" ht="23.1" customHeight="1" x14ac:dyDescent="0.25">
      <c r="B103" s="123" t="s">
        <v>143</v>
      </c>
      <c r="C103" s="49">
        <f>AVERAGE('26.09 Kasangati-Matugga-24h'!C103,'28.09 Kasangati-Matugga-24h'!C103)</f>
        <v>4.5</v>
      </c>
      <c r="D103" s="49">
        <f>AVERAGE('26.09 Kasangati-Matugga-24h'!D103,'28.09 Kasangati-Matugga-24h'!D103)</f>
        <v>0.5</v>
      </c>
      <c r="E103" s="49">
        <f>AVERAGE('26.09 Kasangati-Matugga-24h'!E103,'28.09 Kasangati-Matugga-24h'!E103)</f>
        <v>0</v>
      </c>
      <c r="F103" s="49">
        <f>AVERAGE('26.09 Kasangati-Matugga-24h'!F103,'28.09 Kasangati-Matugga-24h'!F103)</f>
        <v>2</v>
      </c>
      <c r="G103" s="49">
        <f>AVERAGE('26.09 Kasangati-Matugga-24h'!G103,'28.09 Kasangati-Matugga-24h'!G103)</f>
        <v>0</v>
      </c>
      <c r="H103" s="49">
        <f>AVERAGE('26.09 Kasangati-Matugga-24h'!H103,'28.09 Kasangati-Matugga-24h'!H103)</f>
        <v>0</v>
      </c>
      <c r="I103" s="49">
        <f>AVERAGE('26.09 Kasangati-Matugga-24h'!I103,'28.09 Kasangati-Matugga-24h'!I103)</f>
        <v>1.5</v>
      </c>
      <c r="J103" s="49">
        <f>AVERAGE('26.09 Kasangati-Matugga-24h'!J103,'28.09 Kasangati-Matugga-24h'!J103)</f>
        <v>0.5</v>
      </c>
      <c r="K103" s="49">
        <f>AVERAGE('26.09 Kasangati-Matugga-24h'!K103,'28.09 Kasangati-Matugga-24h'!K103)</f>
        <v>0</v>
      </c>
      <c r="L103" s="49">
        <f>AVERAGE('26.09 Kasangati-Matugga-24h'!L103,'28.09 Kasangati-Matugga-24h'!L103)</f>
        <v>0</v>
      </c>
      <c r="M103" s="49">
        <f>AVERAGE('26.09 Kasangati-Matugga-24h'!M103,'28.09 Kasangati-Matugga-24h'!M103)</f>
        <v>11</v>
      </c>
      <c r="N103" s="49">
        <f>AVERAGE('26.09 Kasangati-Matugga-24h'!N103,'28.09 Kasangati-Matugga-24h'!N103)</f>
        <v>0</v>
      </c>
      <c r="O103" s="116">
        <f t="shared" si="35"/>
        <v>9</v>
      </c>
      <c r="P103" s="116">
        <f t="shared" si="36"/>
        <v>20</v>
      </c>
      <c r="R103" s="109"/>
      <c r="S103" s="109"/>
    </row>
    <row r="104" spans="2:20" s="101" customFormat="1" ht="23.1" customHeight="1" x14ac:dyDescent="0.25">
      <c r="B104" s="125" t="s">
        <v>144</v>
      </c>
      <c r="C104" s="49">
        <f>AVERAGE('26.09 Kasangati-Matugga-24h'!C104,'28.09 Kasangati-Matugga-24h'!C104)</f>
        <v>2</v>
      </c>
      <c r="D104" s="49">
        <f>AVERAGE('26.09 Kasangati-Matugga-24h'!D104,'28.09 Kasangati-Matugga-24h'!D104)</f>
        <v>0</v>
      </c>
      <c r="E104" s="49">
        <f>AVERAGE('26.09 Kasangati-Matugga-24h'!E104,'28.09 Kasangati-Matugga-24h'!E104)</f>
        <v>0.5</v>
      </c>
      <c r="F104" s="49">
        <f>AVERAGE('26.09 Kasangati-Matugga-24h'!F104,'28.09 Kasangati-Matugga-24h'!F104)</f>
        <v>1.5</v>
      </c>
      <c r="G104" s="49">
        <f>AVERAGE('26.09 Kasangati-Matugga-24h'!G104,'28.09 Kasangati-Matugga-24h'!G104)</f>
        <v>0</v>
      </c>
      <c r="H104" s="49">
        <f>AVERAGE('26.09 Kasangati-Matugga-24h'!H104,'28.09 Kasangati-Matugga-24h'!H104)</f>
        <v>0</v>
      </c>
      <c r="I104" s="49">
        <f>AVERAGE('26.09 Kasangati-Matugga-24h'!I104,'28.09 Kasangati-Matugga-24h'!I104)</f>
        <v>2</v>
      </c>
      <c r="J104" s="49">
        <f>AVERAGE('26.09 Kasangati-Matugga-24h'!J104,'28.09 Kasangati-Matugga-24h'!J104)</f>
        <v>0</v>
      </c>
      <c r="K104" s="49">
        <f>AVERAGE('26.09 Kasangati-Matugga-24h'!K104,'28.09 Kasangati-Matugga-24h'!K104)</f>
        <v>0</v>
      </c>
      <c r="L104" s="49">
        <f>AVERAGE('26.09 Kasangati-Matugga-24h'!L104,'28.09 Kasangati-Matugga-24h'!L104)</f>
        <v>0.5</v>
      </c>
      <c r="M104" s="49">
        <f>AVERAGE('26.09 Kasangati-Matugga-24h'!M104,'28.09 Kasangati-Matugga-24h'!M104)</f>
        <v>20.5</v>
      </c>
      <c r="N104" s="49">
        <f>AVERAGE('26.09 Kasangati-Matugga-24h'!N104,'28.09 Kasangati-Matugga-24h'!N104)</f>
        <v>0</v>
      </c>
      <c r="O104" s="116">
        <f t="shared" si="35"/>
        <v>6.5</v>
      </c>
      <c r="P104" s="116">
        <f t="shared" si="36"/>
        <v>27</v>
      </c>
      <c r="R104" s="109"/>
      <c r="S104" s="109"/>
    </row>
    <row r="105" spans="2:20" s="101" customFormat="1" ht="23.1" customHeight="1" x14ac:dyDescent="0.25">
      <c r="B105" s="123" t="s">
        <v>145</v>
      </c>
      <c r="C105" s="49">
        <f>AVERAGE('26.09 Kasangati-Matugga-24h'!C105,'28.09 Kasangati-Matugga-24h'!C105)</f>
        <v>9</v>
      </c>
      <c r="D105" s="49">
        <f>AVERAGE('26.09 Kasangati-Matugga-24h'!D105,'28.09 Kasangati-Matugga-24h'!D105)</f>
        <v>0.5</v>
      </c>
      <c r="E105" s="49">
        <f>AVERAGE('26.09 Kasangati-Matugga-24h'!E105,'28.09 Kasangati-Matugga-24h'!E105)</f>
        <v>0</v>
      </c>
      <c r="F105" s="49">
        <f>AVERAGE('26.09 Kasangati-Matugga-24h'!F105,'28.09 Kasangati-Matugga-24h'!F105)</f>
        <v>2</v>
      </c>
      <c r="G105" s="49">
        <f>AVERAGE('26.09 Kasangati-Matugga-24h'!G105,'28.09 Kasangati-Matugga-24h'!G105)</f>
        <v>0</v>
      </c>
      <c r="H105" s="49">
        <f>AVERAGE('26.09 Kasangati-Matugga-24h'!H105,'28.09 Kasangati-Matugga-24h'!H105)</f>
        <v>0</v>
      </c>
      <c r="I105" s="49">
        <f>AVERAGE('26.09 Kasangati-Matugga-24h'!I105,'28.09 Kasangati-Matugga-24h'!I105)</f>
        <v>2</v>
      </c>
      <c r="J105" s="49">
        <f>AVERAGE('26.09 Kasangati-Matugga-24h'!J105,'28.09 Kasangati-Matugga-24h'!J105)</f>
        <v>0</v>
      </c>
      <c r="K105" s="49">
        <f>AVERAGE('26.09 Kasangati-Matugga-24h'!K105,'28.09 Kasangati-Matugga-24h'!K105)</f>
        <v>0.5</v>
      </c>
      <c r="L105" s="49">
        <f>AVERAGE('26.09 Kasangati-Matugga-24h'!L105,'28.09 Kasangati-Matugga-24h'!L105)</f>
        <v>0</v>
      </c>
      <c r="M105" s="49">
        <f>AVERAGE('26.09 Kasangati-Matugga-24h'!M105,'28.09 Kasangati-Matugga-24h'!M105)</f>
        <v>28</v>
      </c>
      <c r="N105" s="49">
        <f>AVERAGE('26.09 Kasangati-Matugga-24h'!N105,'28.09 Kasangati-Matugga-24h'!N105)</f>
        <v>0</v>
      </c>
      <c r="O105" s="116">
        <f t="shared" si="35"/>
        <v>14</v>
      </c>
      <c r="P105" s="116">
        <f t="shared" si="36"/>
        <v>42</v>
      </c>
      <c r="R105" s="109"/>
      <c r="S105" s="109"/>
    </row>
    <row r="106" spans="2:20" ht="23.1" customHeight="1" x14ac:dyDescent="0.25">
      <c r="B106" s="126" t="s">
        <v>18</v>
      </c>
      <c r="C106" s="117">
        <f>SUM(C10:C105)</f>
        <v>939.07142857142856</v>
      </c>
      <c r="D106" s="117">
        <f t="shared" ref="D106:P106" si="37">SUM(D10:D105)</f>
        <v>265.92857142857133</v>
      </c>
      <c r="E106" s="117">
        <f t="shared" si="37"/>
        <v>168.92857142857142</v>
      </c>
      <c r="F106" s="117">
        <f t="shared" si="37"/>
        <v>213.71428571428572</v>
      </c>
      <c r="G106" s="117">
        <f t="shared" si="37"/>
        <v>8.3571428571428577</v>
      </c>
      <c r="H106" s="117">
        <f t="shared" si="37"/>
        <v>2.0714285714285712</v>
      </c>
      <c r="I106" s="117">
        <f t="shared" si="37"/>
        <v>154.14285714285717</v>
      </c>
      <c r="J106" s="117">
        <f t="shared" si="37"/>
        <v>43.14285714285716</v>
      </c>
      <c r="K106" s="117">
        <f t="shared" si="37"/>
        <v>10.428571428571429</v>
      </c>
      <c r="L106" s="117">
        <f t="shared" si="37"/>
        <v>5.928571428571427</v>
      </c>
      <c r="M106" s="117">
        <f t="shared" si="37"/>
        <v>2961.2142857142862</v>
      </c>
      <c r="N106" s="117">
        <f t="shared" si="37"/>
        <v>9.2857142857142847</v>
      </c>
      <c r="O106" s="117">
        <f t="shared" si="37"/>
        <v>1820.9999999999998</v>
      </c>
      <c r="P106" s="117">
        <f t="shared" si="37"/>
        <v>4782.2142857142862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0.19636749264387385</v>
      </c>
      <c r="D107" s="43">
        <f t="shared" si="38"/>
        <v>5.560783259398662E-2</v>
      </c>
      <c r="E107" s="43">
        <f t="shared" si="38"/>
        <v>3.5324341682723179E-2</v>
      </c>
      <c r="F107" s="43">
        <f t="shared" si="38"/>
        <v>4.468939971023584E-2</v>
      </c>
      <c r="G107" s="43">
        <f t="shared" si="38"/>
        <v>1.7475467132679122E-3</v>
      </c>
      <c r="H107" s="43">
        <f t="shared" si="38"/>
        <v>4.3315260414332859E-4</v>
      </c>
      <c r="I107" s="43">
        <f t="shared" si="38"/>
        <v>3.2232528266941493E-2</v>
      </c>
      <c r="J107" s="43">
        <f t="shared" si="38"/>
        <v>9.0215232035369183E-3</v>
      </c>
      <c r="K107" s="43">
        <f t="shared" si="38"/>
        <v>2.1806993174112409E-3</v>
      </c>
      <c r="L107" s="43">
        <f t="shared" si="38"/>
        <v>1.2397126256515954E-3</v>
      </c>
      <c r="M107" s="43">
        <f t="shared" si="38"/>
        <v>0.61921405206793034</v>
      </c>
      <c r="N107" s="43">
        <f t="shared" si="38"/>
        <v>1.94171857029768E-3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0.5156899662665726</v>
      </c>
      <c r="D108" s="44">
        <f t="shared" ref="D108:N108" si="39">D106/$O$106</f>
        <v>0.14603436102612377</v>
      </c>
      <c r="E108" s="44">
        <f t="shared" si="39"/>
        <v>9.2766925551110074E-2</v>
      </c>
      <c r="F108" s="44">
        <f t="shared" si="39"/>
        <v>0.11736094767396252</v>
      </c>
      <c r="G108" s="44">
        <f t="shared" si="39"/>
        <v>4.5893151329724647E-3</v>
      </c>
      <c r="H108" s="44">
        <f t="shared" si="39"/>
        <v>1.1375225543265083E-3</v>
      </c>
      <c r="I108" s="44">
        <f t="shared" si="39"/>
        <v>8.4647368008158808E-2</v>
      </c>
      <c r="J108" s="44">
        <f t="shared" si="39"/>
        <v>2.3691849062524528E-2</v>
      </c>
      <c r="K108" s="44">
        <f t="shared" si="39"/>
        <v>5.7268376872989732E-3</v>
      </c>
      <c r="L108" s="44">
        <f t="shared" si="39"/>
        <v>3.2556680003137991E-3</v>
      </c>
      <c r="M108" s="44"/>
      <c r="N108" s="44">
        <f t="shared" si="39"/>
        <v>5.0992390366360711E-3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M54" zoomScale="60" workbookViewId="0">
      <selection activeCell="X80" sqref="X8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'29.09 Matugga-Kasangati'!C3:G3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157" t="s">
        <v>163</v>
      </c>
      <c r="E5" s="158"/>
      <c r="F5" s="41" t="s">
        <v>1</v>
      </c>
      <c r="G5" s="150" t="str">
        <f>'29.09 Matugga-Kasangati'!G5:H5</f>
        <v>Kiiza-besigye road</v>
      </c>
      <c r="H5" s="151"/>
      <c r="I5" s="14"/>
      <c r="J5" s="2" t="s">
        <v>5</v>
      </c>
      <c r="K5" s="150" t="str">
        <f>'29.09 Matugga-Kasangati'!K5:L5</f>
        <v>Nakiwugwe. Allen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0" t="str">
        <f>'29.09 Matugga-Kasangati'!D6:E6</f>
        <v>Matuga</v>
      </c>
      <c r="E6" s="151"/>
      <c r="F6" s="2" t="s">
        <v>2</v>
      </c>
      <c r="G6" s="150" t="str">
        <f>'29.09 Matugga-Kasangati'!G6:H6</f>
        <v>Kasangati</v>
      </c>
      <c r="H6" s="151"/>
      <c r="J6" s="2" t="s">
        <v>21</v>
      </c>
      <c r="K6" s="150" t="str">
        <f>'29.09 Matugga-Kasangati'!K6:L6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AVERAGE('23.09- Matuga -Kasangati'!C10,'24.09 Matugga-Kasangati'!C10,'25.09 Matugga-Kasangati'!C10,'27.09 Kasangati-Matugga'!C10,'26.09 Matugga-Kasangati-24h'!C10,'28.09 Matugga-Kasangati-24h'!C10,'29.09 Matugga-Kasangati'!C10)</f>
        <v>21.857142857142858</v>
      </c>
      <c r="D10" s="49">
        <f>AVERAGE('23.09- Matuga -Kasangati'!D10,'24.09 Matugga-Kasangati'!D10,'25.09 Matugga-Kasangati'!D10,'27.09 Kasangati-Matugga'!D10,'26.09 Matugga-Kasangati-24h'!D10,'28.09 Matugga-Kasangati-24h'!D10,'29.09 Matugga-Kasangati'!D10)</f>
        <v>3.1428571428571428</v>
      </c>
      <c r="E10" s="49">
        <f>AVERAGE('23.09- Matuga -Kasangati'!E10,'24.09 Matugga-Kasangati'!E10,'25.09 Matugga-Kasangati'!E10,'27.09 Kasangati-Matugga'!E10,'26.09 Matugga-Kasangati-24h'!E10,'28.09 Matugga-Kasangati-24h'!E10,'29.09 Matugga-Kasangati'!E10)</f>
        <v>2</v>
      </c>
      <c r="F10" s="49">
        <f>AVERAGE('23.09- Matuga -Kasangati'!F10,'24.09 Matugga-Kasangati'!F10,'25.09 Matugga-Kasangati'!F10,'27.09 Kasangati-Matugga'!F10,'26.09 Matugga-Kasangati-24h'!F10,'28.09 Matugga-Kasangati-24h'!F10,'29.09 Matugga-Kasangati'!F10)</f>
        <v>3.7142857142857144</v>
      </c>
      <c r="G10" s="49">
        <f>AVERAGE('23.09- Matuga -Kasangati'!G10,'24.09 Matugga-Kasangati'!G10,'25.09 Matugga-Kasangati'!G10,'27.09 Kasangati-Matugga'!G10,'26.09 Matugga-Kasangati-24h'!G10,'28.09 Matugga-Kasangati-24h'!G10,'29.09 Matugga-Kasangati'!G10)</f>
        <v>1</v>
      </c>
      <c r="H10" s="49">
        <f>AVERAGE('23.09- Matuga -Kasangati'!H10,'24.09 Matugga-Kasangati'!H10,'25.09 Matugga-Kasangati'!H10,'27.09 Kasangati-Matugga'!H10,'26.09 Matugga-Kasangati-24h'!H10,'28.09 Matugga-Kasangati-24h'!H10,'29.09 Matugga-Kasangati'!H10)</f>
        <v>0</v>
      </c>
      <c r="I10" s="49">
        <f>AVERAGE('23.09- Matuga -Kasangati'!I10,'24.09 Matugga-Kasangati'!I10,'25.09 Matugga-Kasangati'!I10,'27.09 Kasangati-Matugga'!I10,'26.09 Matugga-Kasangati-24h'!I10,'28.09 Matugga-Kasangati-24h'!I10,'29.09 Matugga-Kasangati'!I10)</f>
        <v>1.8571428571428572</v>
      </c>
      <c r="J10" s="49">
        <f>AVERAGE('23.09- Matuga -Kasangati'!J10,'24.09 Matugga-Kasangati'!J10,'25.09 Matugga-Kasangati'!J10,'27.09 Kasangati-Matugga'!J10,'26.09 Matugga-Kasangati-24h'!J10,'28.09 Matugga-Kasangati-24h'!J10,'29.09 Matugga-Kasangati'!J10)</f>
        <v>0.2857142857142857</v>
      </c>
      <c r="K10" s="49">
        <f>AVERAGE('23.09- Matuga -Kasangati'!K10,'24.09 Matugga-Kasangati'!K10,'25.09 Matugga-Kasangati'!K10,'27.09 Kasangati-Matugga'!K10,'26.09 Matugga-Kasangati-24h'!K10,'28.09 Matugga-Kasangati-24h'!K10,'29.09 Matugga-Kasangati'!K10)</f>
        <v>0</v>
      </c>
      <c r="L10" s="49">
        <f>AVERAGE('23.09- Matuga -Kasangati'!L10,'24.09 Matugga-Kasangati'!L10,'25.09 Matugga-Kasangati'!L10,'27.09 Kasangati-Matugga'!L10,'26.09 Matugga-Kasangati-24h'!L10,'28.09 Matugga-Kasangati-24h'!L10,'29.09 Matugga-Kasangati'!L10)</f>
        <v>0</v>
      </c>
      <c r="M10" s="49">
        <f>AVERAGE('23.09- Matuga -Kasangati'!M10,'24.09 Matugga-Kasangati'!M10,'25.09 Matugga-Kasangati'!M10,'27.09 Kasangati-Matugga'!M10,'26.09 Matugga-Kasangati-24h'!M10,'28.09 Matugga-Kasangati-24h'!M10,'29.09 Matugga-Kasangati'!M10)</f>
        <v>51.142857142857146</v>
      </c>
      <c r="N10" s="49">
        <f>AVERAGE('23.09- Matuga -Kasangati'!N10,'24.09 Matugga-Kasangati'!N10,'25.09 Matugga-Kasangati'!N10,'27.09 Kasangati-Matugga'!N10,'26.09 Matugga-Kasangati-24h'!N10,'28.09 Matugga-Kasangati-24h'!N10,'29.09 Matugga-Kasangati'!N10)</f>
        <v>0</v>
      </c>
      <c r="O10" s="15">
        <f t="shared" ref="O10:O58" si="0">SUM(C10:L10,N10)</f>
        <v>33.857142857142854</v>
      </c>
      <c r="P10" s="15">
        <f t="shared" ref="P10:P58" si="1">SUM(C10:N10)</f>
        <v>85</v>
      </c>
      <c r="R10" s="1" t="s">
        <v>6</v>
      </c>
      <c r="S10" s="17">
        <f t="shared" ref="S10:AF10" si="2">SUM(C10:C13)</f>
        <v>69.714285714285708</v>
      </c>
      <c r="T10" s="17">
        <f t="shared" si="2"/>
        <v>9.2857142857142847</v>
      </c>
      <c r="U10" s="17">
        <f t="shared" si="2"/>
        <v>8.1428571428571423</v>
      </c>
      <c r="V10" s="17">
        <f t="shared" si="2"/>
        <v>13</v>
      </c>
      <c r="W10" s="17">
        <f t="shared" si="2"/>
        <v>1.7142857142857142</v>
      </c>
      <c r="X10" s="17">
        <f t="shared" si="2"/>
        <v>0</v>
      </c>
      <c r="Y10" s="17">
        <f t="shared" si="2"/>
        <v>5.4285714285714288</v>
      </c>
      <c r="Z10" s="17">
        <f t="shared" si="2"/>
        <v>1.1428571428571428</v>
      </c>
      <c r="AA10" s="17">
        <f t="shared" si="2"/>
        <v>0.14285714285714285</v>
      </c>
      <c r="AB10" s="17">
        <f t="shared" si="2"/>
        <v>0.14285714285714285</v>
      </c>
      <c r="AC10" s="17">
        <f t="shared" si="2"/>
        <v>183.28571428571428</v>
      </c>
      <c r="AD10" s="17">
        <f t="shared" si="2"/>
        <v>0</v>
      </c>
      <c r="AE10" s="31">
        <f t="shared" si="2"/>
        <v>108.71428571428571</v>
      </c>
      <c r="AF10" s="31">
        <f t="shared" si="2"/>
        <v>292</v>
      </c>
    </row>
    <row r="11" spans="2:32" s="6" customFormat="1" ht="23.1" customHeight="1" x14ac:dyDescent="0.25">
      <c r="B11" s="23" t="s">
        <v>38</v>
      </c>
      <c r="C11" s="49">
        <f>AVERAGE('23.09- Matuga -Kasangati'!C11,'24.09 Matugga-Kasangati'!C11,'25.09 Matugga-Kasangati'!C11,'27.09 Kasangati-Matugga'!C11,'26.09 Matugga-Kasangati-24h'!C11,'28.09 Matugga-Kasangati-24h'!C11,'29.09 Matugga-Kasangati'!C11)</f>
        <v>17.142857142857142</v>
      </c>
      <c r="D11" s="49">
        <f>AVERAGE('23.09- Matuga -Kasangati'!D11,'24.09 Matugga-Kasangati'!D11,'25.09 Matugga-Kasangati'!D11,'27.09 Kasangati-Matugga'!D11,'26.09 Matugga-Kasangati-24h'!D11,'28.09 Matugga-Kasangati-24h'!D11,'29.09 Matugga-Kasangati'!D11)</f>
        <v>1.7142857142857142</v>
      </c>
      <c r="E11" s="49">
        <f>AVERAGE('23.09- Matuga -Kasangati'!E11,'24.09 Matugga-Kasangati'!E11,'25.09 Matugga-Kasangati'!E11,'27.09 Kasangati-Matugga'!E11,'26.09 Matugga-Kasangati-24h'!E11,'28.09 Matugga-Kasangati-24h'!E11,'29.09 Matugga-Kasangati'!E11)</f>
        <v>1.8571428571428572</v>
      </c>
      <c r="F11" s="49">
        <f>AVERAGE('23.09- Matuga -Kasangati'!F11,'24.09 Matugga-Kasangati'!F11,'25.09 Matugga-Kasangati'!F11,'27.09 Kasangati-Matugga'!F11,'26.09 Matugga-Kasangati-24h'!F11,'28.09 Matugga-Kasangati-24h'!F11,'29.09 Matugga-Kasangati'!F11)</f>
        <v>3</v>
      </c>
      <c r="G11" s="49">
        <f>AVERAGE('23.09- Matuga -Kasangati'!G11,'24.09 Matugga-Kasangati'!G11,'25.09 Matugga-Kasangati'!G11,'27.09 Kasangati-Matugga'!G11,'26.09 Matugga-Kasangati-24h'!G11,'28.09 Matugga-Kasangati-24h'!G11,'29.09 Matugga-Kasangati'!G11)</f>
        <v>0.5714285714285714</v>
      </c>
      <c r="H11" s="49">
        <f>AVERAGE('23.09- Matuga -Kasangati'!H11,'24.09 Matugga-Kasangati'!H11,'25.09 Matugga-Kasangati'!H11,'27.09 Kasangati-Matugga'!H11,'26.09 Matugga-Kasangati-24h'!H11,'28.09 Matugga-Kasangati-24h'!H11,'29.09 Matugga-Kasangati'!H11)</f>
        <v>0</v>
      </c>
      <c r="I11" s="49">
        <f>AVERAGE('23.09- Matuga -Kasangati'!I11,'24.09 Matugga-Kasangati'!I11,'25.09 Matugga-Kasangati'!I11,'27.09 Kasangati-Matugga'!I11,'26.09 Matugga-Kasangati-24h'!I11,'28.09 Matugga-Kasangati-24h'!I11,'29.09 Matugga-Kasangati'!I11)</f>
        <v>0.8571428571428571</v>
      </c>
      <c r="J11" s="49">
        <f>AVERAGE('23.09- Matuga -Kasangati'!J11,'24.09 Matugga-Kasangati'!J11,'25.09 Matugga-Kasangati'!J11,'27.09 Kasangati-Matugga'!J11,'26.09 Matugga-Kasangati-24h'!J11,'28.09 Matugga-Kasangati-24h'!J11,'29.09 Matugga-Kasangati'!J11)</f>
        <v>0.5714285714285714</v>
      </c>
      <c r="K11" s="49">
        <f>AVERAGE('23.09- Matuga -Kasangati'!K11,'24.09 Matugga-Kasangati'!K11,'25.09 Matugga-Kasangati'!K11,'27.09 Kasangati-Matugga'!K11,'26.09 Matugga-Kasangati-24h'!K11,'28.09 Matugga-Kasangati-24h'!K11,'29.09 Matugga-Kasangati'!K11)</f>
        <v>0</v>
      </c>
      <c r="L11" s="49">
        <f>AVERAGE('23.09- Matuga -Kasangati'!L11,'24.09 Matugga-Kasangati'!L11,'25.09 Matugga-Kasangati'!L11,'27.09 Kasangati-Matugga'!L11,'26.09 Matugga-Kasangati-24h'!L11,'28.09 Matugga-Kasangati-24h'!L11,'29.09 Matugga-Kasangati'!L11)</f>
        <v>0</v>
      </c>
      <c r="M11" s="49">
        <f>AVERAGE('23.09- Matuga -Kasangati'!M11,'24.09 Matugga-Kasangati'!M11,'25.09 Matugga-Kasangati'!M11,'27.09 Kasangati-Matugga'!M11,'26.09 Matugga-Kasangati-24h'!M11,'28.09 Matugga-Kasangati-24h'!M11,'29.09 Matugga-Kasangati'!M11)</f>
        <v>39.571428571428569</v>
      </c>
      <c r="N11" s="49">
        <f>AVERAGE('23.09- Matuga -Kasangati'!N11,'24.09 Matugga-Kasangati'!N11,'25.09 Matugga-Kasangati'!N11,'27.09 Kasangati-Matugga'!N11,'26.09 Matugga-Kasangati-24h'!N11,'28.09 Matugga-Kasangati-24h'!N11,'29.09 Matugga-Kasangati'!N11)</f>
        <v>0</v>
      </c>
      <c r="O11" s="15">
        <f t="shared" si="0"/>
        <v>25.714285714285719</v>
      </c>
      <c r="P11" s="15">
        <f t="shared" si="1"/>
        <v>65.285714285714292</v>
      </c>
      <c r="R11" s="1" t="s">
        <v>7</v>
      </c>
      <c r="S11" s="17">
        <f t="shared" ref="S11:AF11" si="3">SUM(C14:C17)</f>
        <v>48.714285714285715</v>
      </c>
      <c r="T11" s="17">
        <f t="shared" si="3"/>
        <v>8.2857142857142847</v>
      </c>
      <c r="U11" s="17">
        <f t="shared" si="3"/>
        <v>7.8571428571428568</v>
      </c>
      <c r="V11" s="17">
        <f t="shared" si="3"/>
        <v>10.285714285714285</v>
      </c>
      <c r="W11" s="17">
        <f t="shared" si="3"/>
        <v>0.99999999999999989</v>
      </c>
      <c r="X11" s="17">
        <f t="shared" si="3"/>
        <v>0</v>
      </c>
      <c r="Y11" s="17">
        <f t="shared" si="3"/>
        <v>8.1428571428571423</v>
      </c>
      <c r="Z11" s="17">
        <f t="shared" si="3"/>
        <v>0.99999999999999989</v>
      </c>
      <c r="AA11" s="17">
        <f t="shared" si="3"/>
        <v>1</v>
      </c>
      <c r="AB11" s="17">
        <f t="shared" si="3"/>
        <v>0.14285714285714285</v>
      </c>
      <c r="AC11" s="17">
        <f t="shared" si="3"/>
        <v>196.42857142857142</v>
      </c>
      <c r="AD11" s="17">
        <f t="shared" si="3"/>
        <v>0</v>
      </c>
      <c r="AE11" s="31">
        <f t="shared" si="3"/>
        <v>86.428571428571416</v>
      </c>
      <c r="AF11" s="31">
        <f t="shared" si="3"/>
        <v>282.85714285714283</v>
      </c>
    </row>
    <row r="12" spans="2:32" ht="23.1" customHeight="1" x14ac:dyDescent="0.25">
      <c r="B12" s="23" t="s">
        <v>39</v>
      </c>
      <c r="C12" s="49">
        <f>AVERAGE('23.09- Matuga -Kasangati'!C12,'24.09 Matugga-Kasangati'!C12,'25.09 Matugga-Kasangati'!C12,'27.09 Kasangati-Matugga'!C12,'26.09 Matugga-Kasangati-24h'!C12,'28.09 Matugga-Kasangati-24h'!C12,'29.09 Matugga-Kasangati'!C12)</f>
        <v>19.142857142857142</v>
      </c>
      <c r="D12" s="49">
        <f>AVERAGE('23.09- Matuga -Kasangati'!D12,'24.09 Matugga-Kasangati'!D12,'25.09 Matugga-Kasangati'!D12,'27.09 Kasangati-Matugga'!D12,'26.09 Matugga-Kasangati-24h'!D12,'28.09 Matugga-Kasangati-24h'!D12,'29.09 Matugga-Kasangati'!D12)</f>
        <v>2.4285714285714284</v>
      </c>
      <c r="E12" s="49">
        <f>AVERAGE('23.09- Matuga -Kasangati'!E12,'24.09 Matugga-Kasangati'!E12,'25.09 Matugga-Kasangati'!E12,'27.09 Kasangati-Matugga'!E12,'26.09 Matugga-Kasangati-24h'!E12,'28.09 Matugga-Kasangati-24h'!E12,'29.09 Matugga-Kasangati'!E12)</f>
        <v>1.8571428571428572</v>
      </c>
      <c r="F12" s="49">
        <f>AVERAGE('23.09- Matuga -Kasangati'!F12,'24.09 Matugga-Kasangati'!F12,'25.09 Matugga-Kasangati'!F12,'27.09 Kasangati-Matugga'!F12,'26.09 Matugga-Kasangati-24h'!F12,'28.09 Matugga-Kasangati-24h'!F12,'29.09 Matugga-Kasangati'!F12)</f>
        <v>3.5714285714285716</v>
      </c>
      <c r="G12" s="49">
        <f>AVERAGE('23.09- Matuga -Kasangati'!G12,'24.09 Matugga-Kasangati'!G12,'25.09 Matugga-Kasangati'!G12,'27.09 Kasangati-Matugga'!G12,'26.09 Matugga-Kasangati-24h'!G12,'28.09 Matugga-Kasangati-24h'!G12,'29.09 Matugga-Kasangati'!G12)</f>
        <v>0.14285714285714285</v>
      </c>
      <c r="H12" s="49">
        <f>AVERAGE('23.09- Matuga -Kasangati'!H12,'24.09 Matugga-Kasangati'!H12,'25.09 Matugga-Kasangati'!H12,'27.09 Kasangati-Matugga'!H12,'26.09 Matugga-Kasangati-24h'!H12,'28.09 Matugga-Kasangati-24h'!H12,'29.09 Matugga-Kasangati'!H12)</f>
        <v>0</v>
      </c>
      <c r="I12" s="49">
        <f>AVERAGE('23.09- Matuga -Kasangati'!I12,'24.09 Matugga-Kasangati'!I12,'25.09 Matugga-Kasangati'!I12,'27.09 Kasangati-Matugga'!I12,'26.09 Matugga-Kasangati-24h'!I12,'28.09 Matugga-Kasangati-24h'!I12,'29.09 Matugga-Kasangati'!I12)</f>
        <v>1.2857142857142858</v>
      </c>
      <c r="J12" s="49">
        <f>AVERAGE('23.09- Matuga -Kasangati'!J12,'24.09 Matugga-Kasangati'!J12,'25.09 Matugga-Kasangati'!J12,'27.09 Kasangati-Matugga'!J12,'26.09 Matugga-Kasangati-24h'!J12,'28.09 Matugga-Kasangati-24h'!J12,'29.09 Matugga-Kasangati'!J12)</f>
        <v>0.14285714285714285</v>
      </c>
      <c r="K12" s="49">
        <f>AVERAGE('23.09- Matuga -Kasangati'!K12,'24.09 Matugga-Kasangati'!K12,'25.09 Matugga-Kasangati'!K12,'27.09 Kasangati-Matugga'!K12,'26.09 Matugga-Kasangati-24h'!K12,'28.09 Matugga-Kasangati-24h'!K12,'29.09 Matugga-Kasangati'!K12)</f>
        <v>0.14285714285714285</v>
      </c>
      <c r="L12" s="49">
        <f>AVERAGE('23.09- Matuga -Kasangati'!L12,'24.09 Matugga-Kasangati'!L12,'25.09 Matugga-Kasangati'!L12,'27.09 Kasangati-Matugga'!L12,'26.09 Matugga-Kasangati-24h'!L12,'28.09 Matugga-Kasangati-24h'!L12,'29.09 Matugga-Kasangati'!L12)</f>
        <v>0</v>
      </c>
      <c r="M12" s="49">
        <f>AVERAGE('23.09- Matuga -Kasangati'!M12,'24.09 Matugga-Kasangati'!M12,'25.09 Matugga-Kasangati'!M12,'27.09 Kasangati-Matugga'!M12,'26.09 Matugga-Kasangati-24h'!M12,'28.09 Matugga-Kasangati-24h'!M12,'29.09 Matugga-Kasangati'!M12)</f>
        <v>44.571428571428569</v>
      </c>
      <c r="N12" s="49">
        <f>AVERAGE('23.09- Matuga -Kasangati'!N12,'24.09 Matugga-Kasangati'!N12,'25.09 Matugga-Kasangati'!N12,'27.09 Kasangati-Matugga'!N12,'26.09 Matugga-Kasangati-24h'!N12,'28.09 Matugga-Kasangati-24h'!N12,'29.09 Matugga-Kasangati'!N12)</f>
        <v>0</v>
      </c>
      <c r="O12" s="15">
        <f t="shared" si="0"/>
        <v>28.714285714285712</v>
      </c>
      <c r="P12" s="15">
        <f t="shared" si="1"/>
        <v>73.285714285714278</v>
      </c>
      <c r="R12" s="1" t="s">
        <v>8</v>
      </c>
      <c r="S12" s="17">
        <f t="shared" ref="S12:AF12" si="4">SUM(C18:C21)</f>
        <v>46.142857142857139</v>
      </c>
      <c r="T12" s="17">
        <f t="shared" si="4"/>
        <v>12.285714285714285</v>
      </c>
      <c r="U12" s="17">
        <f t="shared" si="4"/>
        <v>7.2857142857142856</v>
      </c>
      <c r="V12" s="17">
        <f t="shared" si="4"/>
        <v>10.714285714285714</v>
      </c>
      <c r="W12" s="17">
        <f t="shared" si="4"/>
        <v>0.85714285714285698</v>
      </c>
      <c r="X12" s="17">
        <f t="shared" si="4"/>
        <v>0.2857142857142857</v>
      </c>
      <c r="Y12" s="17">
        <f t="shared" si="4"/>
        <v>10.142857142857142</v>
      </c>
      <c r="Z12" s="17">
        <f t="shared" si="4"/>
        <v>1.2857142857142856</v>
      </c>
      <c r="AA12" s="17">
        <f t="shared" si="4"/>
        <v>0.5714285714285714</v>
      </c>
      <c r="AB12" s="17">
        <f t="shared" si="4"/>
        <v>0.14285714285714285</v>
      </c>
      <c r="AC12" s="17">
        <f t="shared" si="4"/>
        <v>177.57142857142856</v>
      </c>
      <c r="AD12" s="17">
        <f t="shared" si="4"/>
        <v>0</v>
      </c>
      <c r="AE12" s="31">
        <f t="shared" si="4"/>
        <v>89.714285714285722</v>
      </c>
      <c r="AF12" s="31">
        <f t="shared" si="4"/>
        <v>267.28571428571428</v>
      </c>
    </row>
    <row r="13" spans="2:32" ht="23.1" customHeight="1" x14ac:dyDescent="0.25">
      <c r="B13" s="23" t="s">
        <v>40</v>
      </c>
      <c r="C13" s="49">
        <f>AVERAGE('23.09- Matuga -Kasangati'!C13,'24.09 Matugga-Kasangati'!C13,'25.09 Matugga-Kasangati'!C13,'27.09 Kasangati-Matugga'!C13,'26.09 Matugga-Kasangati-24h'!C13,'28.09 Matugga-Kasangati-24h'!C13,'29.09 Matugga-Kasangati'!C13)</f>
        <v>11.571428571428571</v>
      </c>
      <c r="D13" s="49">
        <f>AVERAGE('23.09- Matuga -Kasangati'!D13,'24.09 Matugga-Kasangati'!D13,'25.09 Matugga-Kasangati'!D13,'27.09 Kasangati-Matugga'!D13,'26.09 Matugga-Kasangati-24h'!D13,'28.09 Matugga-Kasangati-24h'!D13,'29.09 Matugga-Kasangati'!D13)</f>
        <v>2</v>
      </c>
      <c r="E13" s="49">
        <f>AVERAGE('23.09- Matuga -Kasangati'!E13,'24.09 Matugga-Kasangati'!E13,'25.09 Matugga-Kasangati'!E13,'27.09 Kasangati-Matugga'!E13,'26.09 Matugga-Kasangati-24h'!E13,'28.09 Matugga-Kasangati-24h'!E13,'29.09 Matugga-Kasangati'!E13)</f>
        <v>2.4285714285714284</v>
      </c>
      <c r="F13" s="49">
        <f>AVERAGE('23.09- Matuga -Kasangati'!F13,'24.09 Matugga-Kasangati'!F13,'25.09 Matugga-Kasangati'!F13,'27.09 Kasangati-Matugga'!F13,'26.09 Matugga-Kasangati-24h'!F13,'28.09 Matugga-Kasangati-24h'!F13,'29.09 Matugga-Kasangati'!F13)</f>
        <v>2.7142857142857144</v>
      </c>
      <c r="G13" s="49">
        <f>AVERAGE('23.09- Matuga -Kasangati'!G13,'24.09 Matugga-Kasangati'!G13,'25.09 Matugga-Kasangati'!G13,'27.09 Kasangati-Matugga'!G13,'26.09 Matugga-Kasangati-24h'!G13,'28.09 Matugga-Kasangati-24h'!G13,'29.09 Matugga-Kasangati'!G13)</f>
        <v>0</v>
      </c>
      <c r="H13" s="49">
        <f>AVERAGE('23.09- Matuga -Kasangati'!H13,'24.09 Matugga-Kasangati'!H13,'25.09 Matugga-Kasangati'!H13,'27.09 Kasangati-Matugga'!H13,'26.09 Matugga-Kasangati-24h'!H13,'28.09 Matugga-Kasangati-24h'!H13,'29.09 Matugga-Kasangati'!H13)</f>
        <v>0</v>
      </c>
      <c r="I13" s="49">
        <f>AVERAGE('23.09- Matuga -Kasangati'!I13,'24.09 Matugga-Kasangati'!I13,'25.09 Matugga-Kasangati'!I13,'27.09 Kasangati-Matugga'!I13,'26.09 Matugga-Kasangati-24h'!I13,'28.09 Matugga-Kasangati-24h'!I13,'29.09 Matugga-Kasangati'!I13)</f>
        <v>1.4285714285714286</v>
      </c>
      <c r="J13" s="49">
        <f>AVERAGE('23.09- Matuga -Kasangati'!J13,'24.09 Matugga-Kasangati'!J13,'25.09 Matugga-Kasangati'!J13,'27.09 Kasangati-Matugga'!J13,'26.09 Matugga-Kasangati-24h'!J13,'28.09 Matugga-Kasangati-24h'!J13,'29.09 Matugga-Kasangati'!J13)</f>
        <v>0.14285714285714285</v>
      </c>
      <c r="K13" s="49">
        <f>AVERAGE('23.09- Matuga -Kasangati'!K13,'24.09 Matugga-Kasangati'!K13,'25.09 Matugga-Kasangati'!K13,'27.09 Kasangati-Matugga'!K13,'26.09 Matugga-Kasangati-24h'!K13,'28.09 Matugga-Kasangati-24h'!K13,'29.09 Matugga-Kasangati'!K13)</f>
        <v>0</v>
      </c>
      <c r="L13" s="49">
        <f>AVERAGE('23.09- Matuga -Kasangati'!L13,'24.09 Matugga-Kasangati'!L13,'25.09 Matugga-Kasangati'!L13,'27.09 Kasangati-Matugga'!L13,'26.09 Matugga-Kasangati-24h'!L13,'28.09 Matugga-Kasangati-24h'!L13,'29.09 Matugga-Kasangati'!L13)</f>
        <v>0.14285714285714285</v>
      </c>
      <c r="M13" s="49">
        <f>AVERAGE('23.09- Matuga -Kasangati'!M13,'24.09 Matugga-Kasangati'!M13,'25.09 Matugga-Kasangati'!M13,'27.09 Kasangati-Matugga'!M13,'26.09 Matugga-Kasangati-24h'!M13,'28.09 Matugga-Kasangati-24h'!M13,'29.09 Matugga-Kasangati'!M13)</f>
        <v>48</v>
      </c>
      <c r="N13" s="49">
        <f>AVERAGE('23.09- Matuga -Kasangati'!N13,'24.09 Matugga-Kasangati'!N13,'25.09 Matugga-Kasangati'!N13,'27.09 Kasangati-Matugga'!N13,'26.09 Matugga-Kasangati-24h'!N13,'28.09 Matugga-Kasangati-24h'!N13,'29.09 Matugga-Kasangati'!N13)</f>
        <v>0</v>
      </c>
      <c r="O13" s="15">
        <f t="shared" si="0"/>
        <v>20.428571428571427</v>
      </c>
      <c r="P13" s="15">
        <f t="shared" si="1"/>
        <v>68.428571428571431</v>
      </c>
      <c r="R13" s="1" t="s">
        <v>9</v>
      </c>
      <c r="S13" s="17">
        <f t="shared" ref="S13:AF13" si="5">SUM(C22:C25)</f>
        <v>43.428571428571431</v>
      </c>
      <c r="T13" s="17">
        <f t="shared" si="5"/>
        <v>11.285714285714285</v>
      </c>
      <c r="U13" s="17">
        <f t="shared" si="5"/>
        <v>7.4285714285714288</v>
      </c>
      <c r="V13" s="17">
        <f t="shared" si="5"/>
        <v>7.2857142857142865</v>
      </c>
      <c r="W13" s="17">
        <f t="shared" si="5"/>
        <v>0.14285714285714285</v>
      </c>
      <c r="X13" s="17">
        <f t="shared" si="5"/>
        <v>0.14285714285714285</v>
      </c>
      <c r="Y13" s="17">
        <f t="shared" si="5"/>
        <v>11.285714285714286</v>
      </c>
      <c r="Z13" s="17">
        <f t="shared" si="5"/>
        <v>2.5714285714285712</v>
      </c>
      <c r="AA13" s="17">
        <f t="shared" si="5"/>
        <v>0.2857142857142857</v>
      </c>
      <c r="AB13" s="17">
        <f t="shared" si="5"/>
        <v>0.2857142857142857</v>
      </c>
      <c r="AC13" s="17">
        <f t="shared" si="5"/>
        <v>162.85714285714286</v>
      </c>
      <c r="AD13" s="17">
        <f t="shared" si="5"/>
        <v>0.14285714285714285</v>
      </c>
      <c r="AE13" s="31">
        <f t="shared" si="5"/>
        <v>84.285714285714278</v>
      </c>
      <c r="AF13" s="31">
        <f t="shared" si="5"/>
        <v>247.14285714285714</v>
      </c>
    </row>
    <row r="14" spans="2:32" ht="23.1" customHeight="1" x14ac:dyDescent="0.25">
      <c r="B14" s="23" t="s">
        <v>41</v>
      </c>
      <c r="C14" s="49">
        <f>AVERAGE('23.09- Matuga -Kasangati'!C14,'24.09 Matugga-Kasangati'!C14,'25.09 Matugga-Kasangati'!C14,'27.09 Kasangati-Matugga'!C14,'26.09 Matugga-Kasangati-24h'!C14,'28.09 Matugga-Kasangati-24h'!C14,'29.09 Matugga-Kasangati'!C14)</f>
        <v>16</v>
      </c>
      <c r="D14" s="49">
        <f>AVERAGE('23.09- Matuga -Kasangati'!D14,'24.09 Matugga-Kasangati'!D14,'25.09 Matugga-Kasangati'!D14,'27.09 Kasangati-Matugga'!D14,'26.09 Matugga-Kasangati-24h'!D14,'28.09 Matugga-Kasangati-24h'!D14,'29.09 Matugga-Kasangati'!D14)</f>
        <v>2.2857142857142856</v>
      </c>
      <c r="E14" s="49">
        <f>AVERAGE('23.09- Matuga -Kasangati'!E14,'24.09 Matugga-Kasangati'!E14,'25.09 Matugga-Kasangati'!E14,'27.09 Kasangati-Matugga'!E14,'26.09 Matugga-Kasangati-24h'!E14,'28.09 Matugga-Kasangati-24h'!E14,'29.09 Matugga-Kasangati'!E14)</f>
        <v>1.7142857142857142</v>
      </c>
      <c r="F14" s="49">
        <f>AVERAGE('23.09- Matuga -Kasangati'!F14,'24.09 Matugga-Kasangati'!F14,'25.09 Matugga-Kasangati'!F14,'27.09 Kasangati-Matugga'!F14,'26.09 Matugga-Kasangati-24h'!F14,'28.09 Matugga-Kasangati-24h'!F14,'29.09 Matugga-Kasangati'!F14)</f>
        <v>2.8571428571428572</v>
      </c>
      <c r="G14" s="49">
        <f>AVERAGE('23.09- Matuga -Kasangati'!G14,'24.09 Matugga-Kasangati'!G14,'25.09 Matugga-Kasangati'!G14,'27.09 Kasangati-Matugga'!G14,'26.09 Matugga-Kasangati-24h'!G14,'28.09 Matugga-Kasangati-24h'!G14,'29.09 Matugga-Kasangati'!G14)</f>
        <v>0</v>
      </c>
      <c r="H14" s="49">
        <f>AVERAGE('23.09- Matuga -Kasangati'!H14,'24.09 Matugga-Kasangati'!H14,'25.09 Matugga-Kasangati'!H14,'27.09 Kasangati-Matugga'!H14,'26.09 Matugga-Kasangati-24h'!H14,'28.09 Matugga-Kasangati-24h'!H14,'29.09 Matugga-Kasangati'!H14)</f>
        <v>0</v>
      </c>
      <c r="I14" s="49">
        <f>AVERAGE('23.09- Matuga -Kasangati'!I14,'24.09 Matugga-Kasangati'!I14,'25.09 Matugga-Kasangati'!I14,'27.09 Kasangati-Matugga'!I14,'26.09 Matugga-Kasangati-24h'!I14,'28.09 Matugga-Kasangati-24h'!I14,'29.09 Matugga-Kasangati'!I14)</f>
        <v>1</v>
      </c>
      <c r="J14" s="49">
        <f>AVERAGE('23.09- Matuga -Kasangati'!J14,'24.09 Matugga-Kasangati'!J14,'25.09 Matugga-Kasangati'!J14,'27.09 Kasangati-Matugga'!J14,'26.09 Matugga-Kasangati-24h'!J14,'28.09 Matugga-Kasangati-24h'!J14,'29.09 Matugga-Kasangati'!J14)</f>
        <v>0.2857142857142857</v>
      </c>
      <c r="K14" s="49">
        <f>AVERAGE('23.09- Matuga -Kasangati'!K14,'24.09 Matugga-Kasangati'!K14,'25.09 Matugga-Kasangati'!K14,'27.09 Kasangati-Matugga'!K14,'26.09 Matugga-Kasangati-24h'!K14,'28.09 Matugga-Kasangati-24h'!K14,'29.09 Matugga-Kasangati'!K14)</f>
        <v>0.2857142857142857</v>
      </c>
      <c r="L14" s="49">
        <f>AVERAGE('23.09- Matuga -Kasangati'!L14,'24.09 Matugga-Kasangati'!L14,'25.09 Matugga-Kasangati'!L14,'27.09 Kasangati-Matugga'!L14,'26.09 Matugga-Kasangati-24h'!L14,'28.09 Matugga-Kasangati-24h'!L14,'29.09 Matugga-Kasangati'!L14)</f>
        <v>0</v>
      </c>
      <c r="M14" s="49">
        <f>AVERAGE('23.09- Matuga -Kasangati'!M14,'24.09 Matugga-Kasangati'!M14,'25.09 Matugga-Kasangati'!M14,'27.09 Kasangati-Matugga'!M14,'26.09 Matugga-Kasangati-24h'!M14,'28.09 Matugga-Kasangati-24h'!M14,'29.09 Matugga-Kasangati'!M14)</f>
        <v>51.571428571428569</v>
      </c>
      <c r="N14" s="49">
        <f>AVERAGE('23.09- Matuga -Kasangati'!N14,'24.09 Matugga-Kasangati'!N14,'25.09 Matugga-Kasangati'!N14,'27.09 Kasangati-Matugga'!N14,'26.09 Matugga-Kasangati-24h'!N14,'28.09 Matugga-Kasangati-24h'!N14,'29.09 Matugga-Kasangati'!N14)</f>
        <v>0</v>
      </c>
      <c r="O14" s="15">
        <f t="shared" si="0"/>
        <v>24.428571428571427</v>
      </c>
      <c r="P14" s="15">
        <f t="shared" si="1"/>
        <v>76</v>
      </c>
      <c r="R14" s="1" t="s">
        <v>10</v>
      </c>
      <c r="S14" s="17">
        <f t="shared" ref="S14:AF14" si="6">SUM(C26:C29)</f>
        <v>52.857142857142854</v>
      </c>
      <c r="T14" s="17">
        <f t="shared" si="6"/>
        <v>9.7142857142857153</v>
      </c>
      <c r="U14" s="17">
        <f t="shared" si="6"/>
        <v>9.1428571428571423</v>
      </c>
      <c r="V14" s="17">
        <f t="shared" si="6"/>
        <v>9.5714285714285712</v>
      </c>
      <c r="W14" s="17">
        <f t="shared" si="6"/>
        <v>0.14285714285714285</v>
      </c>
      <c r="X14" s="17">
        <f t="shared" si="6"/>
        <v>0</v>
      </c>
      <c r="Y14" s="17">
        <f t="shared" si="6"/>
        <v>10.428571428571429</v>
      </c>
      <c r="Z14" s="17">
        <f t="shared" si="6"/>
        <v>1.5714285714285714</v>
      </c>
      <c r="AA14" s="17">
        <f t="shared" si="6"/>
        <v>1.4285714285714284</v>
      </c>
      <c r="AB14" s="17">
        <f t="shared" si="6"/>
        <v>1.1428571428571428</v>
      </c>
      <c r="AC14" s="17">
        <f t="shared" si="6"/>
        <v>158</v>
      </c>
      <c r="AD14" s="17">
        <f t="shared" si="6"/>
        <v>0</v>
      </c>
      <c r="AE14" s="31">
        <f t="shared" si="6"/>
        <v>96</v>
      </c>
      <c r="AF14" s="31">
        <f t="shared" si="6"/>
        <v>254</v>
      </c>
    </row>
    <row r="15" spans="2:32" ht="23.1" customHeight="1" x14ac:dyDescent="0.25">
      <c r="B15" s="23" t="s">
        <v>42</v>
      </c>
      <c r="C15" s="49">
        <f>AVERAGE('23.09- Matuga -Kasangati'!C15,'24.09 Matugga-Kasangati'!C15,'25.09 Matugga-Kasangati'!C15,'27.09 Kasangati-Matugga'!C15,'26.09 Matugga-Kasangati-24h'!C15,'28.09 Matugga-Kasangati-24h'!C15,'29.09 Matugga-Kasangati'!C15)</f>
        <v>11.142857142857142</v>
      </c>
      <c r="D15" s="49">
        <f>AVERAGE('23.09- Matuga -Kasangati'!D15,'24.09 Matugga-Kasangati'!D15,'25.09 Matugga-Kasangati'!D15,'27.09 Kasangati-Matugga'!D15,'26.09 Matugga-Kasangati-24h'!D15,'28.09 Matugga-Kasangati-24h'!D15,'29.09 Matugga-Kasangati'!D15)</f>
        <v>1.5714285714285714</v>
      </c>
      <c r="E15" s="49">
        <f>AVERAGE('23.09- Matuga -Kasangati'!E15,'24.09 Matugga-Kasangati'!E15,'25.09 Matugga-Kasangati'!E15,'27.09 Kasangati-Matugga'!E15,'26.09 Matugga-Kasangati-24h'!E15,'28.09 Matugga-Kasangati-24h'!E15,'29.09 Matugga-Kasangati'!E15)</f>
        <v>2.1428571428571428</v>
      </c>
      <c r="F15" s="49">
        <f>AVERAGE('23.09- Matuga -Kasangati'!F15,'24.09 Matugga-Kasangati'!F15,'25.09 Matugga-Kasangati'!F15,'27.09 Kasangati-Matugga'!F15,'26.09 Matugga-Kasangati-24h'!F15,'28.09 Matugga-Kasangati-24h'!F15,'29.09 Matugga-Kasangati'!F15)</f>
        <v>2.7142857142857144</v>
      </c>
      <c r="G15" s="49">
        <f>AVERAGE('23.09- Matuga -Kasangati'!G15,'24.09 Matugga-Kasangati'!G15,'25.09 Matugga-Kasangati'!G15,'27.09 Kasangati-Matugga'!G15,'26.09 Matugga-Kasangati-24h'!G15,'28.09 Matugga-Kasangati-24h'!G15,'29.09 Matugga-Kasangati'!G15)</f>
        <v>0.2857142857142857</v>
      </c>
      <c r="H15" s="49">
        <f>AVERAGE('23.09- Matuga -Kasangati'!H15,'24.09 Matugga-Kasangati'!H15,'25.09 Matugga-Kasangati'!H15,'27.09 Kasangati-Matugga'!H15,'26.09 Matugga-Kasangati-24h'!H15,'28.09 Matugga-Kasangati-24h'!H15,'29.09 Matugga-Kasangati'!H15)</f>
        <v>0</v>
      </c>
      <c r="I15" s="49">
        <f>AVERAGE('23.09- Matuga -Kasangati'!I15,'24.09 Matugga-Kasangati'!I15,'25.09 Matugga-Kasangati'!I15,'27.09 Kasangati-Matugga'!I15,'26.09 Matugga-Kasangati-24h'!I15,'28.09 Matugga-Kasangati-24h'!I15,'29.09 Matugga-Kasangati'!I15)</f>
        <v>1.5714285714285714</v>
      </c>
      <c r="J15" s="49">
        <f>AVERAGE('23.09- Matuga -Kasangati'!J15,'24.09 Matugga-Kasangati'!J15,'25.09 Matugga-Kasangati'!J15,'27.09 Kasangati-Matugga'!J15,'26.09 Matugga-Kasangati-24h'!J15,'28.09 Matugga-Kasangati-24h'!J15,'29.09 Matugga-Kasangati'!J15)</f>
        <v>0.2857142857142857</v>
      </c>
      <c r="K15" s="49">
        <f>AVERAGE('23.09- Matuga -Kasangati'!K15,'24.09 Matugga-Kasangati'!K15,'25.09 Matugga-Kasangati'!K15,'27.09 Kasangati-Matugga'!K15,'26.09 Matugga-Kasangati-24h'!K15,'28.09 Matugga-Kasangati-24h'!K15,'29.09 Matugga-Kasangati'!K15)</f>
        <v>0.5714285714285714</v>
      </c>
      <c r="L15" s="49">
        <f>AVERAGE('23.09- Matuga -Kasangati'!L15,'24.09 Matugga-Kasangati'!L15,'25.09 Matugga-Kasangati'!L15,'27.09 Kasangati-Matugga'!L15,'26.09 Matugga-Kasangati-24h'!L15,'28.09 Matugga-Kasangati-24h'!L15,'29.09 Matugga-Kasangati'!L15)</f>
        <v>0.14285714285714285</v>
      </c>
      <c r="M15" s="49">
        <f>AVERAGE('23.09- Matuga -Kasangati'!M15,'24.09 Matugga-Kasangati'!M15,'25.09 Matugga-Kasangati'!M15,'27.09 Kasangati-Matugga'!M15,'26.09 Matugga-Kasangati-24h'!M15,'28.09 Matugga-Kasangati-24h'!M15,'29.09 Matugga-Kasangati'!M15)</f>
        <v>49.857142857142854</v>
      </c>
      <c r="N15" s="49">
        <f>AVERAGE('23.09- Matuga -Kasangati'!N15,'24.09 Matugga-Kasangati'!N15,'25.09 Matugga-Kasangati'!N15,'27.09 Kasangati-Matugga'!N15,'26.09 Matugga-Kasangati-24h'!N15,'28.09 Matugga-Kasangati-24h'!N15,'29.09 Matugga-Kasangati'!N15)</f>
        <v>0</v>
      </c>
      <c r="O15" s="15">
        <f t="shared" si="0"/>
        <v>20.428571428571427</v>
      </c>
      <c r="P15" s="15">
        <f t="shared" si="1"/>
        <v>70.285714285714278</v>
      </c>
      <c r="R15" s="1" t="s">
        <v>11</v>
      </c>
      <c r="S15" s="17">
        <f t="shared" ref="S15:AF15" si="7">SUM(C30:C33)</f>
        <v>41.142857142857139</v>
      </c>
      <c r="T15" s="17">
        <f t="shared" si="7"/>
        <v>6.2857142857142856</v>
      </c>
      <c r="U15" s="17">
        <f t="shared" si="7"/>
        <v>6.8571428571428577</v>
      </c>
      <c r="V15" s="17">
        <f t="shared" si="7"/>
        <v>8.2857142857142865</v>
      </c>
      <c r="W15" s="17">
        <f t="shared" si="7"/>
        <v>0.42857142857142855</v>
      </c>
      <c r="X15" s="17">
        <f t="shared" si="7"/>
        <v>0</v>
      </c>
      <c r="Y15" s="17">
        <f t="shared" si="7"/>
        <v>14.714285714285715</v>
      </c>
      <c r="Z15" s="17">
        <f t="shared" si="7"/>
        <v>2.4285714285714288</v>
      </c>
      <c r="AA15" s="17">
        <f t="shared" si="7"/>
        <v>2</v>
      </c>
      <c r="AB15" s="17">
        <f t="shared" si="7"/>
        <v>0</v>
      </c>
      <c r="AC15" s="17">
        <f t="shared" si="7"/>
        <v>151.14285714285717</v>
      </c>
      <c r="AD15" s="17">
        <f t="shared" si="7"/>
        <v>0</v>
      </c>
      <c r="AE15" s="31">
        <f t="shared" si="7"/>
        <v>82.142857142857139</v>
      </c>
      <c r="AF15" s="31">
        <f t="shared" si="7"/>
        <v>233.28571428571428</v>
      </c>
    </row>
    <row r="16" spans="2:32" ht="23.1" customHeight="1" x14ac:dyDescent="0.25">
      <c r="B16" s="23" t="s">
        <v>43</v>
      </c>
      <c r="C16" s="49">
        <f>AVERAGE('23.09- Matuga -Kasangati'!C16,'24.09 Matugga-Kasangati'!C16,'25.09 Matugga-Kasangati'!C16,'27.09 Kasangati-Matugga'!C16,'26.09 Matugga-Kasangati-24h'!C16,'28.09 Matugga-Kasangati-24h'!C16,'29.09 Matugga-Kasangati'!C16)</f>
        <v>9.8571428571428577</v>
      </c>
      <c r="D16" s="49">
        <f>AVERAGE('23.09- Matuga -Kasangati'!D16,'24.09 Matugga-Kasangati'!D16,'25.09 Matugga-Kasangati'!D16,'27.09 Kasangati-Matugga'!D16,'26.09 Matugga-Kasangati-24h'!D16,'28.09 Matugga-Kasangati-24h'!D16,'29.09 Matugga-Kasangati'!D16)</f>
        <v>2.4285714285714284</v>
      </c>
      <c r="E16" s="49">
        <f>AVERAGE('23.09- Matuga -Kasangati'!E16,'24.09 Matugga-Kasangati'!E16,'25.09 Matugga-Kasangati'!E16,'27.09 Kasangati-Matugga'!E16,'26.09 Matugga-Kasangati-24h'!E16,'28.09 Matugga-Kasangati-24h'!E16,'29.09 Matugga-Kasangati'!E16)</f>
        <v>1.7142857142857142</v>
      </c>
      <c r="F16" s="49">
        <f>AVERAGE('23.09- Matuga -Kasangati'!F16,'24.09 Matugga-Kasangati'!F16,'25.09 Matugga-Kasangati'!F16,'27.09 Kasangati-Matugga'!F16,'26.09 Matugga-Kasangati-24h'!F16,'28.09 Matugga-Kasangati-24h'!F16,'29.09 Matugga-Kasangati'!F16)</f>
        <v>3.1428571428571428</v>
      </c>
      <c r="G16" s="49">
        <f>AVERAGE('23.09- Matuga -Kasangati'!G16,'24.09 Matugga-Kasangati'!G16,'25.09 Matugga-Kasangati'!G16,'27.09 Kasangati-Matugga'!G16,'26.09 Matugga-Kasangati-24h'!G16,'28.09 Matugga-Kasangati-24h'!G16,'29.09 Matugga-Kasangati'!G16)</f>
        <v>0.42857142857142855</v>
      </c>
      <c r="H16" s="49">
        <f>AVERAGE('23.09- Matuga -Kasangati'!H16,'24.09 Matugga-Kasangati'!H16,'25.09 Matugga-Kasangati'!H16,'27.09 Kasangati-Matugga'!H16,'26.09 Matugga-Kasangati-24h'!H16,'28.09 Matugga-Kasangati-24h'!H16,'29.09 Matugga-Kasangati'!H16)</f>
        <v>0</v>
      </c>
      <c r="I16" s="49">
        <f>AVERAGE('23.09- Matuga -Kasangati'!I16,'24.09 Matugga-Kasangati'!I16,'25.09 Matugga-Kasangati'!I16,'27.09 Kasangati-Matugga'!I16,'26.09 Matugga-Kasangati-24h'!I16,'28.09 Matugga-Kasangati-24h'!I16,'29.09 Matugga-Kasangati'!I16)</f>
        <v>2.2857142857142856</v>
      </c>
      <c r="J16" s="49">
        <f>AVERAGE('23.09- Matuga -Kasangati'!J16,'24.09 Matugga-Kasangati'!J16,'25.09 Matugga-Kasangati'!J16,'27.09 Kasangati-Matugga'!J16,'26.09 Matugga-Kasangati-24h'!J16,'28.09 Matugga-Kasangati-24h'!J16,'29.09 Matugga-Kasangati'!J16)</f>
        <v>0.14285714285714285</v>
      </c>
      <c r="K16" s="49">
        <f>AVERAGE('23.09- Matuga -Kasangati'!K16,'24.09 Matugga-Kasangati'!K16,'25.09 Matugga-Kasangati'!K16,'27.09 Kasangati-Matugga'!K16,'26.09 Matugga-Kasangati-24h'!K16,'28.09 Matugga-Kasangati-24h'!K16,'29.09 Matugga-Kasangati'!K16)</f>
        <v>0</v>
      </c>
      <c r="L16" s="49">
        <f>AVERAGE('23.09- Matuga -Kasangati'!L16,'24.09 Matugga-Kasangati'!L16,'25.09 Matugga-Kasangati'!L16,'27.09 Kasangati-Matugga'!L16,'26.09 Matugga-Kasangati-24h'!L16,'28.09 Matugga-Kasangati-24h'!L16,'29.09 Matugga-Kasangati'!L16)</f>
        <v>0</v>
      </c>
      <c r="M16" s="49">
        <f>AVERAGE('23.09- Matuga -Kasangati'!M16,'24.09 Matugga-Kasangati'!M16,'25.09 Matugga-Kasangati'!M16,'27.09 Kasangati-Matugga'!M16,'26.09 Matugga-Kasangati-24h'!M16,'28.09 Matugga-Kasangati-24h'!M16,'29.09 Matugga-Kasangati'!M16)</f>
        <v>49.285714285714285</v>
      </c>
      <c r="N16" s="49">
        <f>AVERAGE('23.09- Matuga -Kasangati'!N16,'24.09 Matugga-Kasangati'!N16,'25.09 Matugga-Kasangati'!N16,'27.09 Kasangati-Matugga'!N16,'26.09 Matugga-Kasangati-24h'!N16,'28.09 Matugga-Kasangati-24h'!N16,'29.09 Matugga-Kasangati'!N16)</f>
        <v>0</v>
      </c>
      <c r="O16" s="15">
        <f t="shared" si="0"/>
        <v>19.999999999999996</v>
      </c>
      <c r="P16" s="15">
        <f t="shared" si="1"/>
        <v>69.285714285714278</v>
      </c>
      <c r="R16" s="1" t="s">
        <v>12</v>
      </c>
      <c r="S16" s="17">
        <f t="shared" ref="S16:AF16" si="8">SUM(C34:C37)</f>
        <v>40.285714285714285</v>
      </c>
      <c r="T16" s="17">
        <f t="shared" si="8"/>
        <v>8.428571428571427</v>
      </c>
      <c r="U16" s="17">
        <f t="shared" si="8"/>
        <v>8.1428571428571423</v>
      </c>
      <c r="V16" s="17">
        <f t="shared" si="8"/>
        <v>8.2857142857142865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1.7142857142857142</v>
      </c>
      <c r="AA16" s="17">
        <f t="shared" si="8"/>
        <v>1.7142857142857144</v>
      </c>
      <c r="AB16" s="17">
        <f t="shared" si="8"/>
        <v>0</v>
      </c>
      <c r="AC16" s="17">
        <f t="shared" si="8"/>
        <v>138.57142857142858</v>
      </c>
      <c r="AD16" s="17">
        <f t="shared" si="8"/>
        <v>0</v>
      </c>
      <c r="AE16" s="31">
        <f t="shared" si="8"/>
        <v>79.571428571428569</v>
      </c>
      <c r="AF16" s="31">
        <f t="shared" si="8"/>
        <v>218.14285714285714</v>
      </c>
    </row>
    <row r="17" spans="2:32" ht="23.1" customHeight="1" x14ac:dyDescent="0.25">
      <c r="B17" s="23" t="s">
        <v>44</v>
      </c>
      <c r="C17" s="49">
        <f>AVERAGE('23.09- Matuga -Kasangati'!C17,'24.09 Matugga-Kasangati'!C17,'25.09 Matugga-Kasangati'!C17,'27.09 Kasangati-Matugga'!C17,'26.09 Matugga-Kasangati-24h'!C17,'28.09 Matugga-Kasangati-24h'!C17,'29.09 Matugga-Kasangati'!C17)</f>
        <v>11.714285714285714</v>
      </c>
      <c r="D17" s="49">
        <f>AVERAGE('23.09- Matuga -Kasangati'!D17,'24.09 Matugga-Kasangati'!D17,'25.09 Matugga-Kasangati'!D17,'27.09 Kasangati-Matugga'!D17,'26.09 Matugga-Kasangati-24h'!D17,'28.09 Matugga-Kasangati-24h'!D17,'29.09 Matugga-Kasangati'!D17)</f>
        <v>2</v>
      </c>
      <c r="E17" s="49">
        <f>AVERAGE('23.09- Matuga -Kasangati'!E17,'24.09 Matugga-Kasangati'!E17,'25.09 Matugga-Kasangati'!E17,'27.09 Kasangati-Matugga'!E17,'26.09 Matugga-Kasangati-24h'!E17,'28.09 Matugga-Kasangati-24h'!E17,'29.09 Matugga-Kasangati'!E17)</f>
        <v>2.2857142857142856</v>
      </c>
      <c r="F17" s="49">
        <f>AVERAGE('23.09- Matuga -Kasangati'!F17,'24.09 Matugga-Kasangati'!F17,'25.09 Matugga-Kasangati'!F17,'27.09 Kasangati-Matugga'!F17,'26.09 Matugga-Kasangati-24h'!F17,'28.09 Matugga-Kasangati-24h'!F17,'29.09 Matugga-Kasangati'!F17)</f>
        <v>1.5714285714285714</v>
      </c>
      <c r="G17" s="49">
        <f>AVERAGE('23.09- Matuga -Kasangati'!G17,'24.09 Matugga-Kasangati'!G17,'25.09 Matugga-Kasangati'!G17,'27.09 Kasangati-Matugga'!G17,'26.09 Matugga-Kasangati-24h'!G17,'28.09 Matugga-Kasangati-24h'!G17,'29.09 Matugga-Kasangati'!G17)</f>
        <v>0.2857142857142857</v>
      </c>
      <c r="H17" s="49">
        <f>AVERAGE('23.09- Matuga -Kasangati'!H17,'24.09 Matugga-Kasangati'!H17,'25.09 Matugga-Kasangati'!H17,'27.09 Kasangati-Matugga'!H17,'26.09 Matugga-Kasangati-24h'!H17,'28.09 Matugga-Kasangati-24h'!H17,'29.09 Matugga-Kasangati'!H17)</f>
        <v>0</v>
      </c>
      <c r="I17" s="49">
        <f>AVERAGE('23.09- Matuga -Kasangati'!I17,'24.09 Matugga-Kasangati'!I17,'25.09 Matugga-Kasangati'!I17,'27.09 Kasangati-Matugga'!I17,'26.09 Matugga-Kasangati-24h'!I17,'28.09 Matugga-Kasangati-24h'!I17,'29.09 Matugga-Kasangati'!I17)</f>
        <v>3.2857142857142856</v>
      </c>
      <c r="J17" s="49">
        <f>AVERAGE('23.09- Matuga -Kasangati'!J17,'24.09 Matugga-Kasangati'!J17,'25.09 Matugga-Kasangati'!J17,'27.09 Kasangati-Matugga'!J17,'26.09 Matugga-Kasangati-24h'!J17,'28.09 Matugga-Kasangati-24h'!J17,'29.09 Matugga-Kasangati'!J17)</f>
        <v>0.2857142857142857</v>
      </c>
      <c r="K17" s="49">
        <f>AVERAGE('23.09- Matuga -Kasangati'!K17,'24.09 Matugga-Kasangati'!K17,'25.09 Matugga-Kasangati'!K17,'27.09 Kasangati-Matugga'!K17,'26.09 Matugga-Kasangati-24h'!K17,'28.09 Matugga-Kasangati-24h'!K17,'29.09 Matugga-Kasangati'!K17)</f>
        <v>0.14285714285714285</v>
      </c>
      <c r="L17" s="49">
        <f>AVERAGE('23.09- Matuga -Kasangati'!L17,'24.09 Matugga-Kasangati'!L17,'25.09 Matugga-Kasangati'!L17,'27.09 Kasangati-Matugga'!L17,'26.09 Matugga-Kasangati-24h'!L17,'28.09 Matugga-Kasangati-24h'!L17,'29.09 Matugga-Kasangati'!L17)</f>
        <v>0</v>
      </c>
      <c r="M17" s="49">
        <f>AVERAGE('23.09- Matuga -Kasangati'!M17,'24.09 Matugga-Kasangati'!M17,'25.09 Matugga-Kasangati'!M17,'27.09 Kasangati-Matugga'!M17,'26.09 Matugga-Kasangati-24h'!M17,'28.09 Matugga-Kasangati-24h'!M17,'29.09 Matugga-Kasangati'!M17)</f>
        <v>45.714285714285715</v>
      </c>
      <c r="N17" s="49">
        <f>AVERAGE('23.09- Matuga -Kasangati'!N17,'24.09 Matugga-Kasangati'!N17,'25.09 Matugga-Kasangati'!N17,'27.09 Kasangati-Matugga'!N17,'26.09 Matugga-Kasangati-24h'!N17,'28.09 Matugga-Kasangati-24h'!N17,'29.09 Matugga-Kasangati'!N17)</f>
        <v>0</v>
      </c>
      <c r="O17" s="15">
        <f t="shared" si="0"/>
        <v>21.571428571428569</v>
      </c>
      <c r="P17" s="15">
        <f t="shared" si="1"/>
        <v>67.285714285714278</v>
      </c>
      <c r="R17" s="1" t="s">
        <v>13</v>
      </c>
      <c r="S17" s="17">
        <f t="shared" ref="S17:AF17" si="9">SUM(C38:C41)</f>
        <v>37.142857142857146</v>
      </c>
      <c r="T17" s="17">
        <f t="shared" si="9"/>
        <v>8.7142857142857135</v>
      </c>
      <c r="U17" s="17">
        <f t="shared" si="9"/>
        <v>7.7142857142857135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9.5714285714285712</v>
      </c>
      <c r="Z17" s="17">
        <f t="shared" si="9"/>
        <v>1.4285714285714284</v>
      </c>
      <c r="AA17" s="17">
        <f t="shared" si="9"/>
        <v>0.42857142857142855</v>
      </c>
      <c r="AB17" s="17">
        <f t="shared" si="9"/>
        <v>0.2857142857142857</v>
      </c>
      <c r="AC17" s="17">
        <f t="shared" si="9"/>
        <v>126.71428571428572</v>
      </c>
      <c r="AD17" s="17">
        <f t="shared" si="9"/>
        <v>0</v>
      </c>
      <c r="AE17" s="31">
        <f t="shared" si="9"/>
        <v>74.285714285714278</v>
      </c>
      <c r="AF17" s="31">
        <f t="shared" si="9"/>
        <v>201</v>
      </c>
    </row>
    <row r="18" spans="2:32" ht="23.1" customHeight="1" x14ac:dyDescent="0.25">
      <c r="B18" s="23" t="s">
        <v>45</v>
      </c>
      <c r="C18" s="49">
        <f>AVERAGE('23.09- Matuga -Kasangati'!C18,'24.09 Matugga-Kasangati'!C18,'25.09 Matugga-Kasangati'!C18,'27.09 Kasangati-Matugga'!C18,'26.09 Matugga-Kasangati-24h'!C18,'28.09 Matugga-Kasangati-24h'!C18,'29.09 Matugga-Kasangati'!C18)</f>
        <v>12.571428571428571</v>
      </c>
      <c r="D18" s="49">
        <f>AVERAGE('23.09- Matuga -Kasangati'!D18,'24.09 Matugga-Kasangati'!D18,'25.09 Matugga-Kasangati'!D18,'27.09 Kasangati-Matugga'!D18,'26.09 Matugga-Kasangati-24h'!D18,'28.09 Matugga-Kasangati-24h'!D18,'29.09 Matugga-Kasangati'!D18)</f>
        <v>4.1428571428571432</v>
      </c>
      <c r="E18" s="49">
        <f>AVERAGE('23.09- Matuga -Kasangati'!E18,'24.09 Matugga-Kasangati'!E18,'25.09 Matugga-Kasangati'!E18,'27.09 Kasangati-Matugga'!E18,'26.09 Matugga-Kasangati-24h'!E18,'28.09 Matugga-Kasangati-24h'!E18,'29.09 Matugga-Kasangati'!E18)</f>
        <v>0.5714285714285714</v>
      </c>
      <c r="F18" s="49">
        <f>AVERAGE('23.09- Matuga -Kasangati'!F18,'24.09 Matugga-Kasangati'!F18,'25.09 Matugga-Kasangati'!F18,'27.09 Kasangati-Matugga'!F18,'26.09 Matugga-Kasangati-24h'!F18,'28.09 Matugga-Kasangati-24h'!F18,'29.09 Matugga-Kasangati'!F18)</f>
        <v>2.8571428571428572</v>
      </c>
      <c r="G18" s="49">
        <f>AVERAGE('23.09- Matuga -Kasangati'!G18,'24.09 Matugga-Kasangati'!G18,'25.09 Matugga-Kasangati'!G18,'27.09 Kasangati-Matugga'!G18,'26.09 Matugga-Kasangati-24h'!G18,'28.09 Matugga-Kasangati-24h'!G18,'29.09 Matugga-Kasangati'!G18)</f>
        <v>0.14285714285714285</v>
      </c>
      <c r="H18" s="49">
        <f>AVERAGE('23.09- Matuga -Kasangati'!H18,'24.09 Matugga-Kasangati'!H18,'25.09 Matugga-Kasangati'!H18,'27.09 Kasangati-Matugga'!H18,'26.09 Matugga-Kasangati-24h'!H18,'28.09 Matugga-Kasangati-24h'!H18,'29.09 Matugga-Kasangati'!H18)</f>
        <v>0</v>
      </c>
      <c r="I18" s="49">
        <f>AVERAGE('23.09- Matuga -Kasangati'!I18,'24.09 Matugga-Kasangati'!I18,'25.09 Matugga-Kasangati'!I18,'27.09 Kasangati-Matugga'!I18,'26.09 Matugga-Kasangati-24h'!I18,'28.09 Matugga-Kasangati-24h'!I18,'29.09 Matugga-Kasangati'!I18)</f>
        <v>1.8571428571428572</v>
      </c>
      <c r="J18" s="49">
        <f>AVERAGE('23.09- Matuga -Kasangati'!J18,'24.09 Matugga-Kasangati'!J18,'25.09 Matugga-Kasangati'!J18,'27.09 Kasangati-Matugga'!J18,'26.09 Matugga-Kasangati-24h'!J18,'28.09 Matugga-Kasangati-24h'!J18,'29.09 Matugga-Kasangati'!J18)</f>
        <v>0</v>
      </c>
      <c r="K18" s="49">
        <f>AVERAGE('23.09- Matuga -Kasangati'!K18,'24.09 Matugga-Kasangati'!K18,'25.09 Matugga-Kasangati'!K18,'27.09 Kasangati-Matugga'!K18,'26.09 Matugga-Kasangati-24h'!K18,'28.09 Matugga-Kasangati-24h'!K18,'29.09 Matugga-Kasangati'!K18)</f>
        <v>0.14285714285714285</v>
      </c>
      <c r="L18" s="49">
        <f>AVERAGE('23.09- Matuga -Kasangati'!L18,'24.09 Matugga-Kasangati'!L18,'25.09 Matugga-Kasangati'!L18,'27.09 Kasangati-Matugga'!L18,'26.09 Matugga-Kasangati-24h'!L18,'28.09 Matugga-Kasangati-24h'!L18,'29.09 Matugga-Kasangati'!L18)</f>
        <v>0</v>
      </c>
      <c r="M18" s="49">
        <f>AVERAGE('23.09- Matuga -Kasangati'!M18,'24.09 Matugga-Kasangati'!M18,'25.09 Matugga-Kasangati'!M18,'27.09 Kasangati-Matugga'!M18,'26.09 Matugga-Kasangati-24h'!M18,'28.09 Matugga-Kasangati-24h'!M18,'29.09 Matugga-Kasangati'!M18)</f>
        <v>42.857142857142854</v>
      </c>
      <c r="N18" s="49">
        <f>AVERAGE('23.09- Matuga -Kasangati'!N18,'24.09 Matugga-Kasangati'!N18,'25.09 Matugga-Kasangati'!N18,'27.09 Kasangati-Matugga'!N18,'26.09 Matugga-Kasangati-24h'!N18,'28.09 Matugga-Kasangati-24h'!N18,'29.09 Matugga-Kasangati'!N18)</f>
        <v>0</v>
      </c>
      <c r="O18" s="15">
        <f t="shared" si="0"/>
        <v>22.285714285714288</v>
      </c>
      <c r="P18" s="15">
        <f t="shared" si="1"/>
        <v>65.142857142857139</v>
      </c>
      <c r="R18" s="1" t="s">
        <v>14</v>
      </c>
      <c r="S18" s="17">
        <f t="shared" ref="S18:AF18" si="10">SUM(C42:C45)</f>
        <v>45.428571428571431</v>
      </c>
      <c r="T18" s="17">
        <f t="shared" si="10"/>
        <v>8</v>
      </c>
      <c r="U18" s="17">
        <f t="shared" si="10"/>
        <v>6.4285714285714288</v>
      </c>
      <c r="V18" s="17">
        <f t="shared" si="10"/>
        <v>8.7142857142857153</v>
      </c>
      <c r="W18" s="17">
        <f t="shared" si="10"/>
        <v>0.14285714285714285</v>
      </c>
      <c r="X18" s="17">
        <f t="shared" si="10"/>
        <v>0.2857142857142857</v>
      </c>
      <c r="Y18" s="17">
        <f t="shared" si="10"/>
        <v>11.428571428571431</v>
      </c>
      <c r="Z18" s="17">
        <f t="shared" si="10"/>
        <v>2.5714285714285716</v>
      </c>
      <c r="AA18" s="17">
        <f t="shared" si="10"/>
        <v>0.5714285714285714</v>
      </c>
      <c r="AB18" s="17">
        <f t="shared" si="10"/>
        <v>0.14285714285714285</v>
      </c>
      <c r="AC18" s="17">
        <f t="shared" si="10"/>
        <v>144.99999999999997</v>
      </c>
      <c r="AD18" s="17">
        <f t="shared" si="10"/>
        <v>0</v>
      </c>
      <c r="AE18" s="31">
        <f t="shared" si="10"/>
        <v>83.714285714285694</v>
      </c>
      <c r="AF18" s="31">
        <f t="shared" si="10"/>
        <v>228.71428571428569</v>
      </c>
    </row>
    <row r="19" spans="2:32" ht="23.1" customHeight="1" x14ac:dyDescent="0.25">
      <c r="B19" s="23" t="s">
        <v>46</v>
      </c>
      <c r="C19" s="49">
        <f>AVERAGE('23.09- Matuga -Kasangati'!C19,'24.09 Matugga-Kasangati'!C19,'25.09 Matugga-Kasangati'!C19,'27.09 Kasangati-Matugga'!C19,'26.09 Matugga-Kasangati-24h'!C19,'28.09 Matugga-Kasangati-24h'!C19,'29.09 Matugga-Kasangati'!C19)</f>
        <v>12.571428571428571</v>
      </c>
      <c r="D19" s="49">
        <f>AVERAGE('23.09- Matuga -Kasangati'!D19,'24.09 Matugga-Kasangati'!D19,'25.09 Matugga-Kasangati'!D19,'27.09 Kasangati-Matugga'!D19,'26.09 Matugga-Kasangati-24h'!D19,'28.09 Matugga-Kasangati-24h'!D19,'29.09 Matugga-Kasangati'!D19)</f>
        <v>3.4285714285714284</v>
      </c>
      <c r="E19" s="49">
        <f>AVERAGE('23.09- Matuga -Kasangati'!E19,'24.09 Matugga-Kasangati'!E19,'25.09 Matugga-Kasangati'!E19,'27.09 Kasangati-Matugga'!E19,'26.09 Matugga-Kasangati-24h'!E19,'28.09 Matugga-Kasangati-24h'!E19,'29.09 Matugga-Kasangati'!E19)</f>
        <v>3</v>
      </c>
      <c r="F19" s="49">
        <f>AVERAGE('23.09- Matuga -Kasangati'!F19,'24.09 Matugga-Kasangati'!F19,'25.09 Matugga-Kasangati'!F19,'27.09 Kasangati-Matugga'!F19,'26.09 Matugga-Kasangati-24h'!F19,'28.09 Matugga-Kasangati-24h'!F19,'29.09 Matugga-Kasangati'!F19)</f>
        <v>2.2857142857142856</v>
      </c>
      <c r="G19" s="49">
        <f>AVERAGE('23.09- Matuga -Kasangati'!G19,'24.09 Matugga-Kasangati'!G19,'25.09 Matugga-Kasangati'!G19,'27.09 Kasangati-Matugga'!G19,'26.09 Matugga-Kasangati-24h'!G19,'28.09 Matugga-Kasangati-24h'!G19,'29.09 Matugga-Kasangati'!G19)</f>
        <v>0.5714285714285714</v>
      </c>
      <c r="H19" s="49">
        <f>AVERAGE('23.09- Matuga -Kasangati'!H19,'24.09 Matugga-Kasangati'!H19,'25.09 Matugga-Kasangati'!H19,'27.09 Kasangati-Matugga'!H19,'26.09 Matugga-Kasangati-24h'!H19,'28.09 Matugga-Kasangati-24h'!H19,'29.09 Matugga-Kasangati'!H19)</f>
        <v>0.14285714285714285</v>
      </c>
      <c r="I19" s="49">
        <f>AVERAGE('23.09- Matuga -Kasangati'!I19,'24.09 Matugga-Kasangati'!I19,'25.09 Matugga-Kasangati'!I19,'27.09 Kasangati-Matugga'!I19,'26.09 Matugga-Kasangati-24h'!I19,'28.09 Matugga-Kasangati-24h'!I19,'29.09 Matugga-Kasangati'!I19)</f>
        <v>2.7142857142857144</v>
      </c>
      <c r="J19" s="49">
        <f>AVERAGE('23.09- Matuga -Kasangati'!J19,'24.09 Matugga-Kasangati'!J19,'25.09 Matugga-Kasangati'!J19,'27.09 Kasangati-Matugga'!J19,'26.09 Matugga-Kasangati-24h'!J19,'28.09 Matugga-Kasangati-24h'!J19,'29.09 Matugga-Kasangati'!J19)</f>
        <v>0.5714285714285714</v>
      </c>
      <c r="K19" s="49">
        <f>AVERAGE('23.09- Matuga -Kasangati'!K19,'24.09 Matugga-Kasangati'!K19,'25.09 Matugga-Kasangati'!K19,'27.09 Kasangati-Matugga'!K19,'26.09 Matugga-Kasangati-24h'!K19,'28.09 Matugga-Kasangati-24h'!K19,'29.09 Matugga-Kasangati'!K19)</f>
        <v>0</v>
      </c>
      <c r="L19" s="49">
        <f>AVERAGE('23.09- Matuga -Kasangati'!L19,'24.09 Matugga-Kasangati'!L19,'25.09 Matugga-Kasangati'!L19,'27.09 Kasangati-Matugga'!L19,'26.09 Matugga-Kasangati-24h'!L19,'28.09 Matugga-Kasangati-24h'!L19,'29.09 Matugga-Kasangati'!L19)</f>
        <v>0</v>
      </c>
      <c r="M19" s="49">
        <f>AVERAGE('23.09- Matuga -Kasangati'!M19,'24.09 Matugga-Kasangati'!M19,'25.09 Matugga-Kasangati'!M19,'27.09 Kasangati-Matugga'!M19,'26.09 Matugga-Kasangati-24h'!M19,'28.09 Matugga-Kasangati-24h'!M19,'29.09 Matugga-Kasangati'!M19)</f>
        <v>50.571428571428569</v>
      </c>
      <c r="N19" s="49">
        <f>AVERAGE('23.09- Matuga -Kasangati'!N19,'24.09 Matugga-Kasangati'!N19,'25.09 Matugga-Kasangati'!N19,'27.09 Kasangati-Matugga'!N19,'26.09 Matugga-Kasangati-24h'!N19,'28.09 Matugga-Kasangati-24h'!N19,'29.09 Matugga-Kasangati'!N19)</f>
        <v>0</v>
      </c>
      <c r="O19" s="15">
        <f t="shared" si="0"/>
        <v>25.285714285714288</v>
      </c>
      <c r="P19" s="15">
        <f t="shared" si="1"/>
        <v>75.857142857142861</v>
      </c>
      <c r="R19" s="1" t="s">
        <v>15</v>
      </c>
      <c r="S19" s="17">
        <f t="shared" ref="S19:AF19" si="11">SUM(C46:C49)</f>
        <v>52.285714285714285</v>
      </c>
      <c r="T19" s="17">
        <f t="shared" si="11"/>
        <v>11.285714285714285</v>
      </c>
      <c r="U19" s="17">
        <f t="shared" si="11"/>
        <v>8.8571428571428577</v>
      </c>
      <c r="V19" s="17">
        <f t="shared" si="11"/>
        <v>12.571428571428571</v>
      </c>
      <c r="W19" s="17">
        <f t="shared" si="11"/>
        <v>0.5714285714285714</v>
      </c>
      <c r="X19" s="17">
        <f t="shared" si="11"/>
        <v>0</v>
      </c>
      <c r="Y19" s="17">
        <f t="shared" si="11"/>
        <v>11</v>
      </c>
      <c r="Z19" s="17">
        <f t="shared" si="11"/>
        <v>2.5714285714285712</v>
      </c>
      <c r="AA19" s="17">
        <f t="shared" si="11"/>
        <v>1.1428571428571428</v>
      </c>
      <c r="AB19" s="17">
        <f t="shared" si="11"/>
        <v>0.2857142857142857</v>
      </c>
      <c r="AC19" s="17">
        <f t="shared" si="11"/>
        <v>142</v>
      </c>
      <c r="AD19" s="17">
        <f t="shared" si="11"/>
        <v>0.14285714285714285</v>
      </c>
      <c r="AE19" s="31">
        <f t="shared" si="11"/>
        <v>100.71428571428572</v>
      </c>
      <c r="AF19" s="31">
        <f t="shared" si="11"/>
        <v>242.71428571428572</v>
      </c>
    </row>
    <row r="20" spans="2:32" ht="23.1" customHeight="1" x14ac:dyDescent="0.25">
      <c r="B20" s="23" t="s">
        <v>47</v>
      </c>
      <c r="C20" s="49">
        <f>AVERAGE('23.09- Matuga -Kasangati'!C20,'24.09 Matugga-Kasangati'!C20,'25.09 Matugga-Kasangati'!C20,'27.09 Kasangati-Matugga'!C20,'26.09 Matugga-Kasangati-24h'!C20,'28.09 Matugga-Kasangati-24h'!C20,'29.09 Matugga-Kasangati'!C20)</f>
        <v>10</v>
      </c>
      <c r="D20" s="49">
        <f>AVERAGE('23.09- Matuga -Kasangati'!D20,'24.09 Matugga-Kasangati'!D20,'25.09 Matugga-Kasangati'!D20,'27.09 Kasangati-Matugga'!D20,'26.09 Matugga-Kasangati-24h'!D20,'28.09 Matugga-Kasangati-24h'!D20,'29.09 Matugga-Kasangati'!D20)</f>
        <v>3.1428571428571428</v>
      </c>
      <c r="E20" s="49">
        <f>AVERAGE('23.09- Matuga -Kasangati'!E20,'24.09 Matugga-Kasangati'!E20,'25.09 Matugga-Kasangati'!E20,'27.09 Kasangati-Matugga'!E20,'26.09 Matugga-Kasangati-24h'!E20,'28.09 Matugga-Kasangati-24h'!E20,'29.09 Matugga-Kasangati'!E20)</f>
        <v>1.7142857142857142</v>
      </c>
      <c r="F20" s="49">
        <f>AVERAGE('23.09- Matuga -Kasangati'!F20,'24.09 Matugga-Kasangati'!F20,'25.09 Matugga-Kasangati'!F20,'27.09 Kasangati-Matugga'!F20,'26.09 Matugga-Kasangati-24h'!F20,'28.09 Matugga-Kasangati-24h'!F20,'29.09 Matugga-Kasangati'!F20)</f>
        <v>2.5714285714285716</v>
      </c>
      <c r="G20" s="49">
        <f>AVERAGE('23.09- Matuga -Kasangati'!G20,'24.09 Matugga-Kasangati'!G20,'25.09 Matugga-Kasangati'!G20,'27.09 Kasangati-Matugga'!G20,'26.09 Matugga-Kasangati-24h'!G20,'28.09 Matugga-Kasangati-24h'!G20,'29.09 Matugga-Kasangati'!G20)</f>
        <v>0</v>
      </c>
      <c r="H20" s="49">
        <f>AVERAGE('23.09- Matuga -Kasangati'!H20,'24.09 Matugga-Kasangati'!H20,'25.09 Matugga-Kasangati'!H20,'27.09 Kasangati-Matugga'!H20,'26.09 Matugga-Kasangati-24h'!H20,'28.09 Matugga-Kasangati-24h'!H20,'29.09 Matugga-Kasangati'!H20)</f>
        <v>0.14285714285714285</v>
      </c>
      <c r="I20" s="49">
        <f>AVERAGE('23.09- Matuga -Kasangati'!I20,'24.09 Matugga-Kasangati'!I20,'25.09 Matugga-Kasangati'!I20,'27.09 Kasangati-Matugga'!I20,'26.09 Matugga-Kasangati-24h'!I20,'28.09 Matugga-Kasangati-24h'!I20,'29.09 Matugga-Kasangati'!I20)</f>
        <v>2</v>
      </c>
      <c r="J20" s="49">
        <f>AVERAGE('23.09- Matuga -Kasangati'!J20,'24.09 Matugga-Kasangati'!J20,'25.09 Matugga-Kasangati'!J20,'27.09 Kasangati-Matugga'!J20,'26.09 Matugga-Kasangati-24h'!J20,'28.09 Matugga-Kasangati-24h'!J20,'29.09 Matugga-Kasangati'!J20)</f>
        <v>0.42857142857142855</v>
      </c>
      <c r="K20" s="49">
        <f>AVERAGE('23.09- Matuga -Kasangati'!K20,'24.09 Matugga-Kasangati'!K20,'25.09 Matugga-Kasangati'!K20,'27.09 Kasangati-Matugga'!K20,'26.09 Matugga-Kasangati-24h'!K20,'28.09 Matugga-Kasangati-24h'!K20,'29.09 Matugga-Kasangati'!K20)</f>
        <v>0.14285714285714285</v>
      </c>
      <c r="L20" s="49">
        <f>AVERAGE('23.09- Matuga -Kasangati'!L20,'24.09 Matugga-Kasangati'!L20,'25.09 Matugga-Kasangati'!L20,'27.09 Kasangati-Matugga'!L20,'26.09 Matugga-Kasangati-24h'!L20,'28.09 Matugga-Kasangati-24h'!L20,'29.09 Matugga-Kasangati'!L20)</f>
        <v>0.14285714285714285</v>
      </c>
      <c r="M20" s="49">
        <f>AVERAGE('23.09- Matuga -Kasangati'!M20,'24.09 Matugga-Kasangati'!M20,'25.09 Matugga-Kasangati'!M20,'27.09 Kasangati-Matugga'!M20,'26.09 Matugga-Kasangati-24h'!M20,'28.09 Matugga-Kasangati-24h'!M20,'29.09 Matugga-Kasangati'!M20)</f>
        <v>44.142857142857146</v>
      </c>
      <c r="N20" s="49">
        <f>AVERAGE('23.09- Matuga -Kasangati'!N20,'24.09 Matugga-Kasangati'!N20,'25.09 Matugga-Kasangati'!N20,'27.09 Kasangati-Matugga'!N20,'26.09 Matugga-Kasangati-24h'!N20,'28.09 Matugga-Kasangati-24h'!N20,'29.09 Matugga-Kasangati'!N20)</f>
        <v>0</v>
      </c>
      <c r="O20" s="15">
        <f t="shared" si="0"/>
        <v>20.285714285714281</v>
      </c>
      <c r="P20" s="15">
        <f t="shared" si="1"/>
        <v>64.428571428571431</v>
      </c>
      <c r="R20" s="1" t="s">
        <v>16</v>
      </c>
      <c r="S20" s="17">
        <f t="shared" ref="S20:AF20" si="12">SUM(C50:C53)</f>
        <v>57</v>
      </c>
      <c r="T20" s="17">
        <f t="shared" si="12"/>
        <v>14.857142857142858</v>
      </c>
      <c r="U20" s="17">
        <f t="shared" si="12"/>
        <v>11.714285714285715</v>
      </c>
      <c r="V20" s="17">
        <f t="shared" si="12"/>
        <v>21.428571428571431</v>
      </c>
      <c r="W20" s="17">
        <f t="shared" si="12"/>
        <v>0</v>
      </c>
      <c r="X20" s="17">
        <f t="shared" si="12"/>
        <v>0</v>
      </c>
      <c r="Y20" s="17">
        <f t="shared" si="12"/>
        <v>11.714285714285714</v>
      </c>
      <c r="Z20" s="17">
        <f t="shared" si="12"/>
        <v>2.4285714285714288</v>
      </c>
      <c r="AA20" s="17">
        <f t="shared" si="12"/>
        <v>1.2857142857142856</v>
      </c>
      <c r="AB20" s="17">
        <f t="shared" si="12"/>
        <v>0.2857142857142857</v>
      </c>
      <c r="AC20" s="17">
        <f t="shared" si="12"/>
        <v>173.85714285714286</v>
      </c>
      <c r="AD20" s="17">
        <f t="shared" si="12"/>
        <v>0</v>
      </c>
      <c r="AE20" s="31">
        <f t="shared" si="12"/>
        <v>120.71428571428572</v>
      </c>
      <c r="AF20" s="31">
        <f t="shared" si="12"/>
        <v>294.57142857142856</v>
      </c>
    </row>
    <row r="21" spans="2:32" ht="23.1" customHeight="1" x14ac:dyDescent="0.25">
      <c r="B21" s="23" t="s">
        <v>48</v>
      </c>
      <c r="C21" s="49">
        <f>AVERAGE('23.09- Matuga -Kasangati'!C21,'24.09 Matugga-Kasangati'!C21,'25.09 Matugga-Kasangati'!C21,'27.09 Kasangati-Matugga'!C21,'26.09 Matugga-Kasangati-24h'!C21,'28.09 Matugga-Kasangati-24h'!C21,'29.09 Matugga-Kasangati'!C21)</f>
        <v>11</v>
      </c>
      <c r="D21" s="49">
        <f>AVERAGE('23.09- Matuga -Kasangati'!D21,'24.09 Matugga-Kasangati'!D21,'25.09 Matugga-Kasangati'!D21,'27.09 Kasangati-Matugga'!D21,'26.09 Matugga-Kasangati-24h'!D21,'28.09 Matugga-Kasangati-24h'!D21,'29.09 Matugga-Kasangati'!D21)</f>
        <v>1.5714285714285714</v>
      </c>
      <c r="E21" s="49">
        <f>AVERAGE('23.09- Matuga -Kasangati'!E21,'24.09 Matugga-Kasangati'!E21,'25.09 Matugga-Kasangati'!E21,'27.09 Kasangati-Matugga'!E21,'26.09 Matugga-Kasangati-24h'!E21,'28.09 Matugga-Kasangati-24h'!E21,'29.09 Matugga-Kasangati'!E21)</f>
        <v>2</v>
      </c>
      <c r="F21" s="49">
        <f>AVERAGE('23.09- Matuga -Kasangati'!F21,'24.09 Matugga-Kasangati'!F21,'25.09 Matugga-Kasangati'!F21,'27.09 Kasangati-Matugga'!F21,'26.09 Matugga-Kasangati-24h'!F21,'28.09 Matugga-Kasangati-24h'!F21,'29.09 Matugga-Kasangati'!F21)</f>
        <v>3</v>
      </c>
      <c r="G21" s="49">
        <f>AVERAGE('23.09- Matuga -Kasangati'!G21,'24.09 Matugga-Kasangati'!G21,'25.09 Matugga-Kasangati'!G21,'27.09 Kasangati-Matugga'!G21,'26.09 Matugga-Kasangati-24h'!G21,'28.09 Matugga-Kasangati-24h'!G21,'29.09 Matugga-Kasangati'!G21)</f>
        <v>0.14285714285714285</v>
      </c>
      <c r="H21" s="49">
        <f>AVERAGE('23.09- Matuga -Kasangati'!H21,'24.09 Matugga-Kasangati'!H21,'25.09 Matugga-Kasangati'!H21,'27.09 Kasangati-Matugga'!H21,'26.09 Matugga-Kasangati-24h'!H21,'28.09 Matugga-Kasangati-24h'!H21,'29.09 Matugga-Kasangati'!H21)</f>
        <v>0</v>
      </c>
      <c r="I21" s="49">
        <f>AVERAGE('23.09- Matuga -Kasangati'!I21,'24.09 Matugga-Kasangati'!I21,'25.09 Matugga-Kasangati'!I21,'27.09 Kasangati-Matugga'!I21,'26.09 Matugga-Kasangati-24h'!I21,'28.09 Matugga-Kasangati-24h'!I21,'29.09 Matugga-Kasangati'!I21)</f>
        <v>3.5714285714285716</v>
      </c>
      <c r="J21" s="49">
        <f>AVERAGE('23.09- Matuga -Kasangati'!J21,'24.09 Matugga-Kasangati'!J21,'25.09 Matugga-Kasangati'!J21,'27.09 Kasangati-Matugga'!J21,'26.09 Matugga-Kasangati-24h'!J21,'28.09 Matugga-Kasangati-24h'!J21,'29.09 Matugga-Kasangati'!J21)</f>
        <v>0.2857142857142857</v>
      </c>
      <c r="K21" s="49">
        <f>AVERAGE('23.09- Matuga -Kasangati'!K21,'24.09 Matugga-Kasangati'!K21,'25.09 Matugga-Kasangati'!K21,'27.09 Kasangati-Matugga'!K21,'26.09 Matugga-Kasangati-24h'!K21,'28.09 Matugga-Kasangati-24h'!K21,'29.09 Matugga-Kasangati'!K21)</f>
        <v>0.2857142857142857</v>
      </c>
      <c r="L21" s="49">
        <f>AVERAGE('23.09- Matuga -Kasangati'!L21,'24.09 Matugga-Kasangati'!L21,'25.09 Matugga-Kasangati'!L21,'27.09 Kasangati-Matugga'!L21,'26.09 Matugga-Kasangati-24h'!L21,'28.09 Matugga-Kasangati-24h'!L21,'29.09 Matugga-Kasangati'!L21)</f>
        <v>0</v>
      </c>
      <c r="M21" s="49">
        <f>AVERAGE('23.09- Matuga -Kasangati'!M21,'24.09 Matugga-Kasangati'!M21,'25.09 Matugga-Kasangati'!M21,'27.09 Kasangati-Matugga'!M21,'26.09 Matugga-Kasangati-24h'!M21,'28.09 Matugga-Kasangati-24h'!M21,'29.09 Matugga-Kasangati'!M21)</f>
        <v>40</v>
      </c>
      <c r="N21" s="49">
        <f>AVERAGE('23.09- Matuga -Kasangati'!N21,'24.09 Matugga-Kasangati'!N21,'25.09 Matugga-Kasangati'!N21,'27.09 Kasangati-Matugga'!N21,'26.09 Matugga-Kasangati-24h'!N21,'28.09 Matugga-Kasangati-24h'!N21,'29.09 Matugga-Kasangati'!N21)</f>
        <v>0</v>
      </c>
      <c r="O21" s="15">
        <f t="shared" si="0"/>
        <v>21.857142857142854</v>
      </c>
      <c r="P21" s="15">
        <f t="shared" si="1"/>
        <v>61.857142857142854</v>
      </c>
      <c r="R21" s="36" t="s">
        <v>20</v>
      </c>
      <c r="S21" s="34">
        <f t="shared" ref="S21:AF21" si="13">SUM(C54:C57)</f>
        <v>74.428571428571416</v>
      </c>
      <c r="T21" s="17">
        <f t="shared" si="13"/>
        <v>16</v>
      </c>
      <c r="U21" s="17">
        <f t="shared" si="13"/>
        <v>16.285714285714285</v>
      </c>
      <c r="V21" s="17">
        <f t="shared" si="13"/>
        <v>21.857142857142858</v>
      </c>
      <c r="W21" s="17">
        <f t="shared" si="13"/>
        <v>1.7142857142857142</v>
      </c>
      <c r="X21" s="17">
        <f t="shared" si="13"/>
        <v>0</v>
      </c>
      <c r="Y21" s="17">
        <f t="shared" si="13"/>
        <v>10.285714285714286</v>
      </c>
      <c r="Z21" s="17">
        <f t="shared" si="13"/>
        <v>2.4285714285714284</v>
      </c>
      <c r="AA21" s="17">
        <f t="shared" si="13"/>
        <v>1</v>
      </c>
      <c r="AB21" s="17">
        <f t="shared" si="13"/>
        <v>0</v>
      </c>
      <c r="AC21" s="17">
        <f t="shared" si="13"/>
        <v>168.42857142857142</v>
      </c>
      <c r="AD21" s="17">
        <f t="shared" si="13"/>
        <v>0.14285714285714285</v>
      </c>
      <c r="AE21" s="31">
        <f t="shared" si="13"/>
        <v>144.14285714285714</v>
      </c>
      <c r="AF21" s="31">
        <f t="shared" si="13"/>
        <v>312.57142857142856</v>
      </c>
    </row>
    <row r="22" spans="2:32" ht="23.1" customHeight="1" x14ac:dyDescent="0.25">
      <c r="B22" s="23" t="s">
        <v>49</v>
      </c>
      <c r="C22" s="49">
        <f>AVERAGE('23.09- Matuga -Kasangati'!C22,'24.09 Matugga-Kasangati'!C22,'25.09 Matugga-Kasangati'!C22,'27.09 Kasangati-Matugga'!C22,'26.09 Matugga-Kasangati-24h'!C22,'28.09 Matugga-Kasangati-24h'!C22,'29.09 Matugga-Kasangati'!C22)</f>
        <v>12.714285714285714</v>
      </c>
      <c r="D22" s="49">
        <f>AVERAGE('23.09- Matuga -Kasangati'!D22,'24.09 Matugga-Kasangati'!D22,'25.09 Matugga-Kasangati'!D22,'27.09 Kasangati-Matugga'!D22,'26.09 Matugga-Kasangati-24h'!D22,'28.09 Matugga-Kasangati-24h'!D22,'29.09 Matugga-Kasangati'!D22)</f>
        <v>4.2857142857142856</v>
      </c>
      <c r="E22" s="49">
        <f>AVERAGE('23.09- Matuga -Kasangati'!E22,'24.09 Matugga-Kasangati'!E22,'25.09 Matugga-Kasangati'!E22,'27.09 Kasangati-Matugga'!E22,'26.09 Matugga-Kasangati-24h'!E22,'28.09 Matugga-Kasangati-24h'!E22,'29.09 Matugga-Kasangati'!E22)</f>
        <v>2.4285714285714284</v>
      </c>
      <c r="F22" s="49">
        <f>AVERAGE('23.09- Matuga -Kasangati'!F22,'24.09 Matugga-Kasangati'!F22,'25.09 Matugga-Kasangati'!F22,'27.09 Kasangati-Matugga'!F22,'26.09 Matugga-Kasangati-24h'!F22,'28.09 Matugga-Kasangati-24h'!F22,'29.09 Matugga-Kasangati'!F22)</f>
        <v>1.7142857142857142</v>
      </c>
      <c r="G22" s="49">
        <f>AVERAGE('23.09- Matuga -Kasangati'!G22,'24.09 Matugga-Kasangati'!G22,'25.09 Matugga-Kasangati'!G22,'27.09 Kasangati-Matugga'!G22,'26.09 Matugga-Kasangati-24h'!G22,'28.09 Matugga-Kasangati-24h'!G22,'29.09 Matugga-Kasangati'!G22)</f>
        <v>0</v>
      </c>
      <c r="H22" s="49">
        <f>AVERAGE('23.09- Matuga -Kasangati'!H22,'24.09 Matugga-Kasangati'!H22,'25.09 Matugga-Kasangati'!H22,'27.09 Kasangati-Matugga'!H22,'26.09 Matugga-Kasangati-24h'!H22,'28.09 Matugga-Kasangati-24h'!H22,'29.09 Matugga-Kasangati'!H22)</f>
        <v>0</v>
      </c>
      <c r="I22" s="49">
        <f>AVERAGE('23.09- Matuga -Kasangati'!I22,'24.09 Matugga-Kasangati'!I22,'25.09 Matugga-Kasangati'!I22,'27.09 Kasangati-Matugga'!I22,'26.09 Matugga-Kasangati-24h'!I22,'28.09 Matugga-Kasangati-24h'!I22,'29.09 Matugga-Kasangati'!I22)</f>
        <v>3.1428571428571428</v>
      </c>
      <c r="J22" s="49">
        <f>AVERAGE('23.09- Matuga -Kasangati'!J22,'24.09 Matugga-Kasangati'!J22,'25.09 Matugga-Kasangati'!J22,'27.09 Kasangati-Matugga'!J22,'26.09 Matugga-Kasangati-24h'!J22,'28.09 Matugga-Kasangati-24h'!J22,'29.09 Matugga-Kasangati'!J22)</f>
        <v>0.5714285714285714</v>
      </c>
      <c r="K22" s="49">
        <f>AVERAGE('23.09- Matuga -Kasangati'!K22,'24.09 Matugga-Kasangati'!K22,'25.09 Matugga-Kasangati'!K22,'27.09 Kasangati-Matugga'!K22,'26.09 Matugga-Kasangati-24h'!K22,'28.09 Matugga-Kasangati-24h'!K22,'29.09 Matugga-Kasangati'!K22)</f>
        <v>0.14285714285714285</v>
      </c>
      <c r="L22" s="49">
        <f>AVERAGE('23.09- Matuga -Kasangati'!L22,'24.09 Matugga-Kasangati'!L22,'25.09 Matugga-Kasangati'!L22,'27.09 Kasangati-Matugga'!L22,'26.09 Matugga-Kasangati-24h'!L22,'28.09 Matugga-Kasangati-24h'!L22,'29.09 Matugga-Kasangati'!L22)</f>
        <v>0.14285714285714285</v>
      </c>
      <c r="M22" s="49">
        <f>AVERAGE('23.09- Matuga -Kasangati'!M22,'24.09 Matugga-Kasangati'!M22,'25.09 Matugga-Kasangati'!M22,'27.09 Kasangati-Matugga'!M22,'26.09 Matugga-Kasangati-24h'!M22,'28.09 Matugga-Kasangati-24h'!M22,'29.09 Matugga-Kasangati'!M22)</f>
        <v>46.285714285714285</v>
      </c>
      <c r="N22" s="49">
        <f>AVERAGE('23.09- Matuga -Kasangati'!N22,'24.09 Matugga-Kasangati'!N22,'25.09 Matugga-Kasangati'!N22,'27.09 Kasangati-Matugga'!N22,'26.09 Matugga-Kasangati-24h'!N22,'28.09 Matugga-Kasangati-24h'!N22,'29.09 Matugga-Kasangati'!N22)</f>
        <v>0</v>
      </c>
      <c r="O22" s="15">
        <f t="shared" si="0"/>
        <v>25.142857142857142</v>
      </c>
      <c r="P22" s="15">
        <f t="shared" si="1"/>
        <v>71.428571428571431</v>
      </c>
      <c r="R22" s="102" t="s">
        <v>146</v>
      </c>
      <c r="S22" s="133">
        <f>SUM(C58:C61)</f>
        <v>65</v>
      </c>
      <c r="T22" s="133">
        <f t="shared" ref="T22:AF22" si="14">SUM(D58:D61)</f>
        <v>15.5</v>
      </c>
      <c r="U22" s="133">
        <f t="shared" si="14"/>
        <v>12</v>
      </c>
      <c r="V22" s="133">
        <f t="shared" si="14"/>
        <v>19</v>
      </c>
      <c r="W22" s="133">
        <f t="shared" si="14"/>
        <v>1</v>
      </c>
      <c r="X22" s="133">
        <f t="shared" si="14"/>
        <v>0</v>
      </c>
      <c r="Y22" s="133">
        <f t="shared" si="14"/>
        <v>6</v>
      </c>
      <c r="Z22" s="133">
        <f t="shared" si="14"/>
        <v>1.5</v>
      </c>
      <c r="AA22" s="133">
        <f t="shared" si="14"/>
        <v>0.5</v>
      </c>
      <c r="AB22" s="133">
        <f t="shared" si="14"/>
        <v>1.5</v>
      </c>
      <c r="AC22" s="133">
        <f t="shared" si="14"/>
        <v>214.5</v>
      </c>
      <c r="AD22" s="133">
        <f t="shared" si="14"/>
        <v>0</v>
      </c>
      <c r="AE22" s="146">
        <f t="shared" si="14"/>
        <v>122</v>
      </c>
      <c r="AF22" s="146">
        <f t="shared" si="14"/>
        <v>336.5</v>
      </c>
    </row>
    <row r="23" spans="2:32" ht="23.1" customHeight="1" x14ac:dyDescent="0.25">
      <c r="B23" s="23" t="s">
        <v>50</v>
      </c>
      <c r="C23" s="49">
        <f>AVERAGE('23.09- Matuga -Kasangati'!C23,'24.09 Matugga-Kasangati'!C23,'25.09 Matugga-Kasangati'!C23,'27.09 Kasangati-Matugga'!C23,'26.09 Matugga-Kasangati-24h'!C23,'28.09 Matugga-Kasangati-24h'!C23,'29.09 Matugga-Kasangati'!C23)</f>
        <v>9.4285714285714288</v>
      </c>
      <c r="D23" s="49">
        <f>AVERAGE('23.09- Matuga -Kasangati'!D23,'24.09 Matugga-Kasangati'!D23,'25.09 Matugga-Kasangati'!D23,'27.09 Kasangati-Matugga'!D23,'26.09 Matugga-Kasangati-24h'!D23,'28.09 Matugga-Kasangati-24h'!D23,'29.09 Matugga-Kasangati'!D23)</f>
        <v>2.8571428571428572</v>
      </c>
      <c r="E23" s="49">
        <f>AVERAGE('23.09- Matuga -Kasangati'!E23,'24.09 Matugga-Kasangati'!E23,'25.09 Matugga-Kasangati'!E23,'27.09 Kasangati-Matugga'!E23,'26.09 Matugga-Kasangati-24h'!E23,'28.09 Matugga-Kasangati-24h'!E23,'29.09 Matugga-Kasangati'!E23)</f>
        <v>1.8571428571428572</v>
      </c>
      <c r="F23" s="49">
        <f>AVERAGE('23.09- Matuga -Kasangati'!F23,'24.09 Matugga-Kasangati'!F23,'25.09 Matugga-Kasangati'!F23,'27.09 Kasangati-Matugga'!F23,'26.09 Matugga-Kasangati-24h'!F23,'28.09 Matugga-Kasangati-24h'!F23,'29.09 Matugga-Kasangati'!F23)</f>
        <v>2</v>
      </c>
      <c r="G23" s="49">
        <f>AVERAGE('23.09- Matuga -Kasangati'!G23,'24.09 Matugga-Kasangati'!G23,'25.09 Matugga-Kasangati'!G23,'27.09 Kasangati-Matugga'!G23,'26.09 Matugga-Kasangati-24h'!G23,'28.09 Matugga-Kasangati-24h'!G23,'29.09 Matugga-Kasangati'!G23)</f>
        <v>0.14285714285714285</v>
      </c>
      <c r="H23" s="49">
        <f>AVERAGE('23.09- Matuga -Kasangati'!H23,'24.09 Matugga-Kasangati'!H23,'25.09 Matugga-Kasangati'!H23,'27.09 Kasangati-Matugga'!H23,'26.09 Matugga-Kasangati-24h'!H23,'28.09 Matugga-Kasangati-24h'!H23,'29.09 Matugga-Kasangati'!H23)</f>
        <v>0</v>
      </c>
      <c r="I23" s="49">
        <f>AVERAGE('23.09- Matuga -Kasangati'!I23,'24.09 Matugga-Kasangati'!I23,'25.09 Matugga-Kasangati'!I23,'27.09 Kasangati-Matugga'!I23,'26.09 Matugga-Kasangati-24h'!I23,'28.09 Matugga-Kasangati-24h'!I23,'29.09 Matugga-Kasangati'!I23)</f>
        <v>2.7142857142857144</v>
      </c>
      <c r="J23" s="49">
        <f>AVERAGE('23.09- Matuga -Kasangati'!J23,'24.09 Matugga-Kasangati'!J23,'25.09 Matugga-Kasangati'!J23,'27.09 Kasangati-Matugga'!J23,'26.09 Matugga-Kasangati-24h'!J23,'28.09 Matugga-Kasangati-24h'!J23,'29.09 Matugga-Kasangati'!J23)</f>
        <v>0.42857142857142855</v>
      </c>
      <c r="K23" s="49">
        <f>AVERAGE('23.09- Matuga -Kasangati'!K23,'24.09 Matugga-Kasangati'!K23,'25.09 Matugga-Kasangati'!K23,'27.09 Kasangati-Matugga'!K23,'26.09 Matugga-Kasangati-24h'!K23,'28.09 Matugga-Kasangati-24h'!K23,'29.09 Matugga-Kasangati'!K23)</f>
        <v>0.14285714285714285</v>
      </c>
      <c r="L23" s="49">
        <f>AVERAGE('23.09- Matuga -Kasangati'!L23,'24.09 Matugga-Kasangati'!L23,'25.09 Matugga-Kasangati'!L23,'27.09 Kasangati-Matugga'!L23,'26.09 Matugga-Kasangati-24h'!L23,'28.09 Matugga-Kasangati-24h'!L23,'29.09 Matugga-Kasangati'!L23)</f>
        <v>0</v>
      </c>
      <c r="M23" s="49">
        <f>AVERAGE('23.09- Matuga -Kasangati'!M23,'24.09 Matugga-Kasangati'!M23,'25.09 Matugga-Kasangati'!M23,'27.09 Kasangati-Matugga'!M23,'26.09 Matugga-Kasangati-24h'!M23,'28.09 Matugga-Kasangati-24h'!M23,'29.09 Matugga-Kasangati'!M23)</f>
        <v>38</v>
      </c>
      <c r="N23" s="49">
        <f>AVERAGE('23.09- Matuga -Kasangati'!N23,'24.09 Matugga-Kasangati'!N23,'25.09 Matugga-Kasangati'!N23,'27.09 Kasangati-Matugga'!N23,'26.09 Matugga-Kasangati-24h'!N23,'28.09 Matugga-Kasangati-24h'!N23,'29.09 Matugga-Kasangati'!N23)</f>
        <v>0</v>
      </c>
      <c r="O23" s="15">
        <f t="shared" si="0"/>
        <v>19.571428571428573</v>
      </c>
      <c r="P23" s="15">
        <f t="shared" si="1"/>
        <v>57.571428571428569</v>
      </c>
      <c r="R23" s="102" t="s">
        <v>147</v>
      </c>
      <c r="S23" s="133">
        <f>SUM(C62:C65)</f>
        <v>60.5</v>
      </c>
      <c r="T23" s="133">
        <f t="shared" ref="T23:AF23" si="15">SUM(D62:D65)</f>
        <v>15</v>
      </c>
      <c r="U23" s="133">
        <f t="shared" si="15"/>
        <v>13.5</v>
      </c>
      <c r="V23" s="133">
        <f t="shared" si="15"/>
        <v>16.5</v>
      </c>
      <c r="W23" s="133">
        <f t="shared" si="15"/>
        <v>0</v>
      </c>
      <c r="X23" s="133">
        <f t="shared" si="15"/>
        <v>0</v>
      </c>
      <c r="Y23" s="133">
        <f t="shared" si="15"/>
        <v>5.5</v>
      </c>
      <c r="Z23" s="133">
        <f t="shared" si="15"/>
        <v>3</v>
      </c>
      <c r="AA23" s="133">
        <f t="shared" si="15"/>
        <v>2.5</v>
      </c>
      <c r="AB23" s="133">
        <f t="shared" si="15"/>
        <v>0.5</v>
      </c>
      <c r="AC23" s="133">
        <f t="shared" si="15"/>
        <v>190.5</v>
      </c>
      <c r="AD23" s="133">
        <f t="shared" si="15"/>
        <v>0</v>
      </c>
      <c r="AE23" s="146">
        <f t="shared" si="15"/>
        <v>117</v>
      </c>
      <c r="AF23" s="146">
        <f t="shared" si="15"/>
        <v>307.5</v>
      </c>
    </row>
    <row r="24" spans="2:32" ht="23.1" customHeight="1" x14ac:dyDescent="0.25">
      <c r="B24" s="23" t="s">
        <v>51</v>
      </c>
      <c r="C24" s="49">
        <f>AVERAGE('23.09- Matuga -Kasangati'!C24,'24.09 Matugga-Kasangati'!C24,'25.09 Matugga-Kasangati'!C24,'27.09 Kasangati-Matugga'!C24,'26.09 Matugga-Kasangati-24h'!C24,'28.09 Matugga-Kasangati-24h'!C24,'29.09 Matugga-Kasangati'!C24)</f>
        <v>9.8571428571428577</v>
      </c>
      <c r="D24" s="49">
        <f>AVERAGE('23.09- Matuga -Kasangati'!D24,'24.09 Matugga-Kasangati'!D24,'25.09 Matugga-Kasangati'!D24,'27.09 Kasangati-Matugga'!D24,'26.09 Matugga-Kasangati-24h'!D24,'28.09 Matugga-Kasangati-24h'!D24,'29.09 Matugga-Kasangati'!D24)</f>
        <v>2.5714285714285716</v>
      </c>
      <c r="E24" s="49">
        <f>AVERAGE('23.09- Matuga -Kasangati'!E24,'24.09 Matugga-Kasangati'!E24,'25.09 Matugga-Kasangati'!E24,'27.09 Kasangati-Matugga'!E24,'26.09 Matugga-Kasangati-24h'!E24,'28.09 Matugga-Kasangati-24h'!E24,'29.09 Matugga-Kasangati'!E24)</f>
        <v>1.7142857142857142</v>
      </c>
      <c r="F24" s="49">
        <f>AVERAGE('23.09- Matuga -Kasangati'!F24,'24.09 Matugga-Kasangati'!F24,'25.09 Matugga-Kasangati'!F24,'27.09 Kasangati-Matugga'!F24,'26.09 Matugga-Kasangati-24h'!F24,'28.09 Matugga-Kasangati-24h'!F24,'29.09 Matugga-Kasangati'!F24)</f>
        <v>2.5714285714285716</v>
      </c>
      <c r="G24" s="49">
        <f>AVERAGE('23.09- Matuga -Kasangati'!G24,'24.09 Matugga-Kasangati'!G24,'25.09 Matugga-Kasangati'!G24,'27.09 Kasangati-Matugga'!G24,'26.09 Matugga-Kasangati-24h'!G24,'28.09 Matugga-Kasangati-24h'!G24,'29.09 Matugga-Kasangati'!G24)</f>
        <v>0</v>
      </c>
      <c r="H24" s="49">
        <f>AVERAGE('23.09- Matuga -Kasangati'!H24,'24.09 Matugga-Kasangati'!H24,'25.09 Matugga-Kasangati'!H24,'27.09 Kasangati-Matugga'!H24,'26.09 Matugga-Kasangati-24h'!H24,'28.09 Matugga-Kasangati-24h'!H24,'29.09 Matugga-Kasangati'!H24)</f>
        <v>0</v>
      </c>
      <c r="I24" s="49">
        <f>AVERAGE('23.09- Matuga -Kasangati'!I24,'24.09 Matugga-Kasangati'!I24,'25.09 Matugga-Kasangati'!I24,'27.09 Kasangati-Matugga'!I24,'26.09 Matugga-Kasangati-24h'!I24,'28.09 Matugga-Kasangati-24h'!I24,'29.09 Matugga-Kasangati'!I24)</f>
        <v>3.4285714285714284</v>
      </c>
      <c r="J24" s="49">
        <f>AVERAGE('23.09- Matuga -Kasangati'!J24,'24.09 Matugga-Kasangati'!J24,'25.09 Matugga-Kasangati'!J24,'27.09 Kasangati-Matugga'!J24,'26.09 Matugga-Kasangati-24h'!J24,'28.09 Matugga-Kasangati-24h'!J24,'29.09 Matugga-Kasangati'!J24)</f>
        <v>1</v>
      </c>
      <c r="K24" s="49">
        <f>AVERAGE('23.09- Matuga -Kasangati'!K24,'24.09 Matugga-Kasangati'!K24,'25.09 Matugga-Kasangati'!K24,'27.09 Kasangati-Matugga'!K24,'26.09 Matugga-Kasangati-24h'!K24,'28.09 Matugga-Kasangati-24h'!K24,'29.09 Matugga-Kasangati'!K24)</f>
        <v>0</v>
      </c>
      <c r="L24" s="49">
        <f>AVERAGE('23.09- Matuga -Kasangati'!L24,'24.09 Matugga-Kasangati'!L24,'25.09 Matugga-Kasangati'!L24,'27.09 Kasangati-Matugga'!L24,'26.09 Matugga-Kasangati-24h'!L24,'28.09 Matugga-Kasangati-24h'!L24,'29.09 Matugga-Kasangati'!L24)</f>
        <v>0.14285714285714285</v>
      </c>
      <c r="M24" s="49">
        <f>AVERAGE('23.09- Matuga -Kasangati'!M24,'24.09 Matugga-Kasangati'!M24,'25.09 Matugga-Kasangati'!M24,'27.09 Kasangati-Matugga'!M24,'26.09 Matugga-Kasangati-24h'!M24,'28.09 Matugga-Kasangati-24h'!M24,'29.09 Matugga-Kasangati'!M24)</f>
        <v>38.714285714285715</v>
      </c>
      <c r="N24" s="49">
        <f>AVERAGE('23.09- Matuga -Kasangati'!N24,'24.09 Matugga-Kasangati'!N24,'25.09 Matugga-Kasangati'!N24,'27.09 Kasangati-Matugga'!N24,'26.09 Matugga-Kasangati-24h'!N24,'28.09 Matugga-Kasangati-24h'!N24,'29.09 Matugga-Kasangati'!N24)</f>
        <v>0</v>
      </c>
      <c r="O24" s="15">
        <f t="shared" si="0"/>
        <v>21.285714285714285</v>
      </c>
      <c r="P24" s="15">
        <f t="shared" si="1"/>
        <v>60</v>
      </c>
      <c r="R24" s="102" t="s">
        <v>148</v>
      </c>
      <c r="S24" s="133">
        <f>SUM(C66:C69)</f>
        <v>40</v>
      </c>
      <c r="T24" s="133">
        <f t="shared" ref="T24:AF24" si="16">SUM(D66:D69)</f>
        <v>7.5</v>
      </c>
      <c r="U24" s="133">
        <f t="shared" si="16"/>
        <v>10</v>
      </c>
      <c r="V24" s="133">
        <f t="shared" si="16"/>
        <v>13.5</v>
      </c>
      <c r="W24" s="133">
        <f t="shared" si="16"/>
        <v>0</v>
      </c>
      <c r="X24" s="133">
        <f t="shared" si="16"/>
        <v>0</v>
      </c>
      <c r="Y24" s="133">
        <f t="shared" si="16"/>
        <v>7.5</v>
      </c>
      <c r="Z24" s="133">
        <f t="shared" si="16"/>
        <v>2</v>
      </c>
      <c r="AA24" s="133">
        <f t="shared" si="16"/>
        <v>0</v>
      </c>
      <c r="AB24" s="133">
        <f t="shared" si="16"/>
        <v>0.5</v>
      </c>
      <c r="AC24" s="133">
        <f t="shared" si="16"/>
        <v>146.5</v>
      </c>
      <c r="AD24" s="133">
        <f t="shared" si="16"/>
        <v>0</v>
      </c>
      <c r="AE24" s="146">
        <f t="shared" si="16"/>
        <v>81</v>
      </c>
      <c r="AF24" s="146">
        <f t="shared" si="16"/>
        <v>227.5</v>
      </c>
    </row>
    <row r="25" spans="2:32" ht="23.1" customHeight="1" x14ac:dyDescent="0.25">
      <c r="B25" s="23" t="s">
        <v>52</v>
      </c>
      <c r="C25" s="49">
        <f>AVERAGE('23.09- Matuga -Kasangati'!C25,'24.09 Matugga-Kasangati'!C25,'25.09 Matugga-Kasangati'!C25,'27.09 Kasangati-Matugga'!C25,'26.09 Matugga-Kasangati-24h'!C25,'28.09 Matugga-Kasangati-24h'!C25,'29.09 Matugga-Kasangati'!C25)</f>
        <v>11.428571428571429</v>
      </c>
      <c r="D25" s="49">
        <f>AVERAGE('23.09- Matuga -Kasangati'!D25,'24.09 Matugga-Kasangati'!D25,'25.09 Matugga-Kasangati'!D25,'27.09 Kasangati-Matugga'!D25,'26.09 Matugga-Kasangati-24h'!D25,'28.09 Matugga-Kasangati-24h'!D25,'29.09 Matugga-Kasangati'!D25)</f>
        <v>1.5714285714285714</v>
      </c>
      <c r="E25" s="49">
        <f>AVERAGE('23.09- Matuga -Kasangati'!E25,'24.09 Matugga-Kasangati'!E25,'25.09 Matugga-Kasangati'!E25,'27.09 Kasangati-Matugga'!E25,'26.09 Matugga-Kasangati-24h'!E25,'28.09 Matugga-Kasangati-24h'!E25,'29.09 Matugga-Kasangati'!E25)</f>
        <v>1.4285714285714286</v>
      </c>
      <c r="F25" s="49">
        <f>AVERAGE('23.09- Matuga -Kasangati'!F25,'24.09 Matugga-Kasangati'!F25,'25.09 Matugga-Kasangati'!F25,'27.09 Kasangati-Matugga'!F25,'26.09 Matugga-Kasangati-24h'!F25,'28.09 Matugga-Kasangati-24h'!F25,'29.09 Matugga-Kasangati'!F25)</f>
        <v>1</v>
      </c>
      <c r="G25" s="49">
        <f>AVERAGE('23.09- Matuga -Kasangati'!G25,'24.09 Matugga-Kasangati'!G25,'25.09 Matugga-Kasangati'!G25,'27.09 Kasangati-Matugga'!G25,'26.09 Matugga-Kasangati-24h'!G25,'28.09 Matugga-Kasangati-24h'!G25,'29.09 Matugga-Kasangati'!G25)</f>
        <v>0</v>
      </c>
      <c r="H25" s="49">
        <f>AVERAGE('23.09- Matuga -Kasangati'!H25,'24.09 Matugga-Kasangati'!H25,'25.09 Matugga-Kasangati'!H25,'27.09 Kasangati-Matugga'!H25,'26.09 Matugga-Kasangati-24h'!H25,'28.09 Matugga-Kasangati-24h'!H25,'29.09 Matugga-Kasangati'!H25)</f>
        <v>0.14285714285714285</v>
      </c>
      <c r="I25" s="49">
        <f>AVERAGE('23.09- Matuga -Kasangati'!I25,'24.09 Matugga-Kasangati'!I25,'25.09 Matugga-Kasangati'!I25,'27.09 Kasangati-Matugga'!I25,'26.09 Matugga-Kasangati-24h'!I25,'28.09 Matugga-Kasangati-24h'!I25,'29.09 Matugga-Kasangati'!I25)</f>
        <v>2</v>
      </c>
      <c r="J25" s="49">
        <f>AVERAGE('23.09- Matuga -Kasangati'!J25,'24.09 Matugga-Kasangati'!J25,'25.09 Matugga-Kasangati'!J25,'27.09 Kasangati-Matugga'!J25,'26.09 Matugga-Kasangati-24h'!J25,'28.09 Matugga-Kasangati-24h'!J25,'29.09 Matugga-Kasangati'!J25)</f>
        <v>0.5714285714285714</v>
      </c>
      <c r="K25" s="49">
        <f>AVERAGE('23.09- Matuga -Kasangati'!K25,'24.09 Matugga-Kasangati'!K25,'25.09 Matugga-Kasangati'!K25,'27.09 Kasangati-Matugga'!K25,'26.09 Matugga-Kasangati-24h'!K25,'28.09 Matugga-Kasangati-24h'!K25,'29.09 Matugga-Kasangati'!K25)</f>
        <v>0</v>
      </c>
      <c r="L25" s="49">
        <f>AVERAGE('23.09- Matuga -Kasangati'!L25,'24.09 Matugga-Kasangati'!L25,'25.09 Matugga-Kasangati'!L25,'27.09 Kasangati-Matugga'!L25,'26.09 Matugga-Kasangati-24h'!L25,'28.09 Matugga-Kasangati-24h'!L25,'29.09 Matugga-Kasangati'!L25)</f>
        <v>0</v>
      </c>
      <c r="M25" s="49">
        <f>AVERAGE('23.09- Matuga -Kasangati'!M25,'24.09 Matugga-Kasangati'!M25,'25.09 Matugga-Kasangati'!M25,'27.09 Kasangati-Matugga'!M25,'26.09 Matugga-Kasangati-24h'!M25,'28.09 Matugga-Kasangati-24h'!M25,'29.09 Matugga-Kasangati'!M25)</f>
        <v>39.857142857142854</v>
      </c>
      <c r="N25" s="49">
        <f>AVERAGE('23.09- Matuga -Kasangati'!N25,'24.09 Matugga-Kasangati'!N25,'25.09 Matugga-Kasangati'!N25,'27.09 Kasangati-Matugga'!N25,'26.09 Matugga-Kasangati-24h'!N25,'28.09 Matugga-Kasangati-24h'!N25,'29.09 Matugga-Kasangati'!N25)</f>
        <v>0.14285714285714285</v>
      </c>
      <c r="O25" s="15">
        <f t="shared" si="0"/>
        <v>18.285714285714285</v>
      </c>
      <c r="P25" s="15">
        <f t="shared" si="1"/>
        <v>58.142857142857146</v>
      </c>
      <c r="R25" s="102" t="s">
        <v>149</v>
      </c>
      <c r="S25" s="133">
        <f>SUM(C70:C73)</f>
        <v>29</v>
      </c>
      <c r="T25" s="133">
        <f t="shared" ref="T25:AF25" si="17">SUM(D70:D73)</f>
        <v>4.5</v>
      </c>
      <c r="U25" s="133">
        <f t="shared" si="17"/>
        <v>5.5</v>
      </c>
      <c r="V25" s="133">
        <f t="shared" si="17"/>
        <v>9</v>
      </c>
      <c r="W25" s="133">
        <f t="shared" si="17"/>
        <v>0.5</v>
      </c>
      <c r="X25" s="133">
        <f t="shared" si="17"/>
        <v>0</v>
      </c>
      <c r="Y25" s="133">
        <f t="shared" si="17"/>
        <v>6.5</v>
      </c>
      <c r="Z25" s="133">
        <f t="shared" si="17"/>
        <v>1</v>
      </c>
      <c r="AA25" s="133">
        <f t="shared" si="17"/>
        <v>1.5</v>
      </c>
      <c r="AB25" s="133">
        <f t="shared" si="17"/>
        <v>0</v>
      </c>
      <c r="AC25" s="133">
        <f t="shared" si="17"/>
        <v>144.5</v>
      </c>
      <c r="AD25" s="133">
        <f t="shared" si="17"/>
        <v>0</v>
      </c>
      <c r="AE25" s="146">
        <f t="shared" si="17"/>
        <v>57.5</v>
      </c>
      <c r="AF25" s="146">
        <f t="shared" si="17"/>
        <v>202</v>
      </c>
    </row>
    <row r="26" spans="2:32" ht="23.1" customHeight="1" x14ac:dyDescent="0.25">
      <c r="B26" s="23" t="s">
        <v>53</v>
      </c>
      <c r="C26" s="49">
        <f>AVERAGE('23.09- Matuga -Kasangati'!C26,'24.09 Matugga-Kasangati'!C26,'25.09 Matugga-Kasangati'!C26,'27.09 Kasangati-Matugga'!C26,'26.09 Matugga-Kasangati-24h'!C26,'28.09 Matugga-Kasangati-24h'!C26,'29.09 Matugga-Kasangati'!C26)</f>
        <v>11.714285714285714</v>
      </c>
      <c r="D26" s="49">
        <f>AVERAGE('23.09- Matuga -Kasangati'!D26,'24.09 Matugga-Kasangati'!D26,'25.09 Matugga-Kasangati'!D26,'27.09 Kasangati-Matugga'!D26,'26.09 Matugga-Kasangati-24h'!D26,'28.09 Matugga-Kasangati-24h'!D26,'29.09 Matugga-Kasangati'!D26)</f>
        <v>3.1428571428571428</v>
      </c>
      <c r="E26" s="49">
        <f>AVERAGE('23.09- Matuga -Kasangati'!E26,'24.09 Matugga-Kasangati'!E26,'25.09 Matugga-Kasangati'!E26,'27.09 Kasangati-Matugga'!E26,'26.09 Matugga-Kasangati-24h'!E26,'28.09 Matugga-Kasangati-24h'!E26,'29.09 Matugga-Kasangati'!E26)</f>
        <v>3.1428571428571428</v>
      </c>
      <c r="F26" s="49">
        <f>AVERAGE('23.09- Matuga -Kasangati'!F26,'24.09 Matugga-Kasangati'!F26,'25.09 Matugga-Kasangati'!F26,'27.09 Kasangati-Matugga'!F26,'26.09 Matugga-Kasangati-24h'!F26,'28.09 Matugga-Kasangati-24h'!F26,'29.09 Matugga-Kasangati'!F26)</f>
        <v>2</v>
      </c>
      <c r="G26" s="49">
        <f>AVERAGE('23.09- Matuga -Kasangati'!G26,'24.09 Matugga-Kasangati'!G26,'25.09 Matugga-Kasangati'!G26,'27.09 Kasangati-Matugga'!G26,'26.09 Matugga-Kasangati-24h'!G26,'28.09 Matugga-Kasangati-24h'!G26,'29.09 Matugga-Kasangati'!G26)</f>
        <v>0</v>
      </c>
      <c r="H26" s="49">
        <f>AVERAGE('23.09- Matuga -Kasangati'!H26,'24.09 Matugga-Kasangati'!H26,'25.09 Matugga-Kasangati'!H26,'27.09 Kasangati-Matugga'!H26,'26.09 Matugga-Kasangati-24h'!H26,'28.09 Matugga-Kasangati-24h'!H26,'29.09 Matugga-Kasangati'!H26)</f>
        <v>0</v>
      </c>
      <c r="I26" s="49">
        <f>AVERAGE('23.09- Matuga -Kasangati'!I26,'24.09 Matugga-Kasangati'!I26,'25.09 Matugga-Kasangati'!I26,'27.09 Kasangati-Matugga'!I26,'26.09 Matugga-Kasangati-24h'!I26,'28.09 Matugga-Kasangati-24h'!I26,'29.09 Matugga-Kasangati'!I26)</f>
        <v>2.1428571428571428</v>
      </c>
      <c r="J26" s="49">
        <f>AVERAGE('23.09- Matuga -Kasangati'!J26,'24.09 Matugga-Kasangati'!J26,'25.09 Matugga-Kasangati'!J26,'27.09 Kasangati-Matugga'!J26,'26.09 Matugga-Kasangati-24h'!J26,'28.09 Matugga-Kasangati-24h'!J26,'29.09 Matugga-Kasangati'!J26)</f>
        <v>0.5714285714285714</v>
      </c>
      <c r="K26" s="49">
        <f>AVERAGE('23.09- Matuga -Kasangati'!K26,'24.09 Matugga-Kasangati'!K26,'25.09 Matugga-Kasangati'!K26,'27.09 Kasangati-Matugga'!K26,'26.09 Matugga-Kasangati-24h'!K26,'28.09 Matugga-Kasangati-24h'!K26,'29.09 Matugga-Kasangati'!K26)</f>
        <v>0.42857142857142855</v>
      </c>
      <c r="L26" s="49">
        <f>AVERAGE('23.09- Matuga -Kasangati'!L26,'24.09 Matugga-Kasangati'!L26,'25.09 Matugga-Kasangati'!L26,'27.09 Kasangati-Matugga'!L26,'26.09 Matugga-Kasangati-24h'!L26,'28.09 Matugga-Kasangati-24h'!L26,'29.09 Matugga-Kasangati'!L26)</f>
        <v>0.7142857142857143</v>
      </c>
      <c r="M26" s="49">
        <f>AVERAGE('23.09- Matuga -Kasangati'!M26,'24.09 Matugga-Kasangati'!M26,'25.09 Matugga-Kasangati'!M26,'27.09 Kasangati-Matugga'!M26,'26.09 Matugga-Kasangati-24h'!M26,'28.09 Matugga-Kasangati-24h'!M26,'29.09 Matugga-Kasangati'!M26)</f>
        <v>41.428571428571431</v>
      </c>
      <c r="N26" s="49">
        <f>AVERAGE('23.09- Matuga -Kasangati'!N26,'24.09 Matugga-Kasangati'!N26,'25.09 Matugga-Kasangati'!N26,'27.09 Kasangati-Matugga'!N26,'26.09 Matugga-Kasangati-24h'!N26,'28.09 Matugga-Kasangati-24h'!N26,'29.09 Matugga-Kasangati'!N26)</f>
        <v>0</v>
      </c>
      <c r="O26" s="15">
        <f t="shared" si="0"/>
        <v>23.857142857142858</v>
      </c>
      <c r="P26" s="15">
        <f t="shared" si="1"/>
        <v>65.285714285714292</v>
      </c>
      <c r="R26" s="102" t="s">
        <v>150</v>
      </c>
      <c r="S26" s="133">
        <f>SUM(C74:C77)</f>
        <v>23</v>
      </c>
      <c r="T26" s="133">
        <f t="shared" ref="T26:AF26" si="18">SUM(D74:D77)</f>
        <v>5.5</v>
      </c>
      <c r="U26" s="133">
        <f t="shared" si="18"/>
        <v>1.5</v>
      </c>
      <c r="V26" s="133">
        <f t="shared" si="18"/>
        <v>4</v>
      </c>
      <c r="W26" s="133">
        <f t="shared" si="18"/>
        <v>0</v>
      </c>
      <c r="X26" s="133">
        <f t="shared" si="18"/>
        <v>0</v>
      </c>
      <c r="Y26" s="133">
        <f t="shared" si="18"/>
        <v>2</v>
      </c>
      <c r="Z26" s="133">
        <f t="shared" si="18"/>
        <v>0.5</v>
      </c>
      <c r="AA26" s="133">
        <f t="shared" si="18"/>
        <v>1</v>
      </c>
      <c r="AB26" s="133">
        <f t="shared" si="18"/>
        <v>0</v>
      </c>
      <c r="AC26" s="133">
        <f t="shared" si="18"/>
        <v>84</v>
      </c>
      <c r="AD26" s="133">
        <f t="shared" si="18"/>
        <v>0</v>
      </c>
      <c r="AE26" s="146">
        <f t="shared" si="18"/>
        <v>37.5</v>
      </c>
      <c r="AF26" s="146">
        <f t="shared" si="18"/>
        <v>121.5</v>
      </c>
    </row>
    <row r="27" spans="2:32" ht="23.1" customHeight="1" x14ac:dyDescent="0.25">
      <c r="B27" s="23" t="s">
        <v>54</v>
      </c>
      <c r="C27" s="49">
        <f>AVERAGE('23.09- Matuga -Kasangati'!C27,'24.09 Matugga-Kasangati'!C27,'25.09 Matugga-Kasangati'!C27,'27.09 Kasangati-Matugga'!C27,'26.09 Matugga-Kasangati-24h'!C27,'28.09 Matugga-Kasangati-24h'!C27,'29.09 Matugga-Kasangati'!C27)</f>
        <v>14</v>
      </c>
      <c r="D27" s="49">
        <f>AVERAGE('23.09- Matuga -Kasangati'!D27,'24.09 Matugga-Kasangati'!D27,'25.09 Matugga-Kasangati'!D27,'27.09 Kasangati-Matugga'!D27,'26.09 Matugga-Kasangati-24h'!D27,'28.09 Matugga-Kasangati-24h'!D27,'29.09 Matugga-Kasangati'!D27)</f>
        <v>2.5714285714285716</v>
      </c>
      <c r="E27" s="49">
        <f>AVERAGE('23.09- Matuga -Kasangati'!E27,'24.09 Matugga-Kasangati'!E27,'25.09 Matugga-Kasangati'!E27,'27.09 Kasangati-Matugga'!E27,'26.09 Matugga-Kasangati-24h'!E27,'28.09 Matugga-Kasangati-24h'!E27,'29.09 Matugga-Kasangati'!E27)</f>
        <v>1.5714285714285714</v>
      </c>
      <c r="F27" s="49">
        <f>AVERAGE('23.09- Matuga -Kasangati'!F27,'24.09 Matugga-Kasangati'!F27,'25.09 Matugga-Kasangati'!F27,'27.09 Kasangati-Matugga'!F27,'26.09 Matugga-Kasangati-24h'!F27,'28.09 Matugga-Kasangati-24h'!F27,'29.09 Matugga-Kasangati'!F27)</f>
        <v>1.5714285714285714</v>
      </c>
      <c r="G27" s="49">
        <f>AVERAGE('23.09- Matuga -Kasangati'!G27,'24.09 Matugga-Kasangati'!G27,'25.09 Matugga-Kasangati'!G27,'27.09 Kasangati-Matugga'!G27,'26.09 Matugga-Kasangati-24h'!G27,'28.09 Matugga-Kasangati-24h'!G27,'29.09 Matugga-Kasangati'!G27)</f>
        <v>0</v>
      </c>
      <c r="H27" s="49">
        <f>AVERAGE('23.09- Matuga -Kasangati'!H27,'24.09 Matugga-Kasangati'!H27,'25.09 Matugga-Kasangati'!H27,'27.09 Kasangati-Matugga'!H27,'26.09 Matugga-Kasangati-24h'!H27,'28.09 Matugga-Kasangati-24h'!H27,'29.09 Matugga-Kasangati'!H27)</f>
        <v>0</v>
      </c>
      <c r="I27" s="49">
        <f>AVERAGE('23.09- Matuga -Kasangati'!I27,'24.09 Matugga-Kasangati'!I27,'25.09 Matugga-Kasangati'!I27,'27.09 Kasangati-Matugga'!I27,'26.09 Matugga-Kasangati-24h'!I27,'28.09 Matugga-Kasangati-24h'!I27,'29.09 Matugga-Kasangati'!I27)</f>
        <v>1.8571428571428572</v>
      </c>
      <c r="J27" s="49">
        <f>AVERAGE('23.09- Matuga -Kasangati'!J27,'24.09 Matugga-Kasangati'!J27,'25.09 Matugga-Kasangati'!J27,'27.09 Kasangati-Matugga'!J27,'26.09 Matugga-Kasangati-24h'!J27,'28.09 Matugga-Kasangati-24h'!J27,'29.09 Matugga-Kasangati'!J27)</f>
        <v>0.5714285714285714</v>
      </c>
      <c r="K27" s="49">
        <f>AVERAGE('23.09- Matuga -Kasangati'!K27,'24.09 Matugga-Kasangati'!K27,'25.09 Matugga-Kasangati'!K27,'27.09 Kasangati-Matugga'!K27,'26.09 Matugga-Kasangati-24h'!K27,'28.09 Matugga-Kasangati-24h'!K27,'29.09 Matugga-Kasangati'!K27)</f>
        <v>0.5714285714285714</v>
      </c>
      <c r="L27" s="49">
        <f>AVERAGE('23.09- Matuga -Kasangati'!L27,'24.09 Matugga-Kasangati'!L27,'25.09 Matugga-Kasangati'!L27,'27.09 Kasangati-Matugga'!L27,'26.09 Matugga-Kasangati-24h'!L27,'28.09 Matugga-Kasangati-24h'!L27,'29.09 Matugga-Kasangati'!L27)</f>
        <v>0.14285714285714285</v>
      </c>
      <c r="M27" s="49">
        <f>AVERAGE('23.09- Matuga -Kasangati'!M27,'24.09 Matugga-Kasangati'!M27,'25.09 Matugga-Kasangati'!M27,'27.09 Kasangati-Matugga'!M27,'26.09 Matugga-Kasangati-24h'!M27,'28.09 Matugga-Kasangati-24h'!M27,'29.09 Matugga-Kasangati'!M27)</f>
        <v>38.571428571428569</v>
      </c>
      <c r="N27" s="49">
        <f>AVERAGE('23.09- Matuga -Kasangati'!N27,'24.09 Matugga-Kasangati'!N27,'25.09 Matugga-Kasangati'!N27,'27.09 Kasangati-Matugga'!N27,'26.09 Matugga-Kasangati-24h'!N27,'28.09 Matugga-Kasangati-24h'!N27,'29.09 Matugga-Kasangati'!N27)</f>
        <v>0</v>
      </c>
      <c r="O27" s="15">
        <f t="shared" si="0"/>
        <v>22.857142857142865</v>
      </c>
      <c r="P27" s="15">
        <f t="shared" si="1"/>
        <v>61.428571428571431</v>
      </c>
      <c r="R27" s="102" t="s">
        <v>151</v>
      </c>
      <c r="S27" s="133">
        <f>SUM(C78:C81)</f>
        <v>9.5</v>
      </c>
      <c r="T27" s="133">
        <f t="shared" ref="T27:AF27" si="19">SUM(D78:D81)</f>
        <v>1</v>
      </c>
      <c r="U27" s="133">
        <f t="shared" si="19"/>
        <v>1</v>
      </c>
      <c r="V27" s="133">
        <f t="shared" si="19"/>
        <v>1</v>
      </c>
      <c r="W27" s="133">
        <f t="shared" si="19"/>
        <v>0</v>
      </c>
      <c r="X27" s="133">
        <f t="shared" si="19"/>
        <v>0</v>
      </c>
      <c r="Y27" s="133">
        <f t="shared" si="19"/>
        <v>1</v>
      </c>
      <c r="Z27" s="133">
        <f t="shared" si="19"/>
        <v>0.5</v>
      </c>
      <c r="AA27" s="133">
        <f t="shared" si="19"/>
        <v>0.5</v>
      </c>
      <c r="AB27" s="133">
        <f t="shared" si="19"/>
        <v>0</v>
      </c>
      <c r="AC27" s="133">
        <f t="shared" si="19"/>
        <v>30.5</v>
      </c>
      <c r="AD27" s="133">
        <f t="shared" si="19"/>
        <v>0</v>
      </c>
      <c r="AE27" s="146">
        <f t="shared" si="19"/>
        <v>14.5</v>
      </c>
      <c r="AF27" s="146">
        <f t="shared" si="19"/>
        <v>45</v>
      </c>
    </row>
    <row r="28" spans="2:32" ht="23.1" customHeight="1" x14ac:dyDescent="0.25">
      <c r="B28" s="23" t="s">
        <v>55</v>
      </c>
      <c r="C28" s="49">
        <f>AVERAGE('23.09- Matuga -Kasangati'!C28,'24.09 Matugga-Kasangati'!C28,'25.09 Matugga-Kasangati'!C28,'27.09 Kasangati-Matugga'!C28,'26.09 Matugga-Kasangati-24h'!C28,'28.09 Matugga-Kasangati-24h'!C28,'29.09 Matugga-Kasangati'!C28)</f>
        <v>13.857142857142858</v>
      </c>
      <c r="D28" s="49">
        <f>AVERAGE('23.09- Matuga -Kasangati'!D28,'24.09 Matugga-Kasangati'!D28,'25.09 Matugga-Kasangati'!D28,'27.09 Kasangati-Matugga'!D28,'26.09 Matugga-Kasangati-24h'!D28,'28.09 Matugga-Kasangati-24h'!D28,'29.09 Matugga-Kasangati'!D28)</f>
        <v>1.7142857142857142</v>
      </c>
      <c r="E28" s="49">
        <f>AVERAGE('23.09- Matuga -Kasangati'!E28,'24.09 Matugga-Kasangati'!E28,'25.09 Matugga-Kasangati'!E28,'27.09 Kasangati-Matugga'!E28,'26.09 Matugga-Kasangati-24h'!E28,'28.09 Matugga-Kasangati-24h'!E28,'29.09 Matugga-Kasangati'!E28)</f>
        <v>2.2857142857142856</v>
      </c>
      <c r="F28" s="49">
        <f>AVERAGE('23.09- Matuga -Kasangati'!F28,'24.09 Matugga-Kasangati'!F28,'25.09 Matugga-Kasangati'!F28,'27.09 Kasangati-Matugga'!F28,'26.09 Matugga-Kasangati-24h'!F28,'28.09 Matugga-Kasangati-24h'!F28,'29.09 Matugga-Kasangati'!F28)</f>
        <v>3.5714285714285716</v>
      </c>
      <c r="G28" s="49">
        <f>AVERAGE('23.09- Matuga -Kasangati'!G28,'24.09 Matugga-Kasangati'!G28,'25.09 Matugga-Kasangati'!G28,'27.09 Kasangati-Matugga'!G28,'26.09 Matugga-Kasangati-24h'!G28,'28.09 Matugga-Kasangati-24h'!G28,'29.09 Matugga-Kasangati'!G28)</f>
        <v>0</v>
      </c>
      <c r="H28" s="49">
        <f>AVERAGE('23.09- Matuga -Kasangati'!H28,'24.09 Matugga-Kasangati'!H28,'25.09 Matugga-Kasangati'!H28,'27.09 Kasangati-Matugga'!H28,'26.09 Matugga-Kasangati-24h'!H28,'28.09 Matugga-Kasangati-24h'!H28,'29.09 Matugga-Kasangati'!H28)</f>
        <v>0</v>
      </c>
      <c r="I28" s="49">
        <f>AVERAGE('23.09- Matuga -Kasangati'!I28,'24.09 Matugga-Kasangati'!I28,'25.09 Matugga-Kasangati'!I28,'27.09 Kasangati-Matugga'!I28,'26.09 Matugga-Kasangati-24h'!I28,'28.09 Matugga-Kasangati-24h'!I28,'29.09 Matugga-Kasangati'!I28)</f>
        <v>3.5714285714285716</v>
      </c>
      <c r="J28" s="49">
        <f>AVERAGE('23.09- Matuga -Kasangati'!J28,'24.09 Matugga-Kasangati'!J28,'25.09 Matugga-Kasangati'!J28,'27.09 Kasangati-Matugga'!J28,'26.09 Matugga-Kasangati-24h'!J28,'28.09 Matugga-Kasangati-24h'!J28,'29.09 Matugga-Kasangati'!J28)</f>
        <v>0</v>
      </c>
      <c r="K28" s="49">
        <f>AVERAGE('23.09- Matuga -Kasangati'!K28,'24.09 Matugga-Kasangati'!K28,'25.09 Matugga-Kasangati'!K28,'27.09 Kasangati-Matugga'!K28,'26.09 Matugga-Kasangati-24h'!K28,'28.09 Matugga-Kasangati-24h'!K28,'29.09 Matugga-Kasangati'!K28)</f>
        <v>0.2857142857142857</v>
      </c>
      <c r="L28" s="49">
        <f>AVERAGE('23.09- Matuga -Kasangati'!L28,'24.09 Matugga-Kasangati'!L28,'25.09 Matugga-Kasangati'!L28,'27.09 Kasangati-Matugga'!L28,'26.09 Matugga-Kasangati-24h'!L28,'28.09 Matugga-Kasangati-24h'!L28,'29.09 Matugga-Kasangati'!L28)</f>
        <v>0.14285714285714285</v>
      </c>
      <c r="M28" s="49">
        <f>AVERAGE('23.09- Matuga -Kasangati'!M28,'24.09 Matugga-Kasangati'!M28,'25.09 Matugga-Kasangati'!M28,'27.09 Kasangati-Matugga'!M28,'26.09 Matugga-Kasangati-24h'!M28,'28.09 Matugga-Kasangati-24h'!M28,'29.09 Matugga-Kasangati'!M28)</f>
        <v>40.428571428571431</v>
      </c>
      <c r="N28" s="49">
        <f>AVERAGE('23.09- Matuga -Kasangati'!N28,'24.09 Matugga-Kasangati'!N28,'25.09 Matugga-Kasangati'!N28,'27.09 Kasangati-Matugga'!N28,'26.09 Matugga-Kasangati-24h'!N28,'28.09 Matugga-Kasangati-24h'!N28,'29.09 Matugga-Kasangati'!N28)</f>
        <v>0</v>
      </c>
      <c r="O28" s="15">
        <f t="shared" si="0"/>
        <v>25.428571428571431</v>
      </c>
      <c r="P28" s="15">
        <f t="shared" si="1"/>
        <v>65.857142857142861</v>
      </c>
      <c r="R28" s="102" t="s">
        <v>152</v>
      </c>
      <c r="S28" s="133">
        <f>SUM(C82:C85)</f>
        <v>7</v>
      </c>
      <c r="T28" s="133">
        <f t="shared" ref="T28:AF28" si="20">SUM(D82:D85)</f>
        <v>1</v>
      </c>
      <c r="U28" s="133">
        <f t="shared" si="20"/>
        <v>1</v>
      </c>
      <c r="V28" s="133">
        <f t="shared" si="20"/>
        <v>0</v>
      </c>
      <c r="W28" s="133">
        <f t="shared" si="20"/>
        <v>0</v>
      </c>
      <c r="X28" s="133">
        <f t="shared" si="20"/>
        <v>0</v>
      </c>
      <c r="Y28" s="133">
        <f t="shared" si="20"/>
        <v>1.5</v>
      </c>
      <c r="Z28" s="133">
        <f t="shared" si="20"/>
        <v>0</v>
      </c>
      <c r="AA28" s="133">
        <f t="shared" si="20"/>
        <v>0</v>
      </c>
      <c r="AB28" s="133">
        <f t="shared" si="20"/>
        <v>0</v>
      </c>
      <c r="AC28" s="133">
        <f t="shared" si="20"/>
        <v>27</v>
      </c>
      <c r="AD28" s="133">
        <f t="shared" si="20"/>
        <v>0</v>
      </c>
      <c r="AE28" s="146">
        <f t="shared" si="20"/>
        <v>10.5</v>
      </c>
      <c r="AF28" s="146">
        <f t="shared" si="20"/>
        <v>37.5</v>
      </c>
    </row>
    <row r="29" spans="2:32" ht="23.1" customHeight="1" x14ac:dyDescent="0.25">
      <c r="B29" s="23" t="s">
        <v>56</v>
      </c>
      <c r="C29" s="49">
        <f>AVERAGE('23.09- Matuga -Kasangati'!C29,'24.09 Matugga-Kasangati'!C29,'25.09 Matugga-Kasangati'!C29,'27.09 Kasangati-Matugga'!C29,'26.09 Matugga-Kasangati-24h'!C29,'28.09 Matugga-Kasangati-24h'!C29,'29.09 Matugga-Kasangati'!C29)</f>
        <v>13.285714285714286</v>
      </c>
      <c r="D29" s="49">
        <f>AVERAGE('23.09- Matuga -Kasangati'!D29,'24.09 Matugga-Kasangati'!D29,'25.09 Matugga-Kasangati'!D29,'27.09 Kasangati-Matugga'!D29,'26.09 Matugga-Kasangati-24h'!D29,'28.09 Matugga-Kasangati-24h'!D29,'29.09 Matugga-Kasangati'!D29)</f>
        <v>2.2857142857142856</v>
      </c>
      <c r="E29" s="49">
        <f>AVERAGE('23.09- Matuga -Kasangati'!E29,'24.09 Matugga-Kasangati'!E29,'25.09 Matugga-Kasangati'!E29,'27.09 Kasangati-Matugga'!E29,'26.09 Matugga-Kasangati-24h'!E29,'28.09 Matugga-Kasangati-24h'!E29,'29.09 Matugga-Kasangati'!E29)</f>
        <v>2.1428571428571428</v>
      </c>
      <c r="F29" s="49">
        <f>AVERAGE('23.09- Matuga -Kasangati'!F29,'24.09 Matugga-Kasangati'!F29,'25.09 Matugga-Kasangati'!F29,'27.09 Kasangati-Matugga'!F29,'26.09 Matugga-Kasangati-24h'!F29,'28.09 Matugga-Kasangati-24h'!F29,'29.09 Matugga-Kasangati'!F29)</f>
        <v>2.4285714285714284</v>
      </c>
      <c r="G29" s="49">
        <f>AVERAGE('23.09- Matuga -Kasangati'!G29,'24.09 Matugga-Kasangati'!G29,'25.09 Matugga-Kasangati'!G29,'27.09 Kasangati-Matugga'!G29,'26.09 Matugga-Kasangati-24h'!G29,'28.09 Matugga-Kasangati-24h'!G29,'29.09 Matugga-Kasangati'!G29)</f>
        <v>0.14285714285714285</v>
      </c>
      <c r="H29" s="49">
        <f>AVERAGE('23.09- Matuga -Kasangati'!H29,'24.09 Matugga-Kasangati'!H29,'25.09 Matugga-Kasangati'!H29,'27.09 Kasangati-Matugga'!H29,'26.09 Matugga-Kasangati-24h'!H29,'28.09 Matugga-Kasangati-24h'!H29,'29.09 Matugga-Kasangati'!H29)</f>
        <v>0</v>
      </c>
      <c r="I29" s="49">
        <f>AVERAGE('23.09- Matuga -Kasangati'!I29,'24.09 Matugga-Kasangati'!I29,'25.09 Matugga-Kasangati'!I29,'27.09 Kasangati-Matugga'!I29,'26.09 Matugga-Kasangati-24h'!I29,'28.09 Matugga-Kasangati-24h'!I29,'29.09 Matugga-Kasangati'!I29)</f>
        <v>2.8571428571428572</v>
      </c>
      <c r="J29" s="49">
        <f>AVERAGE('23.09- Matuga -Kasangati'!J29,'24.09 Matugga-Kasangati'!J29,'25.09 Matugga-Kasangati'!J29,'27.09 Kasangati-Matugga'!J29,'26.09 Matugga-Kasangati-24h'!J29,'28.09 Matugga-Kasangati-24h'!J29,'29.09 Matugga-Kasangati'!J29)</f>
        <v>0.42857142857142855</v>
      </c>
      <c r="K29" s="49">
        <f>AVERAGE('23.09- Matuga -Kasangati'!K29,'24.09 Matugga-Kasangati'!K29,'25.09 Matugga-Kasangati'!K29,'27.09 Kasangati-Matugga'!K29,'26.09 Matugga-Kasangati-24h'!K29,'28.09 Matugga-Kasangati-24h'!K29,'29.09 Matugga-Kasangati'!K29)</f>
        <v>0.14285714285714285</v>
      </c>
      <c r="L29" s="49">
        <f>AVERAGE('23.09- Matuga -Kasangati'!L29,'24.09 Matugga-Kasangati'!L29,'25.09 Matugga-Kasangati'!L29,'27.09 Kasangati-Matugga'!L29,'26.09 Matugga-Kasangati-24h'!L29,'28.09 Matugga-Kasangati-24h'!L29,'29.09 Matugga-Kasangati'!L29)</f>
        <v>0.14285714285714285</v>
      </c>
      <c r="M29" s="49">
        <f>AVERAGE('23.09- Matuga -Kasangati'!M29,'24.09 Matugga-Kasangati'!M29,'25.09 Matugga-Kasangati'!M29,'27.09 Kasangati-Matugga'!M29,'26.09 Matugga-Kasangati-24h'!M29,'28.09 Matugga-Kasangati-24h'!M29,'29.09 Matugga-Kasangati'!M29)</f>
        <v>37.571428571428569</v>
      </c>
      <c r="N29" s="49">
        <f>AVERAGE('23.09- Matuga -Kasangati'!N29,'24.09 Matugga-Kasangati'!N29,'25.09 Matugga-Kasangati'!N29,'27.09 Kasangati-Matugga'!N29,'26.09 Matugga-Kasangati-24h'!N29,'28.09 Matugga-Kasangati-24h'!N29,'29.09 Matugga-Kasangati'!N29)</f>
        <v>0</v>
      </c>
      <c r="O29" s="15">
        <f t="shared" si="0"/>
        <v>23.857142857142854</v>
      </c>
      <c r="P29" s="15">
        <f t="shared" si="1"/>
        <v>61.428571428571423</v>
      </c>
      <c r="R29" s="102" t="s">
        <v>153</v>
      </c>
      <c r="S29" s="133">
        <f>SUM(C86:C89)</f>
        <v>3.5</v>
      </c>
      <c r="T29" s="133">
        <f t="shared" ref="T29:AF29" si="21">SUM(D86:D89)</f>
        <v>0.5</v>
      </c>
      <c r="U29" s="133">
        <f t="shared" si="21"/>
        <v>0.5</v>
      </c>
      <c r="V29" s="133">
        <f t="shared" si="21"/>
        <v>0</v>
      </c>
      <c r="W29" s="133">
        <f t="shared" si="21"/>
        <v>0</v>
      </c>
      <c r="X29" s="133">
        <f t="shared" si="21"/>
        <v>0</v>
      </c>
      <c r="Y29" s="133">
        <f t="shared" si="21"/>
        <v>1</v>
      </c>
      <c r="Z29" s="133">
        <f t="shared" si="21"/>
        <v>0.5</v>
      </c>
      <c r="AA29" s="133">
        <f t="shared" si="21"/>
        <v>0</v>
      </c>
      <c r="AB29" s="133">
        <f t="shared" si="21"/>
        <v>0</v>
      </c>
      <c r="AC29" s="133">
        <f t="shared" si="21"/>
        <v>11.5</v>
      </c>
      <c r="AD29" s="133">
        <f t="shared" si="21"/>
        <v>0</v>
      </c>
      <c r="AE29" s="146">
        <f t="shared" si="21"/>
        <v>6</v>
      </c>
      <c r="AF29" s="146">
        <f t="shared" si="21"/>
        <v>17.5</v>
      </c>
    </row>
    <row r="30" spans="2:32" ht="23.1" customHeight="1" x14ac:dyDescent="0.25">
      <c r="B30" s="23" t="s">
        <v>57</v>
      </c>
      <c r="C30" s="49">
        <f>AVERAGE('23.09- Matuga -Kasangati'!C30,'24.09 Matugga-Kasangati'!C30,'25.09 Matugga-Kasangati'!C30,'27.09 Kasangati-Matugga'!C30,'26.09 Matugga-Kasangati-24h'!C30,'28.09 Matugga-Kasangati-24h'!C30,'29.09 Matugga-Kasangati'!C30)</f>
        <v>10.428571428571429</v>
      </c>
      <c r="D30" s="49">
        <f>AVERAGE('23.09- Matuga -Kasangati'!D30,'24.09 Matugga-Kasangati'!D30,'25.09 Matugga-Kasangati'!D30,'27.09 Kasangati-Matugga'!D30,'26.09 Matugga-Kasangati-24h'!D30,'28.09 Matugga-Kasangati-24h'!D30,'29.09 Matugga-Kasangati'!D30)</f>
        <v>2.4285714285714284</v>
      </c>
      <c r="E30" s="49">
        <f>AVERAGE('23.09- Matuga -Kasangati'!E30,'24.09 Matugga-Kasangati'!E30,'25.09 Matugga-Kasangati'!E30,'27.09 Kasangati-Matugga'!E30,'26.09 Matugga-Kasangati-24h'!E30,'28.09 Matugga-Kasangati-24h'!E30,'29.09 Matugga-Kasangati'!E30)</f>
        <v>1.4285714285714286</v>
      </c>
      <c r="F30" s="49">
        <f>AVERAGE('23.09- Matuga -Kasangati'!F30,'24.09 Matugga-Kasangati'!F30,'25.09 Matugga-Kasangati'!F30,'27.09 Kasangati-Matugga'!F30,'26.09 Matugga-Kasangati-24h'!F30,'28.09 Matugga-Kasangati-24h'!F30,'29.09 Matugga-Kasangati'!F30)</f>
        <v>2.7142857142857144</v>
      </c>
      <c r="G30" s="49">
        <f>AVERAGE('23.09- Matuga -Kasangati'!G30,'24.09 Matugga-Kasangati'!G30,'25.09 Matugga-Kasangati'!G30,'27.09 Kasangati-Matugga'!G30,'26.09 Matugga-Kasangati-24h'!G30,'28.09 Matugga-Kasangati-24h'!G30,'29.09 Matugga-Kasangati'!G30)</f>
        <v>0.14285714285714285</v>
      </c>
      <c r="H30" s="49">
        <f>AVERAGE('23.09- Matuga -Kasangati'!H30,'24.09 Matugga-Kasangati'!H30,'25.09 Matugga-Kasangati'!H30,'27.09 Kasangati-Matugga'!H30,'26.09 Matugga-Kasangati-24h'!H30,'28.09 Matugga-Kasangati-24h'!H30,'29.09 Matugga-Kasangati'!H30)</f>
        <v>0</v>
      </c>
      <c r="I30" s="49">
        <f>AVERAGE('23.09- Matuga -Kasangati'!I30,'24.09 Matugga-Kasangati'!I30,'25.09 Matugga-Kasangati'!I30,'27.09 Kasangati-Matugga'!I30,'26.09 Matugga-Kasangati-24h'!I30,'28.09 Matugga-Kasangati-24h'!I30,'29.09 Matugga-Kasangati'!I30)</f>
        <v>4.1428571428571432</v>
      </c>
      <c r="J30" s="49">
        <f>AVERAGE('23.09- Matuga -Kasangati'!J30,'24.09 Matugga-Kasangati'!J30,'25.09 Matugga-Kasangati'!J30,'27.09 Kasangati-Matugga'!J30,'26.09 Matugga-Kasangati-24h'!J30,'28.09 Matugga-Kasangati-24h'!J30,'29.09 Matugga-Kasangati'!J30)</f>
        <v>0.7142857142857143</v>
      </c>
      <c r="K30" s="49">
        <f>AVERAGE('23.09- Matuga -Kasangati'!K30,'24.09 Matugga-Kasangati'!K30,'25.09 Matugga-Kasangati'!K30,'27.09 Kasangati-Matugga'!K30,'26.09 Matugga-Kasangati-24h'!K30,'28.09 Matugga-Kasangati-24h'!K30,'29.09 Matugga-Kasangati'!K30)</f>
        <v>0.5714285714285714</v>
      </c>
      <c r="L30" s="49">
        <f>AVERAGE('23.09- Matuga -Kasangati'!L30,'24.09 Matugga-Kasangati'!L30,'25.09 Matugga-Kasangati'!L30,'27.09 Kasangati-Matugga'!L30,'26.09 Matugga-Kasangati-24h'!L30,'28.09 Matugga-Kasangati-24h'!L30,'29.09 Matugga-Kasangati'!L30)</f>
        <v>0</v>
      </c>
      <c r="M30" s="49">
        <f>AVERAGE('23.09- Matuga -Kasangati'!M30,'24.09 Matugga-Kasangati'!M30,'25.09 Matugga-Kasangati'!M30,'27.09 Kasangati-Matugga'!M30,'26.09 Matugga-Kasangati-24h'!M30,'28.09 Matugga-Kasangati-24h'!M30,'29.09 Matugga-Kasangati'!M30)</f>
        <v>37.428571428571431</v>
      </c>
      <c r="N30" s="49">
        <f>AVERAGE('23.09- Matuga -Kasangati'!N30,'24.09 Matugga-Kasangati'!N30,'25.09 Matugga-Kasangati'!N30,'27.09 Kasangati-Matugga'!N30,'26.09 Matugga-Kasangati-24h'!N30,'28.09 Matugga-Kasangati-24h'!N30,'29.09 Matugga-Kasangati'!N30)</f>
        <v>0</v>
      </c>
      <c r="O30" s="15">
        <f t="shared" si="0"/>
        <v>22.571428571428573</v>
      </c>
      <c r="P30" s="15">
        <f t="shared" si="1"/>
        <v>60</v>
      </c>
      <c r="R30" s="102" t="s">
        <v>154</v>
      </c>
      <c r="S30" s="133">
        <f>SUM(C90:C93)</f>
        <v>3</v>
      </c>
      <c r="T30" s="133">
        <f t="shared" ref="T30:AF30" si="22">SUM(D90:D93)</f>
        <v>0</v>
      </c>
      <c r="U30" s="133">
        <f t="shared" si="22"/>
        <v>0.5</v>
      </c>
      <c r="V30" s="133">
        <f t="shared" si="22"/>
        <v>1</v>
      </c>
      <c r="W30" s="133">
        <f t="shared" si="22"/>
        <v>0</v>
      </c>
      <c r="X30" s="133">
        <f t="shared" si="22"/>
        <v>0</v>
      </c>
      <c r="Y30" s="133">
        <f t="shared" si="22"/>
        <v>0.5</v>
      </c>
      <c r="Z30" s="133">
        <f t="shared" si="22"/>
        <v>1</v>
      </c>
      <c r="AA30" s="133">
        <f t="shared" si="22"/>
        <v>0</v>
      </c>
      <c r="AB30" s="133">
        <f t="shared" si="22"/>
        <v>0</v>
      </c>
      <c r="AC30" s="133">
        <f t="shared" si="22"/>
        <v>14.5</v>
      </c>
      <c r="AD30" s="133">
        <f t="shared" si="22"/>
        <v>0</v>
      </c>
      <c r="AE30" s="146">
        <f t="shared" si="22"/>
        <v>6</v>
      </c>
      <c r="AF30" s="146">
        <f t="shared" si="22"/>
        <v>20.5</v>
      </c>
    </row>
    <row r="31" spans="2:32" ht="23.1" customHeight="1" x14ac:dyDescent="0.25">
      <c r="B31" s="24" t="s">
        <v>58</v>
      </c>
      <c r="C31" s="49">
        <f>AVERAGE('23.09- Matuga -Kasangati'!C31,'24.09 Matugga-Kasangati'!C31,'25.09 Matugga-Kasangati'!C31,'27.09 Kasangati-Matugga'!C31,'26.09 Matugga-Kasangati-24h'!C31,'28.09 Matugga-Kasangati-24h'!C31,'29.09 Matugga-Kasangati'!C31)</f>
        <v>11.857142857142858</v>
      </c>
      <c r="D31" s="49">
        <f>AVERAGE('23.09- Matuga -Kasangati'!D31,'24.09 Matugga-Kasangati'!D31,'25.09 Matugga-Kasangati'!D31,'27.09 Kasangati-Matugga'!D31,'26.09 Matugga-Kasangati-24h'!D31,'28.09 Matugga-Kasangati-24h'!D31,'29.09 Matugga-Kasangati'!D31)</f>
        <v>0.7142857142857143</v>
      </c>
      <c r="E31" s="49">
        <f>AVERAGE('23.09- Matuga -Kasangati'!E31,'24.09 Matugga-Kasangati'!E31,'25.09 Matugga-Kasangati'!E31,'27.09 Kasangati-Matugga'!E31,'26.09 Matugga-Kasangati-24h'!E31,'28.09 Matugga-Kasangati-24h'!E31,'29.09 Matugga-Kasangati'!E31)</f>
        <v>1.7142857142857142</v>
      </c>
      <c r="F31" s="49">
        <f>AVERAGE('23.09- Matuga -Kasangati'!F31,'24.09 Matugga-Kasangati'!F31,'25.09 Matugga-Kasangati'!F31,'27.09 Kasangati-Matugga'!F31,'26.09 Matugga-Kasangati-24h'!F31,'28.09 Matugga-Kasangati-24h'!F31,'29.09 Matugga-Kasangati'!F31)</f>
        <v>2.7142857142857144</v>
      </c>
      <c r="G31" s="49">
        <f>AVERAGE('23.09- Matuga -Kasangati'!G31,'24.09 Matugga-Kasangati'!G31,'25.09 Matugga-Kasangati'!G31,'27.09 Kasangati-Matugga'!G31,'26.09 Matugga-Kasangati-24h'!G31,'28.09 Matugga-Kasangati-24h'!G31,'29.09 Matugga-Kasangati'!G31)</f>
        <v>0.14285714285714285</v>
      </c>
      <c r="H31" s="49">
        <f>AVERAGE('23.09- Matuga -Kasangati'!H31,'24.09 Matugga-Kasangati'!H31,'25.09 Matugga-Kasangati'!H31,'27.09 Kasangati-Matugga'!H31,'26.09 Matugga-Kasangati-24h'!H31,'28.09 Matugga-Kasangati-24h'!H31,'29.09 Matugga-Kasangati'!H31)</f>
        <v>0</v>
      </c>
      <c r="I31" s="49">
        <f>AVERAGE('23.09- Matuga -Kasangati'!I31,'24.09 Matugga-Kasangati'!I31,'25.09 Matugga-Kasangati'!I31,'27.09 Kasangati-Matugga'!I31,'26.09 Matugga-Kasangati-24h'!I31,'28.09 Matugga-Kasangati-24h'!I31,'29.09 Matugga-Kasangati'!I31)</f>
        <v>4.1428571428571432</v>
      </c>
      <c r="J31" s="49">
        <f>AVERAGE('23.09- Matuga -Kasangati'!J31,'24.09 Matugga-Kasangati'!J31,'25.09 Matugga-Kasangati'!J31,'27.09 Kasangati-Matugga'!J31,'26.09 Matugga-Kasangati-24h'!J31,'28.09 Matugga-Kasangati-24h'!J31,'29.09 Matugga-Kasangati'!J31)</f>
        <v>0.2857142857142857</v>
      </c>
      <c r="K31" s="49">
        <f>AVERAGE('23.09- Matuga -Kasangati'!K31,'24.09 Matugga-Kasangati'!K31,'25.09 Matugga-Kasangati'!K31,'27.09 Kasangati-Matugga'!K31,'26.09 Matugga-Kasangati-24h'!K31,'28.09 Matugga-Kasangati-24h'!K31,'29.09 Matugga-Kasangati'!K31)</f>
        <v>0.42857142857142855</v>
      </c>
      <c r="L31" s="49">
        <f>AVERAGE('23.09- Matuga -Kasangati'!L31,'24.09 Matugga-Kasangati'!L31,'25.09 Matugga-Kasangati'!L31,'27.09 Kasangati-Matugga'!L31,'26.09 Matugga-Kasangati-24h'!L31,'28.09 Matugga-Kasangati-24h'!L31,'29.09 Matugga-Kasangati'!L31)</f>
        <v>0</v>
      </c>
      <c r="M31" s="49">
        <f>AVERAGE('23.09- Matuga -Kasangati'!M31,'24.09 Matugga-Kasangati'!M31,'25.09 Matugga-Kasangati'!M31,'27.09 Kasangati-Matugga'!M31,'26.09 Matugga-Kasangati-24h'!M31,'28.09 Matugga-Kasangati-24h'!M31,'29.09 Matugga-Kasangati'!M31)</f>
        <v>40.142857142857146</v>
      </c>
      <c r="N31" s="49">
        <f>AVERAGE('23.09- Matuga -Kasangati'!N31,'24.09 Matugga-Kasangati'!N31,'25.09 Matugga-Kasangati'!N31,'27.09 Kasangati-Matugga'!N31,'26.09 Matugga-Kasangati-24h'!N31,'28.09 Matugga-Kasangati-24h'!N31,'29.09 Matugga-Kasangati'!N31)</f>
        <v>0</v>
      </c>
      <c r="O31" s="15">
        <f t="shared" si="0"/>
        <v>21.999999999999996</v>
      </c>
      <c r="P31" s="15">
        <f t="shared" si="1"/>
        <v>62.142857142857139</v>
      </c>
      <c r="R31" s="102" t="s">
        <v>155</v>
      </c>
      <c r="S31" s="133">
        <f>SUM(C94:C97)</f>
        <v>1.5</v>
      </c>
      <c r="T31" s="133">
        <f t="shared" ref="T31:AF31" si="23">SUM(D94:D97)</f>
        <v>0.5</v>
      </c>
      <c r="U31" s="133">
        <f t="shared" si="23"/>
        <v>0</v>
      </c>
      <c r="V31" s="133">
        <f t="shared" si="23"/>
        <v>0.5</v>
      </c>
      <c r="W31" s="133">
        <f t="shared" si="23"/>
        <v>0</v>
      </c>
      <c r="X31" s="133">
        <f t="shared" si="23"/>
        <v>0</v>
      </c>
      <c r="Y31" s="133">
        <f t="shared" si="23"/>
        <v>0.5</v>
      </c>
      <c r="Z31" s="133">
        <f t="shared" si="23"/>
        <v>0.5</v>
      </c>
      <c r="AA31" s="133">
        <f t="shared" si="23"/>
        <v>0</v>
      </c>
      <c r="AB31" s="133">
        <f t="shared" si="23"/>
        <v>0</v>
      </c>
      <c r="AC31" s="133">
        <f t="shared" si="23"/>
        <v>13.5</v>
      </c>
      <c r="AD31" s="133">
        <f t="shared" si="23"/>
        <v>0</v>
      </c>
      <c r="AE31" s="146">
        <f t="shared" si="23"/>
        <v>3.5</v>
      </c>
      <c r="AF31" s="146">
        <f t="shared" si="23"/>
        <v>17</v>
      </c>
    </row>
    <row r="32" spans="2:32" ht="23.1" customHeight="1" x14ac:dyDescent="0.25">
      <c r="B32" s="24" t="s">
        <v>59</v>
      </c>
      <c r="C32" s="49">
        <f>AVERAGE('23.09- Matuga -Kasangati'!C32,'24.09 Matugga-Kasangati'!C32,'25.09 Matugga-Kasangati'!C32,'27.09 Kasangati-Matugga'!C32,'26.09 Matugga-Kasangati-24h'!C32,'28.09 Matugga-Kasangati-24h'!C32,'29.09 Matugga-Kasangati'!C32)</f>
        <v>9</v>
      </c>
      <c r="D32" s="49">
        <f>AVERAGE('23.09- Matuga -Kasangati'!D32,'24.09 Matugga-Kasangati'!D32,'25.09 Matugga-Kasangati'!D32,'27.09 Kasangati-Matugga'!D32,'26.09 Matugga-Kasangati-24h'!D32,'28.09 Matugga-Kasangati-24h'!D32,'29.09 Matugga-Kasangati'!D32)</f>
        <v>1.8571428571428572</v>
      </c>
      <c r="E32" s="49">
        <f>AVERAGE('23.09- Matuga -Kasangati'!E32,'24.09 Matugga-Kasangati'!E32,'25.09 Matugga-Kasangati'!E32,'27.09 Kasangati-Matugga'!E32,'26.09 Matugga-Kasangati-24h'!E32,'28.09 Matugga-Kasangati-24h'!E32,'29.09 Matugga-Kasangati'!E32)</f>
        <v>1.2857142857142858</v>
      </c>
      <c r="F32" s="49">
        <f>AVERAGE('23.09- Matuga -Kasangati'!F32,'24.09 Matugga-Kasangati'!F32,'25.09 Matugga-Kasangati'!F32,'27.09 Kasangati-Matugga'!F32,'26.09 Matugga-Kasangati-24h'!F32,'28.09 Matugga-Kasangati-24h'!F32,'29.09 Matugga-Kasangati'!F32)</f>
        <v>1.5714285714285714</v>
      </c>
      <c r="G32" s="49">
        <f>AVERAGE('23.09- Matuga -Kasangati'!G32,'24.09 Matugga-Kasangati'!G32,'25.09 Matugga-Kasangati'!G32,'27.09 Kasangati-Matugga'!G32,'26.09 Matugga-Kasangati-24h'!G32,'28.09 Matugga-Kasangati-24h'!G32,'29.09 Matugga-Kasangati'!G32)</f>
        <v>0</v>
      </c>
      <c r="H32" s="49">
        <f>AVERAGE('23.09- Matuga -Kasangati'!H32,'24.09 Matugga-Kasangati'!H32,'25.09 Matugga-Kasangati'!H32,'27.09 Kasangati-Matugga'!H32,'26.09 Matugga-Kasangati-24h'!H32,'28.09 Matugga-Kasangati-24h'!H32,'29.09 Matugga-Kasangati'!H32)</f>
        <v>0</v>
      </c>
      <c r="I32" s="49">
        <f>AVERAGE('23.09- Matuga -Kasangati'!I32,'24.09 Matugga-Kasangati'!I32,'25.09 Matugga-Kasangati'!I32,'27.09 Kasangati-Matugga'!I32,'26.09 Matugga-Kasangati-24h'!I32,'28.09 Matugga-Kasangati-24h'!I32,'29.09 Matugga-Kasangati'!I32)</f>
        <v>3</v>
      </c>
      <c r="J32" s="49">
        <f>AVERAGE('23.09- Matuga -Kasangati'!J32,'24.09 Matugga-Kasangati'!J32,'25.09 Matugga-Kasangati'!J32,'27.09 Kasangati-Matugga'!J32,'26.09 Matugga-Kasangati-24h'!J32,'28.09 Matugga-Kasangati-24h'!J32,'29.09 Matugga-Kasangati'!J32)</f>
        <v>0.7142857142857143</v>
      </c>
      <c r="K32" s="49">
        <f>AVERAGE('23.09- Matuga -Kasangati'!K32,'24.09 Matugga-Kasangati'!K32,'25.09 Matugga-Kasangati'!K32,'27.09 Kasangati-Matugga'!K32,'26.09 Matugga-Kasangati-24h'!K32,'28.09 Matugga-Kasangati-24h'!K32,'29.09 Matugga-Kasangati'!K32)</f>
        <v>0.2857142857142857</v>
      </c>
      <c r="L32" s="49">
        <f>AVERAGE('23.09- Matuga -Kasangati'!L32,'24.09 Matugga-Kasangati'!L32,'25.09 Matugga-Kasangati'!L32,'27.09 Kasangati-Matugga'!L32,'26.09 Matugga-Kasangati-24h'!L32,'28.09 Matugga-Kasangati-24h'!L32,'29.09 Matugga-Kasangati'!L32)</f>
        <v>0</v>
      </c>
      <c r="M32" s="49">
        <f>AVERAGE('23.09- Matuga -Kasangati'!M32,'24.09 Matugga-Kasangati'!M32,'25.09 Matugga-Kasangati'!M32,'27.09 Kasangati-Matugga'!M32,'26.09 Matugga-Kasangati-24h'!M32,'28.09 Matugga-Kasangati-24h'!M32,'29.09 Matugga-Kasangati'!M32)</f>
        <v>35.714285714285715</v>
      </c>
      <c r="N32" s="49">
        <f>AVERAGE('23.09- Matuga -Kasangati'!N32,'24.09 Matugga-Kasangati'!N32,'25.09 Matugga-Kasangati'!N32,'27.09 Kasangati-Matugga'!N32,'26.09 Matugga-Kasangati-24h'!N32,'28.09 Matugga-Kasangati-24h'!N32,'29.09 Matugga-Kasangati'!N32)</f>
        <v>0</v>
      </c>
      <c r="O32" s="15">
        <f t="shared" si="0"/>
        <v>17.714285714285715</v>
      </c>
      <c r="P32" s="15">
        <f t="shared" si="1"/>
        <v>53.428571428571431</v>
      </c>
      <c r="R32" s="102" t="s">
        <v>156</v>
      </c>
      <c r="S32" s="133">
        <f>SUM(C98:C101)</f>
        <v>10.5</v>
      </c>
      <c r="T32" s="133">
        <f t="shared" ref="T32:AF32" si="24">SUM(D98:D101)</f>
        <v>1.5</v>
      </c>
      <c r="U32" s="133">
        <f t="shared" si="24"/>
        <v>3</v>
      </c>
      <c r="V32" s="133">
        <f t="shared" si="24"/>
        <v>6.5</v>
      </c>
      <c r="W32" s="133">
        <f t="shared" si="24"/>
        <v>0</v>
      </c>
      <c r="X32" s="133">
        <f t="shared" si="24"/>
        <v>0</v>
      </c>
      <c r="Y32" s="133">
        <f t="shared" si="24"/>
        <v>1</v>
      </c>
      <c r="Z32" s="133">
        <f t="shared" si="24"/>
        <v>1</v>
      </c>
      <c r="AA32" s="133">
        <f t="shared" si="24"/>
        <v>0</v>
      </c>
      <c r="AB32" s="133">
        <f t="shared" si="24"/>
        <v>0</v>
      </c>
      <c r="AC32" s="133">
        <f t="shared" si="24"/>
        <v>18</v>
      </c>
      <c r="AD32" s="133">
        <f t="shared" si="24"/>
        <v>0</v>
      </c>
      <c r="AE32" s="146">
        <f t="shared" si="24"/>
        <v>23.5</v>
      </c>
      <c r="AF32" s="146">
        <f t="shared" si="24"/>
        <v>41.5</v>
      </c>
    </row>
    <row r="33" spans="2:32" ht="23.1" customHeight="1" x14ac:dyDescent="0.25">
      <c r="B33" s="23" t="s">
        <v>60</v>
      </c>
      <c r="C33" s="49">
        <f>AVERAGE('23.09- Matuga -Kasangati'!C33,'24.09 Matugga-Kasangati'!C33,'25.09 Matugga-Kasangati'!C33,'27.09 Kasangati-Matugga'!C33,'26.09 Matugga-Kasangati-24h'!C33,'28.09 Matugga-Kasangati-24h'!C33,'29.09 Matugga-Kasangati'!C33)</f>
        <v>9.8571428571428577</v>
      </c>
      <c r="D33" s="49">
        <f>AVERAGE('23.09- Matuga -Kasangati'!D33,'24.09 Matugga-Kasangati'!D33,'25.09 Matugga-Kasangati'!D33,'27.09 Kasangati-Matugga'!D33,'26.09 Matugga-Kasangati-24h'!D33,'28.09 Matugga-Kasangati-24h'!D33,'29.09 Matugga-Kasangati'!D33)</f>
        <v>1.2857142857142858</v>
      </c>
      <c r="E33" s="49">
        <f>AVERAGE('23.09- Matuga -Kasangati'!E33,'24.09 Matugga-Kasangati'!E33,'25.09 Matugga-Kasangati'!E33,'27.09 Kasangati-Matugga'!E33,'26.09 Matugga-Kasangati-24h'!E33,'28.09 Matugga-Kasangati-24h'!E33,'29.09 Matugga-Kasangati'!E33)</f>
        <v>2.4285714285714284</v>
      </c>
      <c r="F33" s="49">
        <f>AVERAGE('23.09- Matuga -Kasangati'!F33,'24.09 Matugga-Kasangati'!F33,'25.09 Matugga-Kasangati'!F33,'27.09 Kasangati-Matugga'!F33,'26.09 Matugga-Kasangati-24h'!F33,'28.09 Matugga-Kasangati-24h'!F33,'29.09 Matugga-Kasangati'!F33)</f>
        <v>1.2857142857142858</v>
      </c>
      <c r="G33" s="49">
        <f>AVERAGE('23.09- Matuga -Kasangati'!G33,'24.09 Matugga-Kasangati'!G33,'25.09 Matugga-Kasangati'!G33,'27.09 Kasangati-Matugga'!G33,'26.09 Matugga-Kasangati-24h'!G33,'28.09 Matugga-Kasangati-24h'!G33,'29.09 Matugga-Kasangati'!G33)</f>
        <v>0.14285714285714285</v>
      </c>
      <c r="H33" s="49">
        <f>AVERAGE('23.09- Matuga -Kasangati'!H33,'24.09 Matugga-Kasangati'!H33,'25.09 Matugga-Kasangati'!H33,'27.09 Kasangati-Matugga'!H33,'26.09 Matugga-Kasangati-24h'!H33,'28.09 Matugga-Kasangati-24h'!H33,'29.09 Matugga-Kasangati'!H33)</f>
        <v>0</v>
      </c>
      <c r="I33" s="49">
        <f>AVERAGE('23.09- Matuga -Kasangati'!I33,'24.09 Matugga-Kasangati'!I33,'25.09 Matugga-Kasangati'!I33,'27.09 Kasangati-Matugga'!I33,'26.09 Matugga-Kasangati-24h'!I33,'28.09 Matugga-Kasangati-24h'!I33,'29.09 Matugga-Kasangati'!I33)</f>
        <v>3.4285714285714284</v>
      </c>
      <c r="J33" s="49">
        <f>AVERAGE('23.09- Matuga -Kasangati'!J33,'24.09 Matugga-Kasangati'!J33,'25.09 Matugga-Kasangati'!J33,'27.09 Kasangati-Matugga'!J33,'26.09 Matugga-Kasangati-24h'!J33,'28.09 Matugga-Kasangati-24h'!J33,'29.09 Matugga-Kasangati'!J33)</f>
        <v>0.7142857142857143</v>
      </c>
      <c r="K33" s="49">
        <f>AVERAGE('23.09- Matuga -Kasangati'!K33,'24.09 Matugga-Kasangati'!K33,'25.09 Matugga-Kasangati'!K33,'27.09 Kasangati-Matugga'!K33,'26.09 Matugga-Kasangati-24h'!K33,'28.09 Matugga-Kasangati-24h'!K33,'29.09 Matugga-Kasangati'!K33)</f>
        <v>0.7142857142857143</v>
      </c>
      <c r="L33" s="49">
        <f>AVERAGE('23.09- Matuga -Kasangati'!L33,'24.09 Matugga-Kasangati'!L33,'25.09 Matugga-Kasangati'!L33,'27.09 Kasangati-Matugga'!L33,'26.09 Matugga-Kasangati-24h'!L33,'28.09 Matugga-Kasangati-24h'!L33,'29.09 Matugga-Kasangati'!L33)</f>
        <v>0</v>
      </c>
      <c r="M33" s="49">
        <f>AVERAGE('23.09- Matuga -Kasangati'!M33,'24.09 Matugga-Kasangati'!M33,'25.09 Matugga-Kasangati'!M33,'27.09 Kasangati-Matugga'!M33,'26.09 Matugga-Kasangati-24h'!M33,'28.09 Matugga-Kasangati-24h'!M33,'29.09 Matugga-Kasangati'!M33)</f>
        <v>37.857142857142854</v>
      </c>
      <c r="N33" s="49">
        <f>AVERAGE('23.09- Matuga -Kasangati'!N33,'24.09 Matugga-Kasangati'!N33,'25.09 Matugga-Kasangati'!N33,'27.09 Kasangati-Matugga'!N33,'26.09 Matugga-Kasangati-24h'!N33,'28.09 Matugga-Kasangati-24h'!N33,'29.09 Matugga-Kasangati'!N33)</f>
        <v>0</v>
      </c>
      <c r="O33" s="15">
        <f t="shared" si="0"/>
        <v>19.857142857142861</v>
      </c>
      <c r="P33" s="15">
        <f t="shared" si="1"/>
        <v>57.714285714285715</v>
      </c>
      <c r="R33" s="102" t="s">
        <v>157</v>
      </c>
      <c r="S33" s="133">
        <f>SUM(C102:C105)</f>
        <v>65.5</v>
      </c>
      <c r="T33" s="133">
        <f t="shared" ref="T33:AF33" si="25">SUM(D102:D105)</f>
        <v>14.5</v>
      </c>
      <c r="U33" s="133">
        <f t="shared" si="25"/>
        <v>8</v>
      </c>
      <c r="V33" s="133">
        <f t="shared" si="25"/>
        <v>16.5</v>
      </c>
      <c r="W33" s="133">
        <f t="shared" si="25"/>
        <v>2</v>
      </c>
      <c r="X33" s="133">
        <f t="shared" si="25"/>
        <v>0</v>
      </c>
      <c r="Y33" s="133">
        <f t="shared" si="25"/>
        <v>3.5</v>
      </c>
      <c r="Z33" s="133">
        <f t="shared" si="25"/>
        <v>1</v>
      </c>
      <c r="AA33" s="133">
        <f t="shared" si="25"/>
        <v>0</v>
      </c>
      <c r="AB33" s="133">
        <f t="shared" si="25"/>
        <v>0</v>
      </c>
      <c r="AC33" s="133">
        <f t="shared" si="25"/>
        <v>67</v>
      </c>
      <c r="AD33" s="133">
        <f t="shared" si="25"/>
        <v>0</v>
      </c>
      <c r="AE33" s="146">
        <f t="shared" si="25"/>
        <v>111</v>
      </c>
      <c r="AF33" s="146">
        <f t="shared" si="25"/>
        <v>178</v>
      </c>
    </row>
    <row r="34" spans="2:32" ht="23.1" customHeight="1" x14ac:dyDescent="0.25">
      <c r="B34" s="24" t="s">
        <v>61</v>
      </c>
      <c r="C34" s="49">
        <f>AVERAGE('23.09- Matuga -Kasangati'!C34,'24.09 Matugga-Kasangati'!C34,'25.09 Matugga-Kasangati'!C34,'27.09 Kasangati-Matugga'!C34,'26.09 Matugga-Kasangati-24h'!C34,'28.09 Matugga-Kasangati-24h'!C34,'29.09 Matugga-Kasangati'!C34)</f>
        <v>10.571428571428571</v>
      </c>
      <c r="D34" s="49">
        <f>AVERAGE('23.09- Matuga -Kasangati'!D34,'24.09 Matugga-Kasangati'!D34,'25.09 Matugga-Kasangati'!D34,'27.09 Kasangati-Matugga'!D34,'26.09 Matugga-Kasangati-24h'!D34,'28.09 Matugga-Kasangati-24h'!D34,'29.09 Matugga-Kasangati'!D34)</f>
        <v>2</v>
      </c>
      <c r="E34" s="49">
        <f>AVERAGE('23.09- Matuga -Kasangati'!E34,'24.09 Matugga-Kasangati'!E34,'25.09 Matugga-Kasangati'!E34,'27.09 Kasangati-Matugga'!E34,'26.09 Matugga-Kasangati-24h'!E34,'28.09 Matugga-Kasangati-24h'!E34,'29.09 Matugga-Kasangati'!E34)</f>
        <v>2.5714285714285716</v>
      </c>
      <c r="F34" s="49">
        <f>AVERAGE('23.09- Matuga -Kasangati'!F34,'24.09 Matugga-Kasangati'!F34,'25.09 Matugga-Kasangati'!F34,'27.09 Kasangati-Matugga'!F34,'26.09 Matugga-Kasangati-24h'!F34,'28.09 Matugga-Kasangati-24h'!F34,'29.09 Matugga-Kasangati'!F34)</f>
        <v>2.5714285714285716</v>
      </c>
      <c r="G34" s="49">
        <f>AVERAGE('23.09- Matuga -Kasangati'!G34,'24.09 Matugga-Kasangati'!G34,'25.09 Matugga-Kasangati'!G34,'27.09 Kasangati-Matugga'!G34,'26.09 Matugga-Kasangati-24h'!G34,'28.09 Matugga-Kasangati-24h'!G34,'29.09 Matugga-Kasangati'!G34)</f>
        <v>0</v>
      </c>
      <c r="H34" s="49">
        <f>AVERAGE('23.09- Matuga -Kasangati'!H34,'24.09 Matugga-Kasangati'!H34,'25.09 Matugga-Kasangati'!H34,'27.09 Kasangati-Matugga'!H34,'26.09 Matugga-Kasangati-24h'!H34,'28.09 Matugga-Kasangati-24h'!H34,'29.09 Matugga-Kasangati'!H34)</f>
        <v>0</v>
      </c>
      <c r="I34" s="49">
        <f>AVERAGE('23.09- Matuga -Kasangati'!I34,'24.09 Matugga-Kasangati'!I34,'25.09 Matugga-Kasangati'!I34,'27.09 Kasangati-Matugga'!I34,'26.09 Matugga-Kasangati-24h'!I34,'28.09 Matugga-Kasangati-24h'!I34,'29.09 Matugga-Kasangati'!I34)</f>
        <v>3.5714285714285716</v>
      </c>
      <c r="J34" s="49">
        <f>AVERAGE('23.09- Matuga -Kasangati'!J34,'24.09 Matugga-Kasangati'!J34,'25.09 Matugga-Kasangati'!J34,'27.09 Kasangati-Matugga'!J34,'26.09 Matugga-Kasangati-24h'!J34,'28.09 Matugga-Kasangati-24h'!J34,'29.09 Matugga-Kasangati'!J34)</f>
        <v>0.5714285714285714</v>
      </c>
      <c r="K34" s="49">
        <f>AVERAGE('23.09- Matuga -Kasangati'!K34,'24.09 Matugga-Kasangati'!K34,'25.09 Matugga-Kasangati'!K34,'27.09 Kasangati-Matugga'!K34,'26.09 Matugga-Kasangati-24h'!K34,'28.09 Matugga-Kasangati-24h'!K34,'29.09 Matugga-Kasangati'!K34)</f>
        <v>0.7142857142857143</v>
      </c>
      <c r="L34" s="49">
        <f>AVERAGE('23.09- Matuga -Kasangati'!L34,'24.09 Matugga-Kasangati'!L34,'25.09 Matugga-Kasangati'!L34,'27.09 Kasangati-Matugga'!L34,'26.09 Matugga-Kasangati-24h'!L34,'28.09 Matugga-Kasangati-24h'!L34,'29.09 Matugga-Kasangati'!L34)</f>
        <v>0</v>
      </c>
      <c r="M34" s="49">
        <f>AVERAGE('23.09- Matuga -Kasangati'!M34,'24.09 Matugga-Kasangati'!M34,'25.09 Matugga-Kasangati'!M34,'27.09 Kasangati-Matugga'!M34,'26.09 Matugga-Kasangati-24h'!M34,'28.09 Matugga-Kasangati-24h'!M34,'29.09 Matugga-Kasangati'!M34)</f>
        <v>33.714285714285715</v>
      </c>
      <c r="N34" s="49">
        <f>AVERAGE('23.09- Matuga -Kasangati'!N34,'24.09 Matugga-Kasangati'!N34,'25.09 Matugga-Kasangati'!N34,'27.09 Kasangati-Matugga'!N34,'26.09 Matugga-Kasangati-24h'!N34,'28.09 Matugga-Kasangati-24h'!N34,'29.09 Matugga-Kasangati'!N34)</f>
        <v>0</v>
      </c>
      <c r="O34" s="15">
        <f t="shared" si="0"/>
        <v>22.571428571428577</v>
      </c>
      <c r="P34" s="15">
        <f t="shared" si="1"/>
        <v>56.285714285714292</v>
      </c>
      <c r="R34" s="38" t="s">
        <v>90</v>
      </c>
      <c r="S34" s="39">
        <f t="shared" ref="S34:AF34" si="26">MAX(S10:S12)</f>
        <v>69.714285714285708</v>
      </c>
      <c r="T34" s="39">
        <f t="shared" si="26"/>
        <v>12.285714285714285</v>
      </c>
      <c r="U34" s="39">
        <f t="shared" si="26"/>
        <v>8.1428571428571423</v>
      </c>
      <c r="V34" s="39">
        <f t="shared" si="26"/>
        <v>13</v>
      </c>
      <c r="W34" s="39">
        <f t="shared" si="26"/>
        <v>1.7142857142857142</v>
      </c>
      <c r="X34" s="39">
        <f t="shared" si="26"/>
        <v>0.2857142857142857</v>
      </c>
      <c r="Y34" s="39">
        <f t="shared" si="26"/>
        <v>10.142857142857142</v>
      </c>
      <c r="Z34" s="39">
        <f t="shared" si="26"/>
        <v>1.2857142857142856</v>
      </c>
      <c r="AA34" s="39">
        <f t="shared" si="26"/>
        <v>1</v>
      </c>
      <c r="AB34" s="39">
        <f t="shared" si="26"/>
        <v>0.14285714285714285</v>
      </c>
      <c r="AC34" s="39">
        <f t="shared" si="26"/>
        <v>196.42857142857142</v>
      </c>
      <c r="AD34" s="39">
        <f t="shared" si="26"/>
        <v>0</v>
      </c>
      <c r="AE34" s="40">
        <f t="shared" si="26"/>
        <v>108.71428571428571</v>
      </c>
      <c r="AF34" s="40">
        <f t="shared" si="26"/>
        <v>292</v>
      </c>
    </row>
    <row r="35" spans="2:32" ht="23.1" customHeight="1" x14ac:dyDescent="0.25">
      <c r="B35" s="24" t="s">
        <v>62</v>
      </c>
      <c r="C35" s="49">
        <f>AVERAGE('23.09- Matuga -Kasangati'!C35,'24.09 Matugga-Kasangati'!C35,'25.09 Matugga-Kasangati'!C35,'27.09 Kasangati-Matugga'!C35,'26.09 Matugga-Kasangati-24h'!C35,'28.09 Matugga-Kasangati-24h'!C35,'29.09 Matugga-Kasangati'!C35)</f>
        <v>7.5714285714285712</v>
      </c>
      <c r="D35" s="49">
        <f>AVERAGE('23.09- Matuga -Kasangati'!D35,'24.09 Matugga-Kasangati'!D35,'25.09 Matugga-Kasangati'!D35,'27.09 Kasangati-Matugga'!D35,'26.09 Matugga-Kasangati-24h'!D35,'28.09 Matugga-Kasangati-24h'!D35,'29.09 Matugga-Kasangati'!D35)</f>
        <v>1.5714285714285714</v>
      </c>
      <c r="E35" s="49">
        <f>AVERAGE('23.09- Matuga -Kasangati'!E35,'24.09 Matugga-Kasangati'!E35,'25.09 Matugga-Kasangati'!E35,'27.09 Kasangati-Matugga'!E35,'26.09 Matugga-Kasangati-24h'!E35,'28.09 Matugga-Kasangati-24h'!E35,'29.09 Matugga-Kasangati'!E35)</f>
        <v>2</v>
      </c>
      <c r="F35" s="49">
        <f>AVERAGE('23.09- Matuga -Kasangati'!F35,'24.09 Matugga-Kasangati'!F35,'25.09 Matugga-Kasangati'!F35,'27.09 Kasangati-Matugga'!F35,'26.09 Matugga-Kasangati-24h'!F35,'28.09 Matugga-Kasangati-24h'!F35,'29.09 Matugga-Kasangati'!F35)</f>
        <v>1.8571428571428572</v>
      </c>
      <c r="G35" s="49">
        <f>AVERAGE('23.09- Matuga -Kasangati'!G35,'24.09 Matugga-Kasangati'!G35,'25.09 Matugga-Kasangati'!G35,'27.09 Kasangati-Matugga'!G35,'26.09 Matugga-Kasangati-24h'!G35,'28.09 Matugga-Kasangati-24h'!G35,'29.09 Matugga-Kasangati'!G35)</f>
        <v>0</v>
      </c>
      <c r="H35" s="49">
        <f>AVERAGE('23.09- Matuga -Kasangati'!H35,'24.09 Matugga-Kasangati'!H35,'25.09 Matugga-Kasangati'!H35,'27.09 Kasangati-Matugga'!H35,'26.09 Matugga-Kasangati-24h'!H35,'28.09 Matugga-Kasangati-24h'!H35,'29.09 Matugga-Kasangati'!H35)</f>
        <v>0</v>
      </c>
      <c r="I35" s="49">
        <f>AVERAGE('23.09- Matuga -Kasangati'!I35,'24.09 Matugga-Kasangati'!I35,'25.09 Matugga-Kasangati'!I35,'27.09 Kasangati-Matugga'!I35,'26.09 Matugga-Kasangati-24h'!I35,'28.09 Matugga-Kasangati-24h'!I35,'29.09 Matugga-Kasangati'!I35)</f>
        <v>1.5714285714285714</v>
      </c>
      <c r="J35" s="49">
        <f>AVERAGE('23.09- Matuga -Kasangati'!J35,'24.09 Matugga-Kasangati'!J35,'25.09 Matugga-Kasangati'!J35,'27.09 Kasangati-Matugga'!J35,'26.09 Matugga-Kasangati-24h'!J35,'28.09 Matugga-Kasangati-24h'!J35,'29.09 Matugga-Kasangati'!J35)</f>
        <v>1</v>
      </c>
      <c r="K35" s="49">
        <f>AVERAGE('23.09- Matuga -Kasangati'!K35,'24.09 Matugga-Kasangati'!K35,'25.09 Matugga-Kasangati'!K35,'27.09 Kasangati-Matugga'!K35,'26.09 Matugga-Kasangati-24h'!K35,'28.09 Matugga-Kasangati-24h'!K35,'29.09 Matugga-Kasangati'!K35)</f>
        <v>0.2857142857142857</v>
      </c>
      <c r="L35" s="49">
        <f>AVERAGE('23.09- Matuga -Kasangati'!L35,'24.09 Matugga-Kasangati'!L35,'25.09 Matugga-Kasangati'!L35,'27.09 Kasangati-Matugga'!L35,'26.09 Matugga-Kasangati-24h'!L35,'28.09 Matugga-Kasangati-24h'!L35,'29.09 Matugga-Kasangati'!L35)</f>
        <v>0</v>
      </c>
      <c r="M35" s="49">
        <f>AVERAGE('23.09- Matuga -Kasangati'!M35,'24.09 Matugga-Kasangati'!M35,'25.09 Matugga-Kasangati'!M35,'27.09 Kasangati-Matugga'!M35,'26.09 Matugga-Kasangati-24h'!M35,'28.09 Matugga-Kasangati-24h'!M35,'29.09 Matugga-Kasangati'!M35)</f>
        <v>35.142857142857146</v>
      </c>
      <c r="N35" s="49">
        <f>AVERAGE('23.09- Matuga -Kasangati'!N35,'24.09 Matugga-Kasangati'!N35,'25.09 Matugga-Kasangati'!N35,'27.09 Kasangati-Matugga'!N35,'26.09 Matugga-Kasangati-24h'!N35,'28.09 Matugga-Kasangati-24h'!N35,'29.09 Matugga-Kasangati'!N35)</f>
        <v>0</v>
      </c>
      <c r="O35" s="15">
        <f t="shared" si="0"/>
        <v>15.857142857142858</v>
      </c>
      <c r="P35" s="15">
        <f t="shared" si="1"/>
        <v>51</v>
      </c>
      <c r="R35" s="38" t="s">
        <v>91</v>
      </c>
      <c r="S35" s="39">
        <f t="shared" ref="S35:AF35" si="27">MAX(S13:S18)</f>
        <v>52.857142857142854</v>
      </c>
      <c r="T35" s="39">
        <f t="shared" si="27"/>
        <v>11.285714285714285</v>
      </c>
      <c r="U35" s="39">
        <f t="shared" si="27"/>
        <v>9.1428571428571423</v>
      </c>
      <c r="V35" s="39">
        <f t="shared" si="27"/>
        <v>9.5714285714285712</v>
      </c>
      <c r="W35" s="39">
        <f t="shared" si="27"/>
        <v>0.42857142857142855</v>
      </c>
      <c r="X35" s="39">
        <f t="shared" si="27"/>
        <v>0.2857142857142857</v>
      </c>
      <c r="Y35" s="39">
        <f t="shared" si="27"/>
        <v>14.714285714285715</v>
      </c>
      <c r="Z35" s="39">
        <f t="shared" si="27"/>
        <v>2.5714285714285716</v>
      </c>
      <c r="AA35" s="39">
        <f t="shared" si="27"/>
        <v>2</v>
      </c>
      <c r="AB35" s="39">
        <f t="shared" si="27"/>
        <v>1.1428571428571428</v>
      </c>
      <c r="AC35" s="39">
        <f t="shared" si="27"/>
        <v>162.85714285714286</v>
      </c>
      <c r="AD35" s="39">
        <f t="shared" si="27"/>
        <v>0.14285714285714285</v>
      </c>
      <c r="AE35" s="40">
        <f t="shared" si="27"/>
        <v>96</v>
      </c>
      <c r="AF35" s="40">
        <f t="shared" si="27"/>
        <v>254</v>
      </c>
    </row>
    <row r="36" spans="2:32" ht="23.1" customHeight="1" x14ac:dyDescent="0.25">
      <c r="B36" s="24" t="s">
        <v>63</v>
      </c>
      <c r="C36" s="49">
        <f>AVERAGE('23.09- Matuga -Kasangati'!C36,'24.09 Matugga-Kasangati'!C36,'25.09 Matugga-Kasangati'!C36,'27.09 Kasangati-Matugga'!C36,'26.09 Matugga-Kasangati-24h'!C36,'28.09 Matugga-Kasangati-24h'!C36,'29.09 Matugga-Kasangati'!C36)</f>
        <v>14.142857142857142</v>
      </c>
      <c r="D36" s="49">
        <f>AVERAGE('23.09- Matuga -Kasangati'!D36,'24.09 Matugga-Kasangati'!D36,'25.09 Matugga-Kasangati'!D36,'27.09 Kasangati-Matugga'!D36,'26.09 Matugga-Kasangati-24h'!D36,'28.09 Matugga-Kasangati-24h'!D36,'29.09 Matugga-Kasangati'!D36)</f>
        <v>1.5714285714285714</v>
      </c>
      <c r="E36" s="49">
        <f>AVERAGE('23.09- Matuga -Kasangati'!E36,'24.09 Matugga-Kasangati'!E36,'25.09 Matugga-Kasangati'!E36,'27.09 Kasangati-Matugga'!E36,'26.09 Matugga-Kasangati-24h'!E36,'28.09 Matugga-Kasangati-24h'!E36,'29.09 Matugga-Kasangati'!E36)</f>
        <v>1.8571428571428572</v>
      </c>
      <c r="F36" s="49">
        <f>AVERAGE('23.09- Matuga -Kasangati'!F36,'24.09 Matugga-Kasangati'!F36,'25.09 Matugga-Kasangati'!F36,'27.09 Kasangati-Matugga'!F36,'26.09 Matugga-Kasangati-24h'!F36,'28.09 Matugga-Kasangati-24h'!F36,'29.09 Matugga-Kasangati'!F36)</f>
        <v>2.2857142857142856</v>
      </c>
      <c r="G36" s="49">
        <f>AVERAGE('23.09- Matuga -Kasangati'!G36,'24.09 Matugga-Kasangati'!G36,'25.09 Matugga-Kasangati'!G36,'27.09 Kasangati-Matugga'!G36,'26.09 Matugga-Kasangati-24h'!G36,'28.09 Matugga-Kasangati-24h'!G36,'29.09 Matugga-Kasangati'!G36)</f>
        <v>0</v>
      </c>
      <c r="H36" s="49">
        <f>AVERAGE('23.09- Matuga -Kasangati'!H36,'24.09 Matugga-Kasangati'!H36,'25.09 Matugga-Kasangati'!H36,'27.09 Kasangati-Matugga'!H36,'26.09 Matugga-Kasangati-24h'!H36,'28.09 Matugga-Kasangati-24h'!H36,'29.09 Matugga-Kasangati'!H36)</f>
        <v>0</v>
      </c>
      <c r="I36" s="49">
        <f>AVERAGE('23.09- Matuga -Kasangati'!I36,'24.09 Matugga-Kasangati'!I36,'25.09 Matugga-Kasangati'!I36,'27.09 Kasangati-Matugga'!I36,'26.09 Matugga-Kasangati-24h'!I36,'28.09 Matugga-Kasangati-24h'!I36,'29.09 Matugga-Kasangati'!I36)</f>
        <v>2.5714285714285716</v>
      </c>
      <c r="J36" s="49">
        <f>AVERAGE('23.09- Matuga -Kasangati'!J36,'24.09 Matugga-Kasangati'!J36,'25.09 Matugga-Kasangati'!J36,'27.09 Kasangati-Matugga'!J36,'26.09 Matugga-Kasangati-24h'!J36,'28.09 Matugga-Kasangati-24h'!J36,'29.09 Matugga-Kasangati'!J36)</f>
        <v>0</v>
      </c>
      <c r="K36" s="49">
        <f>AVERAGE('23.09- Matuga -Kasangati'!K36,'24.09 Matugga-Kasangati'!K36,'25.09 Matugga-Kasangati'!K36,'27.09 Kasangati-Matugga'!K36,'26.09 Matugga-Kasangati-24h'!K36,'28.09 Matugga-Kasangati-24h'!K36,'29.09 Matugga-Kasangati'!K36)</f>
        <v>0.42857142857142855</v>
      </c>
      <c r="L36" s="49">
        <f>AVERAGE('23.09- Matuga -Kasangati'!L36,'24.09 Matugga-Kasangati'!L36,'25.09 Matugga-Kasangati'!L36,'27.09 Kasangati-Matugga'!L36,'26.09 Matugga-Kasangati-24h'!L36,'28.09 Matugga-Kasangati-24h'!L36,'29.09 Matugga-Kasangati'!L36)</f>
        <v>0</v>
      </c>
      <c r="M36" s="49">
        <f>AVERAGE('23.09- Matuga -Kasangati'!M36,'24.09 Matugga-Kasangati'!M36,'25.09 Matugga-Kasangati'!M36,'27.09 Kasangati-Matugga'!M36,'26.09 Matugga-Kasangati-24h'!M36,'28.09 Matugga-Kasangati-24h'!M36,'29.09 Matugga-Kasangati'!M36)</f>
        <v>37</v>
      </c>
      <c r="N36" s="49">
        <f>AVERAGE('23.09- Matuga -Kasangati'!N36,'24.09 Matugga-Kasangati'!N36,'25.09 Matugga-Kasangati'!N36,'27.09 Kasangati-Matugga'!N36,'26.09 Matugga-Kasangati-24h'!N36,'28.09 Matugga-Kasangati-24h'!N36,'29.09 Matugga-Kasangati'!N36)</f>
        <v>0</v>
      </c>
      <c r="O36" s="15">
        <f t="shared" si="0"/>
        <v>22.857142857142854</v>
      </c>
      <c r="P36" s="15">
        <f t="shared" si="1"/>
        <v>59.857142857142854</v>
      </c>
      <c r="R36" s="38" t="s">
        <v>92</v>
      </c>
      <c r="S36" s="39">
        <f t="shared" ref="S36:AF36" si="28">MAX(S19:S21)</f>
        <v>74.428571428571416</v>
      </c>
      <c r="T36" s="39">
        <f t="shared" si="28"/>
        <v>16</v>
      </c>
      <c r="U36" s="39">
        <f t="shared" si="28"/>
        <v>16.285714285714285</v>
      </c>
      <c r="V36" s="39">
        <f t="shared" si="28"/>
        <v>21.857142857142858</v>
      </c>
      <c r="W36" s="39">
        <f t="shared" si="28"/>
        <v>1.7142857142857142</v>
      </c>
      <c r="X36" s="39">
        <f t="shared" si="28"/>
        <v>0</v>
      </c>
      <c r="Y36" s="39">
        <f t="shared" si="28"/>
        <v>11.714285714285714</v>
      </c>
      <c r="Z36" s="39">
        <f t="shared" si="28"/>
        <v>2.5714285714285712</v>
      </c>
      <c r="AA36" s="39">
        <f t="shared" si="28"/>
        <v>1.2857142857142856</v>
      </c>
      <c r="AB36" s="39">
        <f t="shared" si="28"/>
        <v>0.2857142857142857</v>
      </c>
      <c r="AC36" s="39">
        <f t="shared" si="28"/>
        <v>173.85714285714286</v>
      </c>
      <c r="AD36" s="39">
        <f t="shared" si="28"/>
        <v>0.14285714285714285</v>
      </c>
      <c r="AE36" s="40">
        <f t="shared" si="28"/>
        <v>144.14285714285714</v>
      </c>
      <c r="AF36" s="40">
        <f t="shared" si="28"/>
        <v>312.57142857142856</v>
      </c>
    </row>
    <row r="37" spans="2:32" ht="23.1" customHeight="1" x14ac:dyDescent="0.25">
      <c r="B37" s="23" t="s">
        <v>64</v>
      </c>
      <c r="C37" s="49">
        <f>AVERAGE('23.09- Matuga -Kasangati'!C37,'24.09 Matugga-Kasangati'!C37,'25.09 Matugga-Kasangati'!C37,'27.09 Kasangati-Matugga'!C37,'26.09 Matugga-Kasangati-24h'!C37,'28.09 Matugga-Kasangati-24h'!C37,'29.09 Matugga-Kasangati'!C37)</f>
        <v>8</v>
      </c>
      <c r="D37" s="49">
        <f>AVERAGE('23.09- Matuga -Kasangati'!D37,'24.09 Matugga-Kasangati'!D37,'25.09 Matugga-Kasangati'!D37,'27.09 Kasangati-Matugga'!D37,'26.09 Matugga-Kasangati-24h'!D37,'28.09 Matugga-Kasangati-24h'!D37,'29.09 Matugga-Kasangati'!D37)</f>
        <v>3.2857142857142856</v>
      </c>
      <c r="E37" s="49">
        <f>AVERAGE('23.09- Matuga -Kasangati'!E37,'24.09 Matugga-Kasangati'!E37,'25.09 Matugga-Kasangati'!E37,'27.09 Kasangati-Matugga'!E37,'26.09 Matugga-Kasangati-24h'!E37,'28.09 Matugga-Kasangati-24h'!E37,'29.09 Matugga-Kasangati'!E37)</f>
        <v>1.7142857142857142</v>
      </c>
      <c r="F37" s="49">
        <f>AVERAGE('23.09- Matuga -Kasangati'!F37,'24.09 Matugga-Kasangati'!F37,'25.09 Matugga-Kasangati'!F37,'27.09 Kasangati-Matugga'!F37,'26.09 Matugga-Kasangati-24h'!F37,'28.09 Matugga-Kasangati-24h'!F37,'29.09 Matugga-Kasangati'!F37)</f>
        <v>1.5714285714285714</v>
      </c>
      <c r="G37" s="49">
        <f>AVERAGE('23.09- Matuga -Kasangati'!G37,'24.09 Matugga-Kasangati'!G37,'25.09 Matugga-Kasangati'!G37,'27.09 Kasangati-Matugga'!G37,'26.09 Matugga-Kasangati-24h'!G37,'28.09 Matugga-Kasangati-24h'!G37,'29.09 Matugga-Kasangati'!G37)</f>
        <v>0</v>
      </c>
      <c r="H37" s="49">
        <f>AVERAGE('23.09- Matuga -Kasangati'!H37,'24.09 Matugga-Kasangati'!H37,'25.09 Matugga-Kasangati'!H37,'27.09 Kasangati-Matugga'!H37,'26.09 Matugga-Kasangati-24h'!H37,'28.09 Matugga-Kasangati-24h'!H37,'29.09 Matugga-Kasangati'!H37)</f>
        <v>0</v>
      </c>
      <c r="I37" s="49">
        <f>AVERAGE('23.09- Matuga -Kasangati'!I37,'24.09 Matugga-Kasangati'!I37,'25.09 Matugga-Kasangati'!I37,'27.09 Kasangati-Matugga'!I37,'26.09 Matugga-Kasangati-24h'!I37,'28.09 Matugga-Kasangati-24h'!I37,'29.09 Matugga-Kasangati'!I37)</f>
        <v>3.2857142857142856</v>
      </c>
      <c r="J37" s="49">
        <f>AVERAGE('23.09- Matuga -Kasangati'!J37,'24.09 Matugga-Kasangati'!J37,'25.09 Matugga-Kasangati'!J37,'27.09 Kasangati-Matugga'!J37,'26.09 Matugga-Kasangati-24h'!J37,'28.09 Matugga-Kasangati-24h'!J37,'29.09 Matugga-Kasangati'!J37)</f>
        <v>0.14285714285714285</v>
      </c>
      <c r="K37" s="49">
        <f>AVERAGE('23.09- Matuga -Kasangati'!K37,'24.09 Matugga-Kasangati'!K37,'25.09 Matugga-Kasangati'!K37,'27.09 Kasangati-Matugga'!K37,'26.09 Matugga-Kasangati-24h'!K37,'28.09 Matugga-Kasangati-24h'!K37,'29.09 Matugga-Kasangati'!K37)</f>
        <v>0.2857142857142857</v>
      </c>
      <c r="L37" s="49">
        <f>AVERAGE('23.09- Matuga -Kasangati'!L37,'24.09 Matugga-Kasangati'!L37,'25.09 Matugga-Kasangati'!L37,'27.09 Kasangati-Matugga'!L37,'26.09 Matugga-Kasangati-24h'!L37,'28.09 Matugga-Kasangati-24h'!L37,'29.09 Matugga-Kasangati'!L37)</f>
        <v>0</v>
      </c>
      <c r="M37" s="49">
        <f>AVERAGE('23.09- Matuga -Kasangati'!M37,'24.09 Matugga-Kasangati'!M37,'25.09 Matugga-Kasangati'!M37,'27.09 Kasangati-Matugga'!M37,'26.09 Matugga-Kasangati-24h'!M37,'28.09 Matugga-Kasangati-24h'!M37,'29.09 Matugga-Kasangati'!M37)</f>
        <v>32.714285714285715</v>
      </c>
      <c r="N37" s="49">
        <f>AVERAGE('23.09- Matuga -Kasangati'!N37,'24.09 Matugga-Kasangati'!N37,'25.09 Matugga-Kasangati'!N37,'27.09 Kasangati-Matugga'!N37,'26.09 Matugga-Kasangati-24h'!N37,'28.09 Matugga-Kasangati-24h'!N37,'29.09 Matugga-Kasangati'!N37)</f>
        <v>0</v>
      </c>
      <c r="O37" s="15">
        <f t="shared" si="0"/>
        <v>18.285714285714281</v>
      </c>
      <c r="P37" s="15">
        <f t="shared" si="1"/>
        <v>51</v>
      </c>
      <c r="R37" s="37" t="s">
        <v>85</v>
      </c>
      <c r="S37" s="35">
        <f t="shared" ref="S37:AF37" si="29">SUM(S10:S12)</f>
        <v>164.57142857142856</v>
      </c>
      <c r="T37" s="16">
        <f t="shared" si="29"/>
        <v>29.857142857142854</v>
      </c>
      <c r="U37" s="16">
        <f t="shared" si="29"/>
        <v>23.285714285714285</v>
      </c>
      <c r="V37" s="16">
        <f t="shared" si="29"/>
        <v>34</v>
      </c>
      <c r="W37" s="16">
        <f t="shared" si="29"/>
        <v>3.5714285714285712</v>
      </c>
      <c r="X37" s="16">
        <f t="shared" si="29"/>
        <v>0.2857142857142857</v>
      </c>
      <c r="Y37" s="16">
        <f t="shared" si="29"/>
        <v>23.714285714285715</v>
      </c>
      <c r="Z37" s="16">
        <f t="shared" si="29"/>
        <v>3.4285714285714284</v>
      </c>
      <c r="AA37" s="16">
        <f t="shared" si="29"/>
        <v>1.7142857142857142</v>
      </c>
      <c r="AB37" s="16">
        <f t="shared" si="29"/>
        <v>0.42857142857142855</v>
      </c>
      <c r="AC37" s="16">
        <f t="shared" si="29"/>
        <v>557.28571428571422</v>
      </c>
      <c r="AD37" s="16">
        <f t="shared" si="29"/>
        <v>0</v>
      </c>
      <c r="AE37" s="32">
        <f t="shared" si="29"/>
        <v>284.85714285714283</v>
      </c>
      <c r="AF37" s="32">
        <f t="shared" si="29"/>
        <v>842.14285714285711</v>
      </c>
    </row>
    <row r="38" spans="2:32" ht="23.1" customHeight="1" x14ac:dyDescent="0.25">
      <c r="B38" s="24" t="s">
        <v>65</v>
      </c>
      <c r="C38" s="49">
        <f>AVERAGE('23.09- Matuga -Kasangati'!C38,'24.09 Matugga-Kasangati'!C38,'25.09 Matugga-Kasangati'!C38,'27.09 Kasangati-Matugga'!C38,'26.09 Matugga-Kasangati-24h'!C38,'28.09 Matugga-Kasangati-24h'!C38,'29.09 Matugga-Kasangati'!C38)</f>
        <v>9.8571428571428577</v>
      </c>
      <c r="D38" s="49">
        <f>AVERAGE('23.09- Matuga -Kasangati'!D38,'24.09 Matugga-Kasangati'!D38,'25.09 Matugga-Kasangati'!D38,'27.09 Kasangati-Matugga'!D38,'26.09 Matugga-Kasangati-24h'!D38,'28.09 Matugga-Kasangati-24h'!D38,'29.09 Matugga-Kasangati'!D38)</f>
        <v>2.7142857142857144</v>
      </c>
      <c r="E38" s="49">
        <f>AVERAGE('23.09- Matuga -Kasangati'!E38,'24.09 Matugga-Kasangati'!E38,'25.09 Matugga-Kasangati'!E38,'27.09 Kasangati-Matugga'!E38,'26.09 Matugga-Kasangati-24h'!E38,'28.09 Matugga-Kasangati-24h'!E38,'29.09 Matugga-Kasangati'!E38)</f>
        <v>2.2857142857142856</v>
      </c>
      <c r="F38" s="49">
        <f>AVERAGE('23.09- Matuga -Kasangati'!F38,'24.09 Matugga-Kasangati'!F38,'25.09 Matugga-Kasangati'!F38,'27.09 Kasangati-Matugga'!F38,'26.09 Matugga-Kasangati-24h'!F38,'28.09 Matugga-Kasangati-24h'!F38,'29.09 Matugga-Kasangati'!F38)</f>
        <v>2</v>
      </c>
      <c r="G38" s="49">
        <f>AVERAGE('23.09- Matuga -Kasangati'!G38,'24.09 Matugga-Kasangati'!G38,'25.09 Matugga-Kasangati'!G38,'27.09 Kasangati-Matugga'!G38,'26.09 Matugga-Kasangati-24h'!G38,'28.09 Matugga-Kasangati-24h'!G38,'29.09 Matugga-Kasangati'!G38)</f>
        <v>0</v>
      </c>
      <c r="H38" s="49">
        <f>AVERAGE('23.09- Matuga -Kasangati'!H38,'24.09 Matugga-Kasangati'!H38,'25.09 Matugga-Kasangati'!H38,'27.09 Kasangati-Matugga'!H38,'26.09 Matugga-Kasangati-24h'!H38,'28.09 Matugga-Kasangati-24h'!H38,'29.09 Matugga-Kasangati'!H38)</f>
        <v>0</v>
      </c>
      <c r="I38" s="49">
        <f>AVERAGE('23.09- Matuga -Kasangati'!I38,'24.09 Matugga-Kasangati'!I38,'25.09 Matugga-Kasangati'!I38,'27.09 Kasangati-Matugga'!I38,'26.09 Matugga-Kasangati-24h'!I38,'28.09 Matugga-Kasangati-24h'!I38,'29.09 Matugga-Kasangati'!I38)</f>
        <v>2.1428571428571428</v>
      </c>
      <c r="J38" s="49">
        <f>AVERAGE('23.09- Matuga -Kasangati'!J38,'24.09 Matugga-Kasangati'!J38,'25.09 Matugga-Kasangati'!J38,'27.09 Kasangati-Matugga'!J38,'26.09 Matugga-Kasangati-24h'!J38,'28.09 Matugga-Kasangati-24h'!J38,'29.09 Matugga-Kasangati'!J38)</f>
        <v>0.14285714285714285</v>
      </c>
      <c r="K38" s="49">
        <f>AVERAGE('23.09- Matuga -Kasangati'!K38,'24.09 Matugga-Kasangati'!K38,'25.09 Matugga-Kasangati'!K38,'27.09 Kasangati-Matugga'!K38,'26.09 Matugga-Kasangati-24h'!K38,'28.09 Matugga-Kasangati-24h'!K38,'29.09 Matugga-Kasangati'!K38)</f>
        <v>0</v>
      </c>
      <c r="L38" s="49">
        <f>AVERAGE('23.09- Matuga -Kasangati'!L38,'24.09 Matugga-Kasangati'!L38,'25.09 Matugga-Kasangati'!L38,'27.09 Kasangati-Matugga'!L38,'26.09 Matugga-Kasangati-24h'!L38,'28.09 Matugga-Kasangati-24h'!L38,'29.09 Matugga-Kasangati'!L38)</f>
        <v>0</v>
      </c>
      <c r="M38" s="49">
        <f>AVERAGE('23.09- Matuga -Kasangati'!M38,'24.09 Matugga-Kasangati'!M38,'25.09 Matugga-Kasangati'!M38,'27.09 Kasangati-Matugga'!M38,'26.09 Matugga-Kasangati-24h'!M38,'28.09 Matugga-Kasangati-24h'!M38,'29.09 Matugga-Kasangati'!M38)</f>
        <v>28.285714285714285</v>
      </c>
      <c r="N38" s="49">
        <f>AVERAGE('23.09- Matuga -Kasangati'!N38,'24.09 Matugga-Kasangati'!N38,'25.09 Matugga-Kasangati'!N38,'27.09 Kasangati-Matugga'!N38,'26.09 Matugga-Kasangati-24h'!N38,'28.09 Matugga-Kasangati-24h'!N38,'29.09 Matugga-Kasangati'!N38)</f>
        <v>0</v>
      </c>
      <c r="O38" s="15">
        <f t="shared" si="0"/>
        <v>19.142857142857142</v>
      </c>
      <c r="P38" s="15">
        <f t="shared" si="1"/>
        <v>47.428571428571431</v>
      </c>
      <c r="R38" s="28" t="s">
        <v>86</v>
      </c>
      <c r="S38" s="16">
        <f t="shared" ref="S38:AF38" si="30">SUM(S13:S18)</f>
        <v>260.28571428571428</v>
      </c>
      <c r="T38" s="16">
        <f t="shared" si="30"/>
        <v>52.428571428571423</v>
      </c>
      <c r="U38" s="16">
        <f t="shared" si="30"/>
        <v>45.714285714285715</v>
      </c>
      <c r="V38" s="16">
        <f t="shared" si="30"/>
        <v>51.142857142857146</v>
      </c>
      <c r="W38" s="16">
        <f t="shared" si="30"/>
        <v>0.85714285714285698</v>
      </c>
      <c r="X38" s="16">
        <f t="shared" si="30"/>
        <v>0.42857142857142855</v>
      </c>
      <c r="Y38" s="16">
        <f t="shared" si="30"/>
        <v>68.428571428571431</v>
      </c>
      <c r="Z38" s="16">
        <f t="shared" si="30"/>
        <v>12.285714285714285</v>
      </c>
      <c r="AA38" s="16">
        <f t="shared" si="30"/>
        <v>6.4285714285714288</v>
      </c>
      <c r="AB38" s="16">
        <f t="shared" si="30"/>
        <v>1.8571428571428568</v>
      </c>
      <c r="AC38" s="16">
        <f t="shared" si="30"/>
        <v>882.28571428571445</v>
      </c>
      <c r="AD38" s="16">
        <f t="shared" si="30"/>
        <v>0.14285714285714285</v>
      </c>
      <c r="AE38" s="32">
        <f t="shared" si="30"/>
        <v>500</v>
      </c>
      <c r="AF38" s="32">
        <f t="shared" si="30"/>
        <v>1382.2857142857142</v>
      </c>
    </row>
    <row r="39" spans="2:32" ht="23.1" customHeight="1" x14ac:dyDescent="0.25">
      <c r="B39" s="24" t="s">
        <v>66</v>
      </c>
      <c r="C39" s="49">
        <f>AVERAGE('23.09- Matuga -Kasangati'!C39,'24.09 Matugga-Kasangati'!C39,'25.09 Matugga-Kasangati'!C39,'27.09 Kasangati-Matugga'!C39,'26.09 Matugga-Kasangati-24h'!C39,'28.09 Matugga-Kasangati-24h'!C39,'29.09 Matugga-Kasangati'!C39)</f>
        <v>8.5714285714285712</v>
      </c>
      <c r="D39" s="49">
        <f>AVERAGE('23.09- Matuga -Kasangati'!D39,'24.09 Matugga-Kasangati'!D39,'25.09 Matugga-Kasangati'!D39,'27.09 Kasangati-Matugga'!D39,'26.09 Matugga-Kasangati-24h'!D39,'28.09 Matugga-Kasangati-24h'!D39,'29.09 Matugga-Kasangati'!D39)</f>
        <v>1.2857142857142858</v>
      </c>
      <c r="E39" s="49">
        <f>AVERAGE('23.09- Matuga -Kasangati'!E39,'24.09 Matugga-Kasangati'!E39,'25.09 Matugga-Kasangati'!E39,'27.09 Kasangati-Matugga'!E39,'26.09 Matugga-Kasangati-24h'!E39,'28.09 Matugga-Kasangati-24h'!E39,'29.09 Matugga-Kasangati'!E39)</f>
        <v>1.5714285714285714</v>
      </c>
      <c r="F39" s="49">
        <f>AVERAGE('23.09- Matuga -Kasangati'!F39,'24.09 Matugga-Kasangati'!F39,'25.09 Matugga-Kasangati'!F39,'27.09 Kasangati-Matugga'!F39,'26.09 Matugga-Kasangati-24h'!F39,'28.09 Matugga-Kasangati-24h'!F39,'29.09 Matugga-Kasangati'!F39)</f>
        <v>2.7142857142857144</v>
      </c>
      <c r="G39" s="49">
        <f>AVERAGE('23.09- Matuga -Kasangati'!G39,'24.09 Matugga-Kasangati'!G39,'25.09 Matugga-Kasangati'!G39,'27.09 Kasangati-Matugga'!G39,'26.09 Matugga-Kasangati-24h'!G39,'28.09 Matugga-Kasangati-24h'!G39,'29.09 Matugga-Kasangati'!G39)</f>
        <v>0</v>
      </c>
      <c r="H39" s="49">
        <f>AVERAGE('23.09- Matuga -Kasangati'!H39,'24.09 Matugga-Kasangati'!H39,'25.09 Matugga-Kasangati'!H39,'27.09 Kasangati-Matugga'!H39,'26.09 Matugga-Kasangati-24h'!H39,'28.09 Matugga-Kasangati-24h'!H39,'29.09 Matugga-Kasangati'!H39)</f>
        <v>0</v>
      </c>
      <c r="I39" s="49">
        <f>AVERAGE('23.09- Matuga -Kasangati'!I39,'24.09 Matugga-Kasangati'!I39,'25.09 Matugga-Kasangati'!I39,'27.09 Kasangati-Matugga'!I39,'26.09 Matugga-Kasangati-24h'!I39,'28.09 Matugga-Kasangati-24h'!I39,'29.09 Matugga-Kasangati'!I39)</f>
        <v>3.1428571428571428</v>
      </c>
      <c r="J39" s="49">
        <f>AVERAGE('23.09- Matuga -Kasangati'!J39,'24.09 Matugga-Kasangati'!J39,'25.09 Matugga-Kasangati'!J39,'27.09 Kasangati-Matugga'!J39,'26.09 Matugga-Kasangati-24h'!J39,'28.09 Matugga-Kasangati-24h'!J39,'29.09 Matugga-Kasangati'!J39)</f>
        <v>0.42857142857142855</v>
      </c>
      <c r="K39" s="49">
        <f>AVERAGE('23.09- Matuga -Kasangati'!K39,'24.09 Matugga-Kasangati'!K39,'25.09 Matugga-Kasangati'!K39,'27.09 Kasangati-Matugga'!K39,'26.09 Matugga-Kasangati-24h'!K39,'28.09 Matugga-Kasangati-24h'!K39,'29.09 Matugga-Kasangati'!K39)</f>
        <v>0.14285714285714285</v>
      </c>
      <c r="L39" s="49">
        <f>AVERAGE('23.09- Matuga -Kasangati'!L39,'24.09 Matugga-Kasangati'!L39,'25.09 Matugga-Kasangati'!L39,'27.09 Kasangati-Matugga'!L39,'26.09 Matugga-Kasangati-24h'!L39,'28.09 Matugga-Kasangati-24h'!L39,'29.09 Matugga-Kasangati'!L39)</f>
        <v>0</v>
      </c>
      <c r="M39" s="49">
        <f>AVERAGE('23.09- Matuga -Kasangati'!M39,'24.09 Matugga-Kasangati'!M39,'25.09 Matugga-Kasangati'!M39,'27.09 Kasangati-Matugga'!M39,'26.09 Matugga-Kasangati-24h'!M39,'28.09 Matugga-Kasangati-24h'!M39,'29.09 Matugga-Kasangati'!M39)</f>
        <v>29.571428571428573</v>
      </c>
      <c r="N39" s="49">
        <f>AVERAGE('23.09- Matuga -Kasangati'!N39,'24.09 Matugga-Kasangati'!N39,'25.09 Matugga-Kasangati'!N39,'27.09 Kasangati-Matugga'!N39,'26.09 Matugga-Kasangati-24h'!N39,'28.09 Matugga-Kasangati-24h'!N39,'29.09 Matugga-Kasangati'!N39)</f>
        <v>0</v>
      </c>
      <c r="O39" s="15">
        <f t="shared" si="0"/>
        <v>17.857142857142854</v>
      </c>
      <c r="P39" s="15">
        <f t="shared" si="1"/>
        <v>47.428571428571431</v>
      </c>
      <c r="R39" s="29" t="s">
        <v>87</v>
      </c>
      <c r="S39" s="16">
        <f t="shared" ref="S39:AF39" si="31">SUM(S19:S21)</f>
        <v>183.71428571428569</v>
      </c>
      <c r="T39" s="16">
        <f t="shared" si="31"/>
        <v>42.142857142857139</v>
      </c>
      <c r="U39" s="16">
        <f t="shared" si="31"/>
        <v>36.857142857142861</v>
      </c>
      <c r="V39" s="16">
        <f t="shared" si="31"/>
        <v>55.857142857142861</v>
      </c>
      <c r="W39" s="16">
        <f t="shared" si="31"/>
        <v>2.2857142857142856</v>
      </c>
      <c r="X39" s="16">
        <f t="shared" si="31"/>
        <v>0</v>
      </c>
      <c r="Y39" s="16">
        <f t="shared" si="31"/>
        <v>33</v>
      </c>
      <c r="Z39" s="16">
        <f t="shared" si="31"/>
        <v>7.4285714285714288</v>
      </c>
      <c r="AA39" s="16">
        <f t="shared" si="31"/>
        <v>3.4285714285714284</v>
      </c>
      <c r="AB39" s="16">
        <f t="shared" si="31"/>
        <v>0.5714285714285714</v>
      </c>
      <c r="AC39" s="16">
        <f t="shared" si="31"/>
        <v>484.28571428571433</v>
      </c>
      <c r="AD39" s="16">
        <f t="shared" si="31"/>
        <v>0.2857142857142857</v>
      </c>
      <c r="AE39" s="32">
        <f t="shared" si="31"/>
        <v>365.57142857142856</v>
      </c>
      <c r="AF39" s="32">
        <f t="shared" si="31"/>
        <v>849.85714285714278</v>
      </c>
    </row>
    <row r="40" spans="2:32" ht="23.1" customHeight="1" x14ac:dyDescent="0.25">
      <c r="B40" s="24" t="s">
        <v>67</v>
      </c>
      <c r="C40" s="49">
        <f>AVERAGE('23.09- Matuga -Kasangati'!C40,'24.09 Matugga-Kasangati'!C40,'25.09 Matugga-Kasangati'!C40,'27.09 Kasangati-Matugga'!C40,'26.09 Matugga-Kasangati-24h'!C40,'28.09 Matugga-Kasangati-24h'!C40,'29.09 Matugga-Kasangati'!C40)</f>
        <v>8.8571428571428577</v>
      </c>
      <c r="D40" s="49">
        <f>AVERAGE('23.09- Matuga -Kasangati'!D40,'24.09 Matugga-Kasangati'!D40,'25.09 Matugga-Kasangati'!D40,'27.09 Kasangati-Matugga'!D40,'26.09 Matugga-Kasangati-24h'!D40,'28.09 Matugga-Kasangati-24h'!D40,'29.09 Matugga-Kasangati'!D40)</f>
        <v>2.5714285714285716</v>
      </c>
      <c r="E40" s="49">
        <f>AVERAGE('23.09- Matuga -Kasangati'!E40,'24.09 Matugga-Kasangati'!E40,'25.09 Matugga-Kasangati'!E40,'27.09 Kasangati-Matugga'!E40,'26.09 Matugga-Kasangati-24h'!E40,'28.09 Matugga-Kasangati-24h'!E40,'29.09 Matugga-Kasangati'!E40)</f>
        <v>1.7142857142857142</v>
      </c>
      <c r="F40" s="49">
        <f>AVERAGE('23.09- Matuga -Kasangati'!F40,'24.09 Matugga-Kasangati'!F40,'25.09 Matugga-Kasangati'!F40,'27.09 Kasangati-Matugga'!F40,'26.09 Matugga-Kasangati-24h'!F40,'28.09 Matugga-Kasangati-24h'!F40,'29.09 Matugga-Kasangati'!F40)</f>
        <v>2.7142857142857144</v>
      </c>
      <c r="G40" s="49">
        <f>AVERAGE('23.09- Matuga -Kasangati'!G40,'24.09 Matugga-Kasangati'!G40,'25.09 Matugga-Kasangati'!G40,'27.09 Kasangati-Matugga'!G40,'26.09 Matugga-Kasangati-24h'!G40,'28.09 Matugga-Kasangati-24h'!G40,'29.09 Matugga-Kasangati'!G40)</f>
        <v>0</v>
      </c>
      <c r="H40" s="49">
        <f>AVERAGE('23.09- Matuga -Kasangati'!H40,'24.09 Matugga-Kasangati'!H40,'25.09 Matugga-Kasangati'!H40,'27.09 Kasangati-Matugga'!H40,'26.09 Matugga-Kasangati-24h'!H40,'28.09 Matugga-Kasangati-24h'!H40,'29.09 Matugga-Kasangati'!H40)</f>
        <v>0</v>
      </c>
      <c r="I40" s="49">
        <f>AVERAGE('23.09- Matuga -Kasangati'!I40,'24.09 Matugga-Kasangati'!I40,'25.09 Matugga-Kasangati'!I40,'27.09 Kasangati-Matugga'!I40,'26.09 Matugga-Kasangati-24h'!I40,'28.09 Matugga-Kasangati-24h'!I40,'29.09 Matugga-Kasangati'!I40)</f>
        <v>2.1428571428571428</v>
      </c>
      <c r="J40" s="49">
        <f>AVERAGE('23.09- Matuga -Kasangati'!J40,'24.09 Matugga-Kasangati'!J40,'25.09 Matugga-Kasangati'!J40,'27.09 Kasangati-Matugga'!J40,'26.09 Matugga-Kasangati-24h'!J40,'28.09 Matugga-Kasangati-24h'!J40,'29.09 Matugga-Kasangati'!J40)</f>
        <v>0.2857142857142857</v>
      </c>
      <c r="K40" s="49">
        <f>AVERAGE('23.09- Matuga -Kasangati'!K40,'24.09 Matugga-Kasangati'!K40,'25.09 Matugga-Kasangati'!K40,'27.09 Kasangati-Matugga'!K40,'26.09 Matugga-Kasangati-24h'!K40,'28.09 Matugga-Kasangati-24h'!K40,'29.09 Matugga-Kasangati'!K40)</f>
        <v>0.14285714285714285</v>
      </c>
      <c r="L40" s="49">
        <f>AVERAGE('23.09- Matuga -Kasangati'!L40,'24.09 Matugga-Kasangati'!L40,'25.09 Matugga-Kasangati'!L40,'27.09 Kasangati-Matugga'!L40,'26.09 Matugga-Kasangati-24h'!L40,'28.09 Matugga-Kasangati-24h'!L40,'29.09 Matugga-Kasangati'!L40)</f>
        <v>0.2857142857142857</v>
      </c>
      <c r="M40" s="49">
        <f>AVERAGE('23.09- Matuga -Kasangati'!M40,'24.09 Matugga-Kasangati'!M40,'25.09 Matugga-Kasangati'!M40,'27.09 Kasangati-Matugga'!M40,'26.09 Matugga-Kasangati-24h'!M40,'28.09 Matugga-Kasangati-24h'!M40,'29.09 Matugga-Kasangati'!M40)</f>
        <v>36.571428571428569</v>
      </c>
      <c r="N40" s="49">
        <f>AVERAGE('23.09- Matuga -Kasangati'!N40,'24.09 Matugga-Kasangati'!N40,'25.09 Matugga-Kasangati'!N40,'27.09 Kasangati-Matugga'!N40,'26.09 Matugga-Kasangati-24h'!N40,'28.09 Matugga-Kasangati-24h'!N40,'29.09 Matugga-Kasangati'!N40)</f>
        <v>0</v>
      </c>
      <c r="O40" s="15">
        <f t="shared" si="0"/>
        <v>18.714285714285712</v>
      </c>
      <c r="P40" s="15">
        <f t="shared" si="1"/>
        <v>55.285714285714278</v>
      </c>
      <c r="R40" s="5" t="s">
        <v>17</v>
      </c>
      <c r="S40" s="16">
        <f t="shared" ref="S40:AF40" si="32">SUM(S10:S21)</f>
        <v>608.57142857142856</v>
      </c>
      <c r="T40" s="16">
        <f t="shared" si="32"/>
        <v>124.42857142857142</v>
      </c>
      <c r="U40" s="16">
        <f t="shared" si="32"/>
        <v>105.85714285714286</v>
      </c>
      <c r="V40" s="16">
        <f t="shared" si="32"/>
        <v>141</v>
      </c>
      <c r="W40" s="16">
        <f t="shared" si="32"/>
        <v>6.7142857142857144</v>
      </c>
      <c r="X40" s="16">
        <f t="shared" si="32"/>
        <v>0.71428571428571419</v>
      </c>
      <c r="Y40" s="16">
        <f t="shared" si="32"/>
        <v>125.14285714285714</v>
      </c>
      <c r="Z40" s="16">
        <f t="shared" si="32"/>
        <v>23.142857142857142</v>
      </c>
      <c r="AA40" s="16">
        <f t="shared" si="32"/>
        <v>11.571428571428573</v>
      </c>
      <c r="AB40" s="16">
        <f t="shared" si="32"/>
        <v>2.8571428571428568</v>
      </c>
      <c r="AC40" s="16">
        <f t="shared" si="32"/>
        <v>1923.8571428571429</v>
      </c>
      <c r="AD40" s="16">
        <f t="shared" si="32"/>
        <v>0.42857142857142855</v>
      </c>
      <c r="AE40" s="32">
        <f t="shared" si="32"/>
        <v>1150.4285714285713</v>
      </c>
      <c r="AF40" s="32">
        <f t="shared" si="32"/>
        <v>3074.2857142857138</v>
      </c>
    </row>
    <row r="41" spans="2:32" ht="23.1" customHeight="1" x14ac:dyDescent="0.25">
      <c r="B41" s="23" t="s">
        <v>68</v>
      </c>
      <c r="C41" s="49">
        <f>AVERAGE('23.09- Matuga -Kasangati'!C41,'24.09 Matugga-Kasangati'!C41,'25.09 Matugga-Kasangati'!C41,'27.09 Kasangati-Matugga'!C41,'26.09 Matugga-Kasangati-24h'!C41,'28.09 Matugga-Kasangati-24h'!C41,'29.09 Matugga-Kasangati'!C41)</f>
        <v>9.8571428571428577</v>
      </c>
      <c r="D41" s="49">
        <f>AVERAGE('23.09- Matuga -Kasangati'!D41,'24.09 Matugga-Kasangati'!D41,'25.09 Matugga-Kasangati'!D41,'27.09 Kasangati-Matugga'!D41,'26.09 Matugga-Kasangati-24h'!D41,'28.09 Matugga-Kasangati-24h'!D41,'29.09 Matugga-Kasangati'!D41)</f>
        <v>2.1428571428571428</v>
      </c>
      <c r="E41" s="49">
        <f>AVERAGE('23.09- Matuga -Kasangati'!E41,'24.09 Matugga-Kasangati'!E41,'25.09 Matugga-Kasangati'!E41,'27.09 Kasangati-Matugga'!E41,'26.09 Matugga-Kasangati-24h'!E41,'28.09 Matugga-Kasangati-24h'!E41,'29.09 Matugga-Kasangati'!E41)</f>
        <v>2.1428571428571428</v>
      </c>
      <c r="F41" s="49">
        <f>AVERAGE('23.09- Matuga -Kasangati'!F41,'24.09 Matugga-Kasangati'!F41,'25.09 Matugga-Kasangati'!F41,'27.09 Kasangati-Matugga'!F41,'26.09 Matugga-Kasangati-24h'!F41,'28.09 Matugga-Kasangati-24h'!F41,'29.09 Matugga-Kasangati'!F41)</f>
        <v>1.5714285714285714</v>
      </c>
      <c r="G41" s="49">
        <f>AVERAGE('23.09- Matuga -Kasangati'!G41,'24.09 Matugga-Kasangati'!G41,'25.09 Matugga-Kasangati'!G41,'27.09 Kasangati-Matugga'!G41,'26.09 Matugga-Kasangati-24h'!G41,'28.09 Matugga-Kasangati-24h'!G41,'29.09 Matugga-Kasangati'!G41)</f>
        <v>0</v>
      </c>
      <c r="H41" s="49">
        <f>AVERAGE('23.09- Matuga -Kasangati'!H41,'24.09 Matugga-Kasangati'!H41,'25.09 Matugga-Kasangati'!H41,'27.09 Kasangati-Matugga'!H41,'26.09 Matugga-Kasangati-24h'!H41,'28.09 Matugga-Kasangati-24h'!H41,'29.09 Matugga-Kasangati'!H41)</f>
        <v>0</v>
      </c>
      <c r="I41" s="49">
        <f>AVERAGE('23.09- Matuga -Kasangati'!I41,'24.09 Matugga-Kasangati'!I41,'25.09 Matugga-Kasangati'!I41,'27.09 Kasangati-Matugga'!I41,'26.09 Matugga-Kasangati-24h'!I41,'28.09 Matugga-Kasangati-24h'!I41,'29.09 Matugga-Kasangati'!I41)</f>
        <v>2.1428571428571428</v>
      </c>
      <c r="J41" s="49">
        <f>AVERAGE('23.09- Matuga -Kasangati'!J41,'24.09 Matugga-Kasangati'!J41,'25.09 Matugga-Kasangati'!J41,'27.09 Kasangati-Matugga'!J41,'26.09 Matugga-Kasangati-24h'!J41,'28.09 Matugga-Kasangati-24h'!J41,'29.09 Matugga-Kasangati'!J41)</f>
        <v>0.5714285714285714</v>
      </c>
      <c r="K41" s="49">
        <f>AVERAGE('23.09- Matuga -Kasangati'!K41,'24.09 Matugga-Kasangati'!K41,'25.09 Matugga-Kasangati'!K41,'27.09 Kasangati-Matugga'!K41,'26.09 Matugga-Kasangati-24h'!K41,'28.09 Matugga-Kasangati-24h'!K41,'29.09 Matugga-Kasangati'!K41)</f>
        <v>0.14285714285714285</v>
      </c>
      <c r="L41" s="49">
        <f>AVERAGE('23.09- Matuga -Kasangati'!L41,'24.09 Matugga-Kasangati'!L41,'25.09 Matugga-Kasangati'!L41,'27.09 Kasangati-Matugga'!L41,'26.09 Matugga-Kasangati-24h'!L41,'28.09 Matugga-Kasangati-24h'!L41,'29.09 Matugga-Kasangati'!L41)</f>
        <v>0</v>
      </c>
      <c r="M41" s="49">
        <f>AVERAGE('23.09- Matuga -Kasangati'!M41,'24.09 Matugga-Kasangati'!M41,'25.09 Matugga-Kasangati'!M41,'27.09 Kasangati-Matugga'!M41,'26.09 Matugga-Kasangati-24h'!M41,'28.09 Matugga-Kasangati-24h'!M41,'29.09 Matugga-Kasangati'!M41)</f>
        <v>32.285714285714285</v>
      </c>
      <c r="N41" s="49">
        <f>AVERAGE('23.09- Matuga -Kasangati'!N41,'24.09 Matugga-Kasangati'!N41,'25.09 Matugga-Kasangati'!N41,'27.09 Kasangati-Matugga'!N41,'26.09 Matugga-Kasangati-24h'!N41,'28.09 Matugga-Kasangati-24h'!N41,'29.09 Matugga-Kasangati'!N41)</f>
        <v>0</v>
      </c>
      <c r="O41" s="15">
        <f t="shared" si="0"/>
        <v>18.571428571428573</v>
      </c>
      <c r="P41" s="15">
        <f t="shared" si="1"/>
        <v>50.857142857142861</v>
      </c>
      <c r="R41" s="106" t="s">
        <v>180</v>
      </c>
      <c r="S41" s="148">
        <f>SUM(S10:S33)</f>
        <v>926.57142857142856</v>
      </c>
      <c r="T41" s="148">
        <f t="shared" ref="T41:AD41" si="33">SUM(T10:T33)</f>
        <v>191.42857142857142</v>
      </c>
      <c r="U41" s="148">
        <f t="shared" si="33"/>
        <v>162.35714285714286</v>
      </c>
      <c r="V41" s="148">
        <f t="shared" si="33"/>
        <v>228.5</v>
      </c>
      <c r="W41" s="148">
        <f t="shared" si="33"/>
        <v>10.214285714285715</v>
      </c>
      <c r="X41" s="148">
        <f t="shared" si="33"/>
        <v>0.71428571428571419</v>
      </c>
      <c r="Y41" s="148">
        <f t="shared" si="33"/>
        <v>161.64285714285714</v>
      </c>
      <c r="Z41" s="148">
        <f t="shared" si="33"/>
        <v>35.642857142857139</v>
      </c>
      <c r="AA41" s="148">
        <f t="shared" si="33"/>
        <v>17.571428571428573</v>
      </c>
      <c r="AB41" s="148">
        <f t="shared" si="33"/>
        <v>5.3571428571428568</v>
      </c>
      <c r="AC41" s="148">
        <f t="shared" si="33"/>
        <v>2885.8571428571431</v>
      </c>
      <c r="AD41" s="148">
        <f t="shared" si="33"/>
        <v>0.42857142857142855</v>
      </c>
      <c r="AE41" s="149">
        <f>SUM(AE10:AE33)</f>
        <v>1740.4285714285713</v>
      </c>
      <c r="AF41" s="149">
        <f>SUM(AF10:AF33)</f>
        <v>4626.2857142857138</v>
      </c>
    </row>
    <row r="42" spans="2:32" ht="23.1" customHeight="1" x14ac:dyDescent="0.25">
      <c r="B42" s="24" t="s">
        <v>69</v>
      </c>
      <c r="C42" s="49">
        <f>AVERAGE('23.09- Matuga -Kasangati'!C42,'24.09 Matugga-Kasangati'!C42,'25.09 Matugga-Kasangati'!C42,'27.09 Kasangati-Matugga'!C42,'26.09 Matugga-Kasangati-24h'!C42,'28.09 Matugga-Kasangati-24h'!C42,'29.09 Matugga-Kasangati'!C42)</f>
        <v>11</v>
      </c>
      <c r="D42" s="49">
        <f>AVERAGE('23.09- Matuga -Kasangati'!D42,'24.09 Matugga-Kasangati'!D42,'25.09 Matugga-Kasangati'!D42,'27.09 Kasangati-Matugga'!D42,'26.09 Matugga-Kasangati-24h'!D42,'28.09 Matugga-Kasangati-24h'!D42,'29.09 Matugga-Kasangati'!D42)</f>
        <v>1.8571428571428572</v>
      </c>
      <c r="E42" s="49">
        <f>AVERAGE('23.09- Matuga -Kasangati'!E42,'24.09 Matugga-Kasangati'!E42,'25.09 Matugga-Kasangati'!E42,'27.09 Kasangati-Matugga'!E42,'26.09 Matugga-Kasangati-24h'!E42,'28.09 Matugga-Kasangati-24h'!E42,'29.09 Matugga-Kasangati'!E42)</f>
        <v>1.2857142857142858</v>
      </c>
      <c r="F42" s="49">
        <f>AVERAGE('23.09- Matuga -Kasangati'!F42,'24.09 Matugga-Kasangati'!F42,'25.09 Matugga-Kasangati'!F42,'27.09 Kasangati-Matugga'!F42,'26.09 Matugga-Kasangati-24h'!F42,'28.09 Matugga-Kasangati-24h'!F42,'29.09 Matugga-Kasangati'!F42)</f>
        <v>1.8571428571428572</v>
      </c>
      <c r="G42" s="49">
        <f>AVERAGE('23.09- Matuga -Kasangati'!G42,'24.09 Matugga-Kasangati'!G42,'25.09 Matugga-Kasangati'!G42,'27.09 Kasangati-Matugga'!G42,'26.09 Matugga-Kasangati-24h'!G42,'28.09 Matugga-Kasangati-24h'!G42,'29.09 Matugga-Kasangati'!G42)</f>
        <v>0</v>
      </c>
      <c r="H42" s="49">
        <f>AVERAGE('23.09- Matuga -Kasangati'!H42,'24.09 Matugga-Kasangati'!H42,'25.09 Matugga-Kasangati'!H42,'27.09 Kasangati-Matugga'!H42,'26.09 Matugga-Kasangati-24h'!H42,'28.09 Matugga-Kasangati-24h'!H42,'29.09 Matugga-Kasangati'!H42)</f>
        <v>0.14285714285714285</v>
      </c>
      <c r="I42" s="49">
        <f>AVERAGE('23.09- Matuga -Kasangati'!I42,'24.09 Matugga-Kasangati'!I42,'25.09 Matugga-Kasangati'!I42,'27.09 Kasangati-Matugga'!I42,'26.09 Matugga-Kasangati-24h'!I42,'28.09 Matugga-Kasangati-24h'!I42,'29.09 Matugga-Kasangati'!I42)</f>
        <v>2.2857142857142856</v>
      </c>
      <c r="J42" s="49">
        <f>AVERAGE('23.09- Matuga -Kasangati'!J42,'24.09 Matugga-Kasangati'!J42,'25.09 Matugga-Kasangati'!J42,'27.09 Kasangati-Matugga'!J42,'26.09 Matugga-Kasangati-24h'!J42,'28.09 Matugga-Kasangati-24h'!J42,'29.09 Matugga-Kasangati'!J42)</f>
        <v>0.7142857142857143</v>
      </c>
      <c r="K42" s="49">
        <f>AVERAGE('23.09- Matuga -Kasangati'!K42,'24.09 Matugga-Kasangati'!K42,'25.09 Matugga-Kasangati'!K42,'27.09 Kasangati-Matugga'!K42,'26.09 Matugga-Kasangati-24h'!K42,'28.09 Matugga-Kasangati-24h'!K42,'29.09 Matugga-Kasangati'!K42)</f>
        <v>0.14285714285714285</v>
      </c>
      <c r="L42" s="49">
        <f>AVERAGE('23.09- Matuga -Kasangati'!L42,'24.09 Matugga-Kasangati'!L42,'25.09 Matugga-Kasangati'!L42,'27.09 Kasangati-Matugga'!L42,'26.09 Matugga-Kasangati-24h'!L42,'28.09 Matugga-Kasangati-24h'!L42,'29.09 Matugga-Kasangati'!L42)</f>
        <v>0</v>
      </c>
      <c r="M42" s="49">
        <f>AVERAGE('23.09- Matuga -Kasangati'!M42,'24.09 Matugga-Kasangati'!M42,'25.09 Matugga-Kasangati'!M42,'27.09 Kasangati-Matugga'!M42,'26.09 Matugga-Kasangati-24h'!M42,'28.09 Matugga-Kasangati-24h'!M42,'29.09 Matugga-Kasangati'!M42)</f>
        <v>33.571428571428569</v>
      </c>
      <c r="N42" s="49">
        <f>AVERAGE('23.09- Matuga -Kasangati'!N42,'24.09 Matugga-Kasangati'!N42,'25.09 Matugga-Kasangati'!N42,'27.09 Kasangati-Matugga'!N42,'26.09 Matugga-Kasangati-24h'!N42,'28.09 Matugga-Kasangati-24h'!N42,'29.09 Matugga-Kasangati'!N42)</f>
        <v>0</v>
      </c>
      <c r="O42" s="15">
        <f t="shared" si="0"/>
        <v>19.285714285714285</v>
      </c>
      <c r="P42" s="15">
        <f t="shared" si="1"/>
        <v>52.857142857142854</v>
      </c>
      <c r="R42" s="106" t="s">
        <v>160</v>
      </c>
      <c r="S42" s="99">
        <f>S41/S40</f>
        <v>1.5225352112676056</v>
      </c>
      <c r="T42" s="99">
        <f t="shared" ref="T42:AF42" si="34">T41/T40</f>
        <v>1.5384615384615385</v>
      </c>
      <c r="U42" s="99">
        <f t="shared" si="34"/>
        <v>1.5337381916329285</v>
      </c>
      <c r="V42" s="99">
        <f t="shared" si="34"/>
        <v>1.6205673758865249</v>
      </c>
      <c r="W42" s="99">
        <f t="shared" si="34"/>
        <v>1.521276595744681</v>
      </c>
      <c r="X42" s="99">
        <f t="shared" si="34"/>
        <v>1</v>
      </c>
      <c r="Y42" s="99">
        <f t="shared" si="34"/>
        <v>1.2916666666666667</v>
      </c>
      <c r="Z42" s="99">
        <f t="shared" si="34"/>
        <v>1.5401234567901234</v>
      </c>
      <c r="AA42" s="99">
        <f t="shared" si="34"/>
        <v>1.5185185185185184</v>
      </c>
      <c r="AB42" s="99">
        <f t="shared" si="34"/>
        <v>1.8750000000000002</v>
      </c>
      <c r="AC42" s="99">
        <f t="shared" si="34"/>
        <v>1.5000371277938667</v>
      </c>
      <c r="AD42" s="99">
        <f>AD41/AD40</f>
        <v>1</v>
      </c>
      <c r="AE42" s="147">
        <f t="shared" si="34"/>
        <v>1.5128523531603131</v>
      </c>
      <c r="AF42" s="147">
        <f t="shared" si="34"/>
        <v>1.5048327137546469</v>
      </c>
    </row>
    <row r="43" spans="2:32" ht="23.1" customHeight="1" x14ac:dyDescent="0.25">
      <c r="B43" s="23" t="s">
        <v>70</v>
      </c>
      <c r="C43" s="49">
        <f>AVERAGE('23.09- Matuga -Kasangati'!C43,'24.09 Matugga-Kasangati'!C43,'25.09 Matugga-Kasangati'!C43,'27.09 Kasangati-Matugga'!C43,'26.09 Matugga-Kasangati-24h'!C43,'28.09 Matugga-Kasangati-24h'!C43,'29.09 Matugga-Kasangati'!C43)</f>
        <v>11.714285714285714</v>
      </c>
      <c r="D43" s="49">
        <f>AVERAGE('23.09- Matuga -Kasangati'!D43,'24.09 Matugga-Kasangati'!D43,'25.09 Matugga-Kasangati'!D43,'27.09 Kasangati-Matugga'!D43,'26.09 Matugga-Kasangati-24h'!D43,'28.09 Matugga-Kasangati-24h'!D43,'29.09 Matugga-Kasangati'!D43)</f>
        <v>1.5714285714285714</v>
      </c>
      <c r="E43" s="49">
        <f>AVERAGE('23.09- Matuga -Kasangati'!E43,'24.09 Matugga-Kasangati'!E43,'25.09 Matugga-Kasangati'!E43,'27.09 Kasangati-Matugga'!E43,'26.09 Matugga-Kasangati-24h'!E43,'28.09 Matugga-Kasangati-24h'!E43,'29.09 Matugga-Kasangati'!E43)</f>
        <v>2.1428571428571428</v>
      </c>
      <c r="F43" s="49">
        <f>AVERAGE('23.09- Matuga -Kasangati'!F43,'24.09 Matugga-Kasangati'!F43,'25.09 Matugga-Kasangati'!F43,'27.09 Kasangati-Matugga'!F43,'26.09 Matugga-Kasangati-24h'!F43,'28.09 Matugga-Kasangati-24h'!F43,'29.09 Matugga-Kasangati'!F43)</f>
        <v>1.8571428571428572</v>
      </c>
      <c r="G43" s="49">
        <f>AVERAGE('23.09- Matuga -Kasangati'!G43,'24.09 Matugga-Kasangati'!G43,'25.09 Matugga-Kasangati'!G43,'27.09 Kasangati-Matugga'!G43,'26.09 Matugga-Kasangati-24h'!G43,'28.09 Matugga-Kasangati-24h'!G43,'29.09 Matugga-Kasangati'!G43)</f>
        <v>0</v>
      </c>
      <c r="H43" s="49">
        <f>AVERAGE('23.09- Matuga -Kasangati'!H43,'24.09 Matugga-Kasangati'!H43,'25.09 Matugga-Kasangati'!H43,'27.09 Kasangati-Matugga'!H43,'26.09 Matugga-Kasangati-24h'!H43,'28.09 Matugga-Kasangati-24h'!H43,'29.09 Matugga-Kasangati'!H43)</f>
        <v>0</v>
      </c>
      <c r="I43" s="49">
        <f>AVERAGE('23.09- Matuga -Kasangati'!I43,'24.09 Matugga-Kasangati'!I43,'25.09 Matugga-Kasangati'!I43,'27.09 Kasangati-Matugga'!I43,'26.09 Matugga-Kasangati-24h'!I43,'28.09 Matugga-Kasangati-24h'!I43,'29.09 Matugga-Kasangati'!I43)</f>
        <v>2.1428571428571428</v>
      </c>
      <c r="J43" s="49">
        <f>AVERAGE('23.09- Matuga -Kasangati'!J43,'24.09 Matugga-Kasangati'!J43,'25.09 Matugga-Kasangati'!J43,'27.09 Kasangati-Matugga'!J43,'26.09 Matugga-Kasangati-24h'!J43,'28.09 Matugga-Kasangati-24h'!J43,'29.09 Matugga-Kasangati'!J43)</f>
        <v>0.42857142857142855</v>
      </c>
      <c r="K43" s="49">
        <f>AVERAGE('23.09- Matuga -Kasangati'!K43,'24.09 Matugga-Kasangati'!K43,'25.09 Matugga-Kasangati'!K43,'27.09 Kasangati-Matugga'!K43,'26.09 Matugga-Kasangati-24h'!K43,'28.09 Matugga-Kasangati-24h'!K43,'29.09 Matugga-Kasangati'!K43)</f>
        <v>0</v>
      </c>
      <c r="L43" s="49">
        <f>AVERAGE('23.09- Matuga -Kasangati'!L43,'24.09 Matugga-Kasangati'!L43,'25.09 Matugga-Kasangati'!L43,'27.09 Kasangati-Matugga'!L43,'26.09 Matugga-Kasangati-24h'!L43,'28.09 Matugga-Kasangati-24h'!L43,'29.09 Matugga-Kasangati'!L43)</f>
        <v>0.14285714285714285</v>
      </c>
      <c r="M43" s="49">
        <f>AVERAGE('23.09- Matuga -Kasangati'!M43,'24.09 Matugga-Kasangati'!M43,'25.09 Matugga-Kasangati'!M43,'27.09 Kasangati-Matugga'!M43,'26.09 Matugga-Kasangati-24h'!M43,'28.09 Matugga-Kasangati-24h'!M43,'29.09 Matugga-Kasangati'!M43)</f>
        <v>37.857142857142854</v>
      </c>
      <c r="N43" s="49">
        <f>AVERAGE('23.09- Matuga -Kasangati'!N43,'24.09 Matugga-Kasangati'!N43,'25.09 Matugga-Kasangati'!N43,'27.09 Kasangati-Matugga'!N43,'26.09 Matugga-Kasangati-24h'!N43,'28.09 Matugga-Kasangati-24h'!N43,'29.09 Matugga-Kasangati'!N43)</f>
        <v>0</v>
      </c>
      <c r="O43" s="15">
        <f t="shared" si="0"/>
        <v>19.999999999999996</v>
      </c>
      <c r="P43" s="15">
        <f t="shared" si="1"/>
        <v>57.857142857142847</v>
      </c>
    </row>
    <row r="44" spans="2:32" ht="23.1" customHeight="1" x14ac:dyDescent="0.25">
      <c r="B44" s="25" t="s">
        <v>71</v>
      </c>
      <c r="C44" s="49">
        <f>AVERAGE('23.09- Matuga -Kasangati'!C44,'24.09 Matugga-Kasangati'!C44,'25.09 Matugga-Kasangati'!C44,'27.09 Kasangati-Matugga'!C44,'26.09 Matugga-Kasangati-24h'!C44,'28.09 Matugga-Kasangati-24h'!C44,'29.09 Matugga-Kasangati'!C44)</f>
        <v>9.7142857142857135</v>
      </c>
      <c r="D44" s="49">
        <f>AVERAGE('23.09- Matuga -Kasangati'!D44,'24.09 Matugga-Kasangati'!D44,'25.09 Matugga-Kasangati'!D44,'27.09 Kasangati-Matugga'!D44,'26.09 Matugga-Kasangati-24h'!D44,'28.09 Matugga-Kasangati-24h'!D44,'29.09 Matugga-Kasangati'!D44)</f>
        <v>2.4285714285714284</v>
      </c>
      <c r="E44" s="49">
        <f>AVERAGE('23.09- Matuga -Kasangati'!E44,'24.09 Matugga-Kasangati'!E44,'25.09 Matugga-Kasangati'!E44,'27.09 Kasangati-Matugga'!E44,'26.09 Matugga-Kasangati-24h'!E44,'28.09 Matugga-Kasangati-24h'!E44,'29.09 Matugga-Kasangati'!E44)</f>
        <v>1.7142857142857142</v>
      </c>
      <c r="F44" s="49">
        <f>AVERAGE('23.09- Matuga -Kasangati'!F44,'24.09 Matugga-Kasangati'!F44,'25.09 Matugga-Kasangati'!F44,'27.09 Kasangati-Matugga'!F44,'26.09 Matugga-Kasangati-24h'!F44,'28.09 Matugga-Kasangati-24h'!F44,'29.09 Matugga-Kasangati'!F44)</f>
        <v>2.5714285714285716</v>
      </c>
      <c r="G44" s="49">
        <f>AVERAGE('23.09- Matuga -Kasangati'!G44,'24.09 Matugga-Kasangati'!G44,'25.09 Matugga-Kasangati'!G44,'27.09 Kasangati-Matugga'!G44,'26.09 Matugga-Kasangati-24h'!G44,'28.09 Matugga-Kasangati-24h'!G44,'29.09 Matugga-Kasangati'!G44)</f>
        <v>0.14285714285714285</v>
      </c>
      <c r="H44" s="49">
        <f>AVERAGE('23.09- Matuga -Kasangati'!H44,'24.09 Matugga-Kasangati'!H44,'25.09 Matugga-Kasangati'!H44,'27.09 Kasangati-Matugga'!H44,'26.09 Matugga-Kasangati-24h'!H44,'28.09 Matugga-Kasangati-24h'!H44,'29.09 Matugga-Kasangati'!H44)</f>
        <v>0</v>
      </c>
      <c r="I44" s="49">
        <f>AVERAGE('23.09- Matuga -Kasangati'!I44,'24.09 Matugga-Kasangati'!I44,'25.09 Matugga-Kasangati'!I44,'27.09 Kasangati-Matugga'!I44,'26.09 Matugga-Kasangati-24h'!I44,'28.09 Matugga-Kasangati-24h'!I44,'29.09 Matugga-Kasangati'!I44)</f>
        <v>2.8571428571428572</v>
      </c>
      <c r="J44" s="49">
        <f>AVERAGE('23.09- Matuga -Kasangati'!J44,'24.09 Matugga-Kasangati'!J44,'25.09 Matugga-Kasangati'!J44,'27.09 Kasangati-Matugga'!J44,'26.09 Matugga-Kasangati-24h'!J44,'28.09 Matugga-Kasangati-24h'!J44,'29.09 Matugga-Kasangati'!J44)</f>
        <v>0.7142857142857143</v>
      </c>
      <c r="K44" s="49">
        <f>AVERAGE('23.09- Matuga -Kasangati'!K44,'24.09 Matugga-Kasangati'!K44,'25.09 Matugga-Kasangati'!K44,'27.09 Kasangati-Matugga'!K44,'26.09 Matugga-Kasangati-24h'!K44,'28.09 Matugga-Kasangati-24h'!K44,'29.09 Matugga-Kasangati'!K44)</f>
        <v>0.14285714285714285</v>
      </c>
      <c r="L44" s="49">
        <f>AVERAGE('23.09- Matuga -Kasangati'!L44,'24.09 Matugga-Kasangati'!L44,'25.09 Matugga-Kasangati'!L44,'27.09 Kasangati-Matugga'!L44,'26.09 Matugga-Kasangati-24h'!L44,'28.09 Matugga-Kasangati-24h'!L44,'29.09 Matugga-Kasangati'!L44)</f>
        <v>0</v>
      </c>
      <c r="M44" s="49">
        <f>AVERAGE('23.09- Matuga -Kasangati'!M44,'24.09 Matugga-Kasangati'!M44,'25.09 Matugga-Kasangati'!M44,'27.09 Kasangati-Matugga'!M44,'26.09 Matugga-Kasangati-24h'!M44,'28.09 Matugga-Kasangati-24h'!M44,'29.09 Matugga-Kasangati'!M44)</f>
        <v>36.285714285714285</v>
      </c>
      <c r="N44" s="49">
        <f>AVERAGE('23.09- Matuga -Kasangati'!N44,'24.09 Matugga-Kasangati'!N44,'25.09 Matugga-Kasangati'!N44,'27.09 Kasangati-Matugga'!N44,'26.09 Matugga-Kasangati-24h'!N44,'28.09 Matugga-Kasangati-24h'!N44,'29.09 Matugga-Kasangati'!N44)</f>
        <v>0</v>
      </c>
      <c r="O44" s="15">
        <f t="shared" si="0"/>
        <v>20.285714285714285</v>
      </c>
      <c r="P44" s="15">
        <f t="shared" si="1"/>
        <v>56.571428571428569</v>
      </c>
    </row>
    <row r="45" spans="2:32" ht="23.1" customHeight="1" x14ac:dyDescent="0.25">
      <c r="B45" s="23" t="s">
        <v>72</v>
      </c>
      <c r="C45" s="49">
        <f>AVERAGE('23.09- Matuga -Kasangati'!C45,'24.09 Matugga-Kasangati'!C45,'25.09 Matugga-Kasangati'!C45,'27.09 Kasangati-Matugga'!C45,'26.09 Matugga-Kasangati-24h'!C45,'28.09 Matugga-Kasangati-24h'!C45,'29.09 Matugga-Kasangati'!C45)</f>
        <v>13</v>
      </c>
      <c r="D45" s="49">
        <f>AVERAGE('23.09- Matuga -Kasangati'!D45,'24.09 Matugga-Kasangati'!D45,'25.09 Matugga-Kasangati'!D45,'27.09 Kasangati-Matugga'!D45,'26.09 Matugga-Kasangati-24h'!D45,'28.09 Matugga-Kasangati-24h'!D45,'29.09 Matugga-Kasangati'!D45)</f>
        <v>2.1428571428571428</v>
      </c>
      <c r="E45" s="49">
        <f>AVERAGE('23.09- Matuga -Kasangati'!E45,'24.09 Matugga-Kasangati'!E45,'25.09 Matugga-Kasangati'!E45,'27.09 Kasangati-Matugga'!E45,'26.09 Matugga-Kasangati-24h'!E45,'28.09 Matugga-Kasangati-24h'!E45,'29.09 Matugga-Kasangati'!E45)</f>
        <v>1.2857142857142858</v>
      </c>
      <c r="F45" s="49">
        <f>AVERAGE('23.09- Matuga -Kasangati'!F45,'24.09 Matugga-Kasangati'!F45,'25.09 Matugga-Kasangati'!F45,'27.09 Kasangati-Matugga'!F45,'26.09 Matugga-Kasangati-24h'!F45,'28.09 Matugga-Kasangati-24h'!F45,'29.09 Matugga-Kasangati'!F45)</f>
        <v>2.4285714285714284</v>
      </c>
      <c r="G45" s="49">
        <f>AVERAGE('23.09- Matuga -Kasangati'!G45,'24.09 Matugga-Kasangati'!G45,'25.09 Matugga-Kasangati'!G45,'27.09 Kasangati-Matugga'!G45,'26.09 Matugga-Kasangati-24h'!G45,'28.09 Matugga-Kasangati-24h'!G45,'29.09 Matugga-Kasangati'!G45)</f>
        <v>0</v>
      </c>
      <c r="H45" s="49">
        <f>AVERAGE('23.09- Matuga -Kasangati'!H45,'24.09 Matugga-Kasangati'!H45,'25.09 Matugga-Kasangati'!H45,'27.09 Kasangati-Matugga'!H45,'26.09 Matugga-Kasangati-24h'!H45,'28.09 Matugga-Kasangati-24h'!H45,'29.09 Matugga-Kasangati'!H45)</f>
        <v>0.14285714285714285</v>
      </c>
      <c r="I45" s="49">
        <f>AVERAGE('23.09- Matuga -Kasangati'!I45,'24.09 Matugga-Kasangati'!I45,'25.09 Matugga-Kasangati'!I45,'27.09 Kasangati-Matugga'!I45,'26.09 Matugga-Kasangati-24h'!I45,'28.09 Matugga-Kasangati-24h'!I45,'29.09 Matugga-Kasangati'!I45)</f>
        <v>4.1428571428571432</v>
      </c>
      <c r="J45" s="49">
        <f>AVERAGE('23.09- Matuga -Kasangati'!J45,'24.09 Matugga-Kasangati'!J45,'25.09 Matugga-Kasangati'!J45,'27.09 Kasangati-Matugga'!J45,'26.09 Matugga-Kasangati-24h'!J45,'28.09 Matugga-Kasangati-24h'!J45,'29.09 Matugga-Kasangati'!J45)</f>
        <v>0.7142857142857143</v>
      </c>
      <c r="K45" s="49">
        <f>AVERAGE('23.09- Matuga -Kasangati'!K45,'24.09 Matugga-Kasangati'!K45,'25.09 Matugga-Kasangati'!K45,'27.09 Kasangati-Matugga'!K45,'26.09 Matugga-Kasangati-24h'!K45,'28.09 Matugga-Kasangati-24h'!K45,'29.09 Matugga-Kasangati'!K45)</f>
        <v>0.2857142857142857</v>
      </c>
      <c r="L45" s="49">
        <f>AVERAGE('23.09- Matuga -Kasangati'!L45,'24.09 Matugga-Kasangati'!L45,'25.09 Matugga-Kasangati'!L45,'27.09 Kasangati-Matugga'!L45,'26.09 Matugga-Kasangati-24h'!L45,'28.09 Matugga-Kasangati-24h'!L45,'29.09 Matugga-Kasangati'!L45)</f>
        <v>0</v>
      </c>
      <c r="M45" s="49">
        <f>AVERAGE('23.09- Matuga -Kasangati'!M45,'24.09 Matugga-Kasangati'!M45,'25.09 Matugga-Kasangati'!M45,'27.09 Kasangati-Matugga'!M45,'26.09 Matugga-Kasangati-24h'!M45,'28.09 Matugga-Kasangati-24h'!M45,'29.09 Matugga-Kasangati'!M45)</f>
        <v>37.285714285714285</v>
      </c>
      <c r="N45" s="49">
        <f>AVERAGE('23.09- Matuga -Kasangati'!N45,'24.09 Matugga-Kasangati'!N45,'25.09 Matugga-Kasangati'!N45,'27.09 Kasangati-Matugga'!N45,'26.09 Matugga-Kasangati-24h'!N45,'28.09 Matugga-Kasangati-24h'!N45,'29.09 Matugga-Kasangati'!N45)</f>
        <v>0</v>
      </c>
      <c r="O45" s="15">
        <f t="shared" si="0"/>
        <v>24.142857142857139</v>
      </c>
      <c r="P45" s="15">
        <f t="shared" si="1"/>
        <v>61.428571428571423</v>
      </c>
    </row>
    <row r="46" spans="2:32" ht="23.1" customHeight="1" x14ac:dyDescent="0.25">
      <c r="B46" s="24" t="s">
        <v>73</v>
      </c>
      <c r="C46" s="49">
        <f>AVERAGE('23.09- Matuga -Kasangati'!C46,'24.09 Matugga-Kasangati'!C46,'25.09 Matugga-Kasangati'!C46,'27.09 Kasangati-Matugga'!C46,'26.09 Matugga-Kasangati-24h'!C46,'28.09 Matugga-Kasangati-24h'!C46,'29.09 Matugga-Kasangati'!C46)</f>
        <v>12.142857142857142</v>
      </c>
      <c r="D46" s="49">
        <f>AVERAGE('23.09- Matuga -Kasangati'!D46,'24.09 Matugga-Kasangati'!D46,'25.09 Matugga-Kasangati'!D46,'27.09 Kasangati-Matugga'!D46,'26.09 Matugga-Kasangati-24h'!D46,'28.09 Matugga-Kasangati-24h'!D46,'29.09 Matugga-Kasangati'!D46)</f>
        <v>3</v>
      </c>
      <c r="E46" s="49">
        <f>AVERAGE('23.09- Matuga -Kasangati'!E46,'24.09 Matugga-Kasangati'!E46,'25.09 Matugga-Kasangati'!E46,'27.09 Kasangati-Matugga'!E46,'26.09 Matugga-Kasangati-24h'!E46,'28.09 Matugga-Kasangati-24h'!E46,'29.09 Matugga-Kasangati'!E46)</f>
        <v>2.1428571428571428</v>
      </c>
      <c r="F46" s="49">
        <f>AVERAGE('23.09- Matuga -Kasangati'!F46,'24.09 Matugga-Kasangati'!F46,'25.09 Matugga-Kasangati'!F46,'27.09 Kasangati-Matugga'!F46,'26.09 Matugga-Kasangati-24h'!F46,'28.09 Matugga-Kasangati-24h'!F46,'29.09 Matugga-Kasangati'!F46)</f>
        <v>3.4285714285714284</v>
      </c>
      <c r="G46" s="49">
        <f>AVERAGE('23.09- Matuga -Kasangati'!G46,'24.09 Matugga-Kasangati'!G46,'25.09 Matugga-Kasangati'!G46,'27.09 Kasangati-Matugga'!G46,'26.09 Matugga-Kasangati-24h'!G46,'28.09 Matugga-Kasangati-24h'!G46,'29.09 Matugga-Kasangati'!G46)</f>
        <v>0</v>
      </c>
      <c r="H46" s="49">
        <f>AVERAGE('23.09- Matuga -Kasangati'!H46,'24.09 Matugga-Kasangati'!H46,'25.09 Matugga-Kasangati'!H46,'27.09 Kasangati-Matugga'!H46,'26.09 Matugga-Kasangati-24h'!H46,'28.09 Matugga-Kasangati-24h'!H46,'29.09 Matugga-Kasangati'!H46)</f>
        <v>0</v>
      </c>
      <c r="I46" s="49">
        <f>AVERAGE('23.09- Matuga -Kasangati'!I46,'24.09 Matugga-Kasangati'!I46,'25.09 Matugga-Kasangati'!I46,'27.09 Kasangati-Matugga'!I46,'26.09 Matugga-Kasangati-24h'!I46,'28.09 Matugga-Kasangati-24h'!I46,'29.09 Matugga-Kasangati'!I46)</f>
        <v>2</v>
      </c>
      <c r="J46" s="49">
        <f>AVERAGE('23.09- Matuga -Kasangati'!J46,'24.09 Matugga-Kasangati'!J46,'25.09 Matugga-Kasangati'!J46,'27.09 Kasangati-Matugga'!J46,'26.09 Matugga-Kasangati-24h'!J46,'28.09 Matugga-Kasangati-24h'!J46,'29.09 Matugga-Kasangati'!J46)</f>
        <v>0.8571428571428571</v>
      </c>
      <c r="K46" s="49">
        <f>AVERAGE('23.09- Matuga -Kasangati'!K46,'24.09 Matugga-Kasangati'!K46,'25.09 Matugga-Kasangati'!K46,'27.09 Kasangati-Matugga'!K46,'26.09 Matugga-Kasangati-24h'!K46,'28.09 Matugga-Kasangati-24h'!K46,'29.09 Matugga-Kasangati'!K46)</f>
        <v>0.14285714285714285</v>
      </c>
      <c r="L46" s="49">
        <f>AVERAGE('23.09- Matuga -Kasangati'!L46,'24.09 Matugga-Kasangati'!L46,'25.09 Matugga-Kasangati'!L46,'27.09 Kasangati-Matugga'!L46,'26.09 Matugga-Kasangati-24h'!L46,'28.09 Matugga-Kasangati-24h'!L46,'29.09 Matugga-Kasangati'!L46)</f>
        <v>0</v>
      </c>
      <c r="M46" s="49">
        <f>AVERAGE('23.09- Matuga -Kasangati'!M46,'24.09 Matugga-Kasangati'!M46,'25.09 Matugga-Kasangati'!M46,'27.09 Kasangati-Matugga'!M46,'26.09 Matugga-Kasangati-24h'!M46,'28.09 Matugga-Kasangati-24h'!M46,'29.09 Matugga-Kasangati'!M46)</f>
        <v>34.428571428571431</v>
      </c>
      <c r="N46" s="49">
        <f>AVERAGE('23.09- Matuga -Kasangati'!N46,'24.09 Matugga-Kasangati'!N46,'25.09 Matugga-Kasangati'!N46,'27.09 Kasangati-Matugga'!N46,'26.09 Matugga-Kasangati-24h'!N46,'28.09 Matugga-Kasangati-24h'!N46,'29.09 Matugga-Kasangati'!N46)</f>
        <v>0.14285714285714285</v>
      </c>
      <c r="O46" s="15">
        <f t="shared" si="0"/>
        <v>23.857142857142854</v>
      </c>
      <c r="P46" s="15">
        <f t="shared" si="1"/>
        <v>58.285714285714285</v>
      </c>
      <c r="R46" s="8"/>
      <c r="T46"/>
    </row>
    <row r="47" spans="2:32" ht="23.1" customHeight="1" x14ac:dyDescent="0.25">
      <c r="B47" s="24" t="s">
        <v>74</v>
      </c>
      <c r="C47" s="49">
        <f>AVERAGE('23.09- Matuga -Kasangati'!C47,'24.09 Matugga-Kasangati'!C47,'25.09 Matugga-Kasangati'!C47,'27.09 Kasangati-Matugga'!C47,'26.09 Matugga-Kasangati-24h'!C47,'28.09 Matugga-Kasangati-24h'!C47,'29.09 Matugga-Kasangati'!C47)</f>
        <v>11.857142857142858</v>
      </c>
      <c r="D47" s="49">
        <f>AVERAGE('23.09- Matuga -Kasangati'!D47,'24.09 Matugga-Kasangati'!D47,'25.09 Matugga-Kasangati'!D47,'27.09 Kasangati-Matugga'!D47,'26.09 Matugga-Kasangati-24h'!D47,'28.09 Matugga-Kasangati-24h'!D47,'29.09 Matugga-Kasangati'!D47)</f>
        <v>2.4285714285714284</v>
      </c>
      <c r="E47" s="49">
        <f>AVERAGE('23.09- Matuga -Kasangati'!E47,'24.09 Matugga-Kasangati'!E47,'25.09 Matugga-Kasangati'!E47,'27.09 Kasangati-Matugga'!E47,'26.09 Matugga-Kasangati-24h'!E47,'28.09 Matugga-Kasangati-24h'!E47,'29.09 Matugga-Kasangati'!E47)</f>
        <v>1.1428571428571428</v>
      </c>
      <c r="F47" s="49">
        <f>AVERAGE('23.09- Matuga -Kasangati'!F47,'24.09 Matugga-Kasangati'!F47,'25.09 Matugga-Kasangati'!F47,'27.09 Kasangati-Matugga'!F47,'26.09 Matugga-Kasangati-24h'!F47,'28.09 Matugga-Kasangati-24h'!F47,'29.09 Matugga-Kasangati'!F47)</f>
        <v>2.4285714285714284</v>
      </c>
      <c r="G47" s="49">
        <f>AVERAGE('23.09- Matuga -Kasangati'!G47,'24.09 Matugga-Kasangati'!G47,'25.09 Matugga-Kasangati'!G47,'27.09 Kasangati-Matugga'!G47,'26.09 Matugga-Kasangati-24h'!G47,'28.09 Matugga-Kasangati-24h'!G47,'29.09 Matugga-Kasangati'!G47)</f>
        <v>0.14285714285714285</v>
      </c>
      <c r="H47" s="49">
        <f>AVERAGE('23.09- Matuga -Kasangati'!H47,'24.09 Matugga-Kasangati'!H47,'25.09 Matugga-Kasangati'!H47,'27.09 Kasangati-Matugga'!H47,'26.09 Matugga-Kasangati-24h'!H47,'28.09 Matugga-Kasangati-24h'!H47,'29.09 Matugga-Kasangati'!H47)</f>
        <v>0</v>
      </c>
      <c r="I47" s="49">
        <f>AVERAGE('23.09- Matuga -Kasangati'!I47,'24.09 Matugga-Kasangati'!I47,'25.09 Matugga-Kasangati'!I47,'27.09 Kasangati-Matugga'!I47,'26.09 Matugga-Kasangati-24h'!I47,'28.09 Matugga-Kasangati-24h'!I47,'29.09 Matugga-Kasangati'!I47)</f>
        <v>3.5714285714285716</v>
      </c>
      <c r="J47" s="49">
        <f>AVERAGE('23.09- Matuga -Kasangati'!J47,'24.09 Matugga-Kasangati'!J47,'25.09 Matugga-Kasangati'!J47,'27.09 Kasangati-Matugga'!J47,'26.09 Matugga-Kasangati-24h'!J47,'28.09 Matugga-Kasangati-24h'!J47,'29.09 Matugga-Kasangati'!J47)</f>
        <v>0.7142857142857143</v>
      </c>
      <c r="K47" s="49">
        <f>AVERAGE('23.09- Matuga -Kasangati'!K47,'24.09 Matugga-Kasangati'!K47,'25.09 Matugga-Kasangati'!K47,'27.09 Kasangati-Matugga'!K47,'26.09 Matugga-Kasangati-24h'!K47,'28.09 Matugga-Kasangati-24h'!K47,'29.09 Matugga-Kasangati'!K47)</f>
        <v>0.7142857142857143</v>
      </c>
      <c r="L47" s="49">
        <f>AVERAGE('23.09- Matuga -Kasangati'!L47,'24.09 Matugga-Kasangati'!L47,'25.09 Matugga-Kasangati'!L47,'27.09 Kasangati-Matugga'!L47,'26.09 Matugga-Kasangati-24h'!L47,'28.09 Matugga-Kasangati-24h'!L47,'29.09 Matugga-Kasangati'!L47)</f>
        <v>0</v>
      </c>
      <c r="M47" s="49">
        <f>AVERAGE('23.09- Matuga -Kasangati'!M47,'24.09 Matugga-Kasangati'!M47,'25.09 Matugga-Kasangati'!M47,'27.09 Kasangati-Matugga'!M47,'26.09 Matugga-Kasangati-24h'!M47,'28.09 Matugga-Kasangati-24h'!M47,'29.09 Matugga-Kasangati'!M47)</f>
        <v>38.571428571428569</v>
      </c>
      <c r="N47" s="49">
        <f>AVERAGE('23.09- Matuga -Kasangati'!N47,'24.09 Matugga-Kasangati'!N47,'25.09 Matugga-Kasangati'!N47,'27.09 Kasangati-Matugga'!N47,'26.09 Matugga-Kasangati-24h'!N47,'28.09 Matugga-Kasangati-24h'!N47,'29.09 Matugga-Kasangati'!N47)</f>
        <v>0</v>
      </c>
      <c r="O47" s="15">
        <f t="shared" si="0"/>
        <v>23.000000000000004</v>
      </c>
      <c r="P47" s="15">
        <f t="shared" si="1"/>
        <v>61.571428571428569</v>
      </c>
      <c r="R47" s="8"/>
      <c r="T47"/>
    </row>
    <row r="48" spans="2:32" ht="23.1" customHeight="1" x14ac:dyDescent="0.25">
      <c r="B48" s="24" t="s">
        <v>75</v>
      </c>
      <c r="C48" s="49">
        <f>AVERAGE('23.09- Matuga -Kasangati'!C48,'24.09 Matugga-Kasangati'!C48,'25.09 Matugga-Kasangati'!C48,'27.09 Kasangati-Matugga'!C48,'26.09 Matugga-Kasangati-24h'!C48,'28.09 Matugga-Kasangati-24h'!C48,'29.09 Matugga-Kasangati'!C48)</f>
        <v>13.714285714285714</v>
      </c>
      <c r="D48" s="49">
        <f>AVERAGE('23.09- Matuga -Kasangati'!D48,'24.09 Matugga-Kasangati'!D48,'25.09 Matugga-Kasangati'!D48,'27.09 Kasangati-Matugga'!D48,'26.09 Matugga-Kasangati-24h'!D48,'28.09 Matugga-Kasangati-24h'!D48,'29.09 Matugga-Kasangati'!D48)</f>
        <v>3.1428571428571428</v>
      </c>
      <c r="E48" s="49">
        <f>AVERAGE('23.09- Matuga -Kasangati'!E48,'24.09 Matugga-Kasangati'!E48,'25.09 Matugga-Kasangati'!E48,'27.09 Kasangati-Matugga'!E48,'26.09 Matugga-Kasangati-24h'!E48,'28.09 Matugga-Kasangati-24h'!E48,'29.09 Matugga-Kasangati'!E48)</f>
        <v>3.2857142857142856</v>
      </c>
      <c r="F48" s="49">
        <f>AVERAGE('23.09- Matuga -Kasangati'!F48,'24.09 Matugga-Kasangati'!F48,'25.09 Matugga-Kasangati'!F48,'27.09 Kasangati-Matugga'!F48,'26.09 Matugga-Kasangati-24h'!F48,'28.09 Matugga-Kasangati-24h'!F48,'29.09 Matugga-Kasangati'!F48)</f>
        <v>3.5714285714285716</v>
      </c>
      <c r="G48" s="49">
        <f>AVERAGE('23.09- Matuga -Kasangati'!G48,'24.09 Matugga-Kasangati'!G48,'25.09 Matugga-Kasangati'!G48,'27.09 Kasangati-Matugga'!G48,'26.09 Matugga-Kasangati-24h'!G48,'28.09 Matugga-Kasangati-24h'!G48,'29.09 Matugga-Kasangati'!G48)</f>
        <v>0.42857142857142855</v>
      </c>
      <c r="H48" s="49">
        <f>AVERAGE('23.09- Matuga -Kasangati'!H48,'24.09 Matugga-Kasangati'!H48,'25.09 Matugga-Kasangati'!H48,'27.09 Kasangati-Matugga'!H48,'26.09 Matugga-Kasangati-24h'!H48,'28.09 Matugga-Kasangati-24h'!H48,'29.09 Matugga-Kasangati'!H48)</f>
        <v>0</v>
      </c>
      <c r="I48" s="49">
        <f>AVERAGE('23.09- Matuga -Kasangati'!I48,'24.09 Matugga-Kasangati'!I48,'25.09 Matugga-Kasangati'!I48,'27.09 Kasangati-Matugga'!I48,'26.09 Matugga-Kasangati-24h'!I48,'28.09 Matugga-Kasangati-24h'!I48,'29.09 Matugga-Kasangati'!I48)</f>
        <v>3.8571428571428572</v>
      </c>
      <c r="J48" s="49">
        <f>AVERAGE('23.09- Matuga -Kasangati'!J48,'24.09 Matugga-Kasangati'!J48,'25.09 Matugga-Kasangati'!J48,'27.09 Kasangati-Matugga'!J48,'26.09 Matugga-Kasangati-24h'!J48,'28.09 Matugga-Kasangati-24h'!J48,'29.09 Matugga-Kasangati'!J48)</f>
        <v>0.7142857142857143</v>
      </c>
      <c r="K48" s="49">
        <f>AVERAGE('23.09- Matuga -Kasangati'!K48,'24.09 Matugga-Kasangati'!K48,'25.09 Matugga-Kasangati'!K48,'27.09 Kasangati-Matugga'!K48,'26.09 Matugga-Kasangati-24h'!K48,'28.09 Matugga-Kasangati-24h'!K48,'29.09 Matugga-Kasangati'!K48)</f>
        <v>0.2857142857142857</v>
      </c>
      <c r="L48" s="49">
        <f>AVERAGE('23.09- Matuga -Kasangati'!L48,'24.09 Matugga-Kasangati'!L48,'25.09 Matugga-Kasangati'!L48,'27.09 Kasangati-Matugga'!L48,'26.09 Matugga-Kasangati-24h'!L48,'28.09 Matugga-Kasangati-24h'!L48,'29.09 Matugga-Kasangati'!L48)</f>
        <v>0</v>
      </c>
      <c r="M48" s="49">
        <f>AVERAGE('23.09- Matuga -Kasangati'!M48,'24.09 Matugga-Kasangati'!M48,'25.09 Matugga-Kasangati'!M48,'27.09 Kasangati-Matugga'!M48,'26.09 Matugga-Kasangati-24h'!M48,'28.09 Matugga-Kasangati-24h'!M48,'29.09 Matugga-Kasangati'!M48)</f>
        <v>35.571428571428569</v>
      </c>
      <c r="N48" s="49">
        <f>AVERAGE('23.09- Matuga -Kasangati'!N48,'24.09 Matugga-Kasangati'!N48,'25.09 Matugga-Kasangati'!N48,'27.09 Kasangati-Matugga'!N48,'26.09 Matugga-Kasangati-24h'!N48,'28.09 Matugga-Kasangati-24h'!N48,'29.09 Matugga-Kasangati'!N48)</f>
        <v>0</v>
      </c>
      <c r="O48" s="15">
        <f t="shared" si="0"/>
        <v>29</v>
      </c>
      <c r="P48" s="15">
        <f t="shared" si="1"/>
        <v>64.571428571428569</v>
      </c>
      <c r="R48" s="8"/>
      <c r="T48"/>
    </row>
    <row r="49" spans="2:20" ht="23.1" customHeight="1" x14ac:dyDescent="0.25">
      <c r="B49" s="23" t="s">
        <v>76</v>
      </c>
      <c r="C49" s="49">
        <f>AVERAGE('23.09- Matuga -Kasangati'!C49,'24.09 Matugga-Kasangati'!C49,'25.09 Matugga-Kasangati'!C49,'27.09 Kasangati-Matugga'!C49,'26.09 Matugga-Kasangati-24h'!C49,'28.09 Matugga-Kasangati-24h'!C49,'29.09 Matugga-Kasangati'!C49)</f>
        <v>14.571428571428571</v>
      </c>
      <c r="D49" s="49">
        <f>AVERAGE('23.09- Matuga -Kasangati'!D49,'24.09 Matugga-Kasangati'!D49,'25.09 Matugga-Kasangati'!D49,'27.09 Kasangati-Matugga'!D49,'26.09 Matugga-Kasangati-24h'!D49,'28.09 Matugga-Kasangati-24h'!D49,'29.09 Matugga-Kasangati'!D49)</f>
        <v>2.7142857142857144</v>
      </c>
      <c r="E49" s="49">
        <f>AVERAGE('23.09- Matuga -Kasangati'!E49,'24.09 Matugga-Kasangati'!E49,'25.09 Matugga-Kasangati'!E49,'27.09 Kasangati-Matugga'!E49,'26.09 Matugga-Kasangati-24h'!E49,'28.09 Matugga-Kasangati-24h'!E49,'29.09 Matugga-Kasangati'!E49)</f>
        <v>2.2857142857142856</v>
      </c>
      <c r="F49" s="49">
        <f>AVERAGE('23.09- Matuga -Kasangati'!F49,'24.09 Matugga-Kasangati'!F49,'25.09 Matugga-Kasangati'!F49,'27.09 Kasangati-Matugga'!F49,'26.09 Matugga-Kasangati-24h'!F49,'28.09 Matugga-Kasangati-24h'!F49,'29.09 Matugga-Kasangati'!F49)</f>
        <v>3.1428571428571428</v>
      </c>
      <c r="G49" s="49">
        <f>AVERAGE('23.09- Matuga -Kasangati'!G49,'24.09 Matugga-Kasangati'!G49,'25.09 Matugga-Kasangati'!G49,'27.09 Kasangati-Matugga'!G49,'26.09 Matugga-Kasangati-24h'!G49,'28.09 Matugga-Kasangati-24h'!G49,'29.09 Matugga-Kasangati'!G49)</f>
        <v>0</v>
      </c>
      <c r="H49" s="49">
        <f>AVERAGE('23.09- Matuga -Kasangati'!H49,'24.09 Matugga-Kasangati'!H49,'25.09 Matugga-Kasangati'!H49,'27.09 Kasangati-Matugga'!H49,'26.09 Matugga-Kasangati-24h'!H49,'28.09 Matugga-Kasangati-24h'!H49,'29.09 Matugga-Kasangati'!H49)</f>
        <v>0</v>
      </c>
      <c r="I49" s="49">
        <f>AVERAGE('23.09- Matuga -Kasangati'!I49,'24.09 Matugga-Kasangati'!I49,'25.09 Matugga-Kasangati'!I49,'27.09 Kasangati-Matugga'!I49,'26.09 Matugga-Kasangati-24h'!I49,'28.09 Matugga-Kasangati-24h'!I49,'29.09 Matugga-Kasangati'!I49)</f>
        <v>1.5714285714285714</v>
      </c>
      <c r="J49" s="49">
        <f>AVERAGE('23.09- Matuga -Kasangati'!J49,'24.09 Matugga-Kasangati'!J49,'25.09 Matugga-Kasangati'!J49,'27.09 Kasangati-Matugga'!J49,'26.09 Matugga-Kasangati-24h'!J49,'28.09 Matugga-Kasangati-24h'!J49,'29.09 Matugga-Kasangati'!J49)</f>
        <v>0.2857142857142857</v>
      </c>
      <c r="K49" s="49">
        <f>AVERAGE('23.09- Matuga -Kasangati'!K49,'24.09 Matugga-Kasangati'!K49,'25.09 Matugga-Kasangati'!K49,'27.09 Kasangati-Matugga'!K49,'26.09 Matugga-Kasangati-24h'!K49,'28.09 Matugga-Kasangati-24h'!K49,'29.09 Matugga-Kasangati'!K49)</f>
        <v>0</v>
      </c>
      <c r="L49" s="49">
        <f>AVERAGE('23.09- Matuga -Kasangati'!L49,'24.09 Matugga-Kasangati'!L49,'25.09 Matugga-Kasangati'!L49,'27.09 Kasangati-Matugga'!L49,'26.09 Matugga-Kasangati-24h'!L49,'28.09 Matugga-Kasangati-24h'!L49,'29.09 Matugga-Kasangati'!L49)</f>
        <v>0.2857142857142857</v>
      </c>
      <c r="M49" s="49">
        <f>AVERAGE('23.09- Matuga -Kasangati'!M49,'24.09 Matugga-Kasangati'!M49,'25.09 Matugga-Kasangati'!M49,'27.09 Kasangati-Matugga'!M49,'26.09 Matugga-Kasangati-24h'!M49,'28.09 Matugga-Kasangati-24h'!M49,'29.09 Matugga-Kasangati'!M49)</f>
        <v>33.428571428571431</v>
      </c>
      <c r="N49" s="49">
        <f>AVERAGE('23.09- Matuga -Kasangati'!N49,'24.09 Matugga-Kasangati'!N49,'25.09 Matugga-Kasangati'!N49,'27.09 Kasangati-Matugga'!N49,'26.09 Matugga-Kasangati-24h'!N49,'28.09 Matugga-Kasangati-24h'!N49,'29.09 Matugga-Kasangati'!N49)</f>
        <v>0</v>
      </c>
      <c r="O49" s="15">
        <f t="shared" si="0"/>
        <v>24.857142857142854</v>
      </c>
      <c r="P49" s="15">
        <f t="shared" si="1"/>
        <v>58.285714285714285</v>
      </c>
      <c r="R49" s="8"/>
      <c r="T49"/>
    </row>
    <row r="50" spans="2:20" ht="23.1" customHeight="1" x14ac:dyDescent="0.25">
      <c r="B50" s="24" t="s">
        <v>77</v>
      </c>
      <c r="C50" s="49">
        <f>AVERAGE('23.09- Matuga -Kasangati'!C50,'24.09 Matugga-Kasangati'!C50,'25.09 Matugga-Kasangati'!C50,'27.09 Kasangati-Matugga'!C50,'26.09 Matugga-Kasangati-24h'!C50,'28.09 Matugga-Kasangati-24h'!C50,'29.09 Matugga-Kasangati'!C50)</f>
        <v>16.285714285714285</v>
      </c>
      <c r="D50" s="49">
        <f>AVERAGE('23.09- Matuga -Kasangati'!D50,'24.09 Matugga-Kasangati'!D50,'25.09 Matugga-Kasangati'!D50,'27.09 Kasangati-Matugga'!D50,'26.09 Matugga-Kasangati-24h'!D50,'28.09 Matugga-Kasangati-24h'!D50,'29.09 Matugga-Kasangati'!D50)</f>
        <v>3.4285714285714284</v>
      </c>
      <c r="E50" s="49">
        <f>AVERAGE('23.09- Matuga -Kasangati'!E50,'24.09 Matugga-Kasangati'!E50,'25.09 Matugga-Kasangati'!E50,'27.09 Kasangati-Matugga'!E50,'26.09 Matugga-Kasangati-24h'!E50,'28.09 Matugga-Kasangati-24h'!E50,'29.09 Matugga-Kasangati'!E50)</f>
        <v>2.7142857142857144</v>
      </c>
      <c r="F50" s="49">
        <f>AVERAGE('23.09- Matuga -Kasangati'!F50,'24.09 Matugga-Kasangati'!F50,'25.09 Matugga-Kasangati'!F50,'27.09 Kasangati-Matugga'!F50,'26.09 Matugga-Kasangati-24h'!F50,'28.09 Matugga-Kasangati-24h'!F50,'29.09 Matugga-Kasangati'!F50)</f>
        <v>4.8571428571428568</v>
      </c>
      <c r="G50" s="49">
        <f>AVERAGE('23.09- Matuga -Kasangati'!G50,'24.09 Matugga-Kasangati'!G50,'25.09 Matugga-Kasangati'!G50,'27.09 Kasangati-Matugga'!G50,'26.09 Matugga-Kasangati-24h'!G50,'28.09 Matugga-Kasangati-24h'!G50,'29.09 Matugga-Kasangati'!G50)</f>
        <v>0</v>
      </c>
      <c r="H50" s="49">
        <f>AVERAGE('23.09- Matuga -Kasangati'!H50,'24.09 Matugga-Kasangati'!H50,'25.09 Matugga-Kasangati'!H50,'27.09 Kasangati-Matugga'!H50,'26.09 Matugga-Kasangati-24h'!H50,'28.09 Matugga-Kasangati-24h'!H50,'29.09 Matugga-Kasangati'!H50)</f>
        <v>0</v>
      </c>
      <c r="I50" s="49">
        <f>AVERAGE('23.09- Matuga -Kasangati'!I50,'24.09 Matugga-Kasangati'!I50,'25.09 Matugga-Kasangati'!I50,'27.09 Kasangati-Matugga'!I50,'26.09 Matugga-Kasangati-24h'!I50,'28.09 Matugga-Kasangati-24h'!I50,'29.09 Matugga-Kasangati'!I50)</f>
        <v>3</v>
      </c>
      <c r="J50" s="49">
        <f>AVERAGE('23.09- Matuga -Kasangati'!J50,'24.09 Matugga-Kasangati'!J50,'25.09 Matugga-Kasangati'!J50,'27.09 Kasangati-Matugga'!J50,'26.09 Matugga-Kasangati-24h'!J50,'28.09 Matugga-Kasangati-24h'!J50,'29.09 Matugga-Kasangati'!J50)</f>
        <v>0.8571428571428571</v>
      </c>
      <c r="K50" s="49">
        <f>AVERAGE('23.09- Matuga -Kasangati'!K50,'24.09 Matugga-Kasangati'!K50,'25.09 Matugga-Kasangati'!K50,'27.09 Kasangati-Matugga'!K50,'26.09 Matugga-Kasangati-24h'!K50,'28.09 Matugga-Kasangati-24h'!K50,'29.09 Matugga-Kasangati'!K50)</f>
        <v>0.2857142857142857</v>
      </c>
      <c r="L50" s="49">
        <f>AVERAGE('23.09- Matuga -Kasangati'!L50,'24.09 Matugga-Kasangati'!L50,'25.09 Matugga-Kasangati'!L50,'27.09 Kasangati-Matugga'!L50,'26.09 Matugga-Kasangati-24h'!L50,'28.09 Matugga-Kasangati-24h'!L50,'29.09 Matugga-Kasangati'!L50)</f>
        <v>0.2857142857142857</v>
      </c>
      <c r="M50" s="49">
        <f>AVERAGE('23.09- Matuga -Kasangati'!M50,'24.09 Matugga-Kasangati'!M50,'25.09 Matugga-Kasangati'!M50,'27.09 Kasangati-Matugga'!M50,'26.09 Matugga-Kasangati-24h'!M50,'28.09 Matugga-Kasangati-24h'!M50,'29.09 Matugga-Kasangati'!M50)</f>
        <v>44.857142857142854</v>
      </c>
      <c r="N50" s="49">
        <f>AVERAGE('23.09- Matuga -Kasangati'!N50,'24.09 Matugga-Kasangati'!N50,'25.09 Matugga-Kasangati'!N50,'27.09 Kasangati-Matugga'!N50,'26.09 Matugga-Kasangati-24h'!N50,'28.09 Matugga-Kasangati-24h'!N50,'29.09 Matugga-Kasangati'!N50)</f>
        <v>0</v>
      </c>
      <c r="O50" s="15">
        <f t="shared" si="0"/>
        <v>31.714285714285712</v>
      </c>
      <c r="P50" s="15">
        <f t="shared" si="1"/>
        <v>76.571428571428569</v>
      </c>
      <c r="R50" s="8"/>
      <c r="T50"/>
    </row>
    <row r="51" spans="2:20" ht="23.1" customHeight="1" x14ac:dyDescent="0.25">
      <c r="B51" s="24" t="s">
        <v>78</v>
      </c>
      <c r="C51" s="49">
        <f>AVERAGE('23.09- Matuga -Kasangati'!C51,'24.09 Matugga-Kasangati'!C51,'25.09 Matugga-Kasangati'!C51,'27.09 Kasangati-Matugga'!C51,'26.09 Matugga-Kasangati-24h'!C51,'28.09 Matugga-Kasangati-24h'!C51,'29.09 Matugga-Kasangati'!C51)</f>
        <v>14.857142857142858</v>
      </c>
      <c r="D51" s="49">
        <f>AVERAGE('23.09- Matuga -Kasangati'!D51,'24.09 Matugga-Kasangati'!D51,'25.09 Matugga-Kasangati'!D51,'27.09 Kasangati-Matugga'!D51,'26.09 Matugga-Kasangati-24h'!D51,'28.09 Matugga-Kasangati-24h'!D51,'29.09 Matugga-Kasangati'!D51)</f>
        <v>3.8571428571428572</v>
      </c>
      <c r="E51" s="49">
        <f>AVERAGE('23.09- Matuga -Kasangati'!E51,'24.09 Matugga-Kasangati'!E51,'25.09 Matugga-Kasangati'!E51,'27.09 Kasangati-Matugga'!E51,'26.09 Matugga-Kasangati-24h'!E51,'28.09 Matugga-Kasangati-24h'!E51,'29.09 Matugga-Kasangati'!E51)</f>
        <v>2.2857142857142856</v>
      </c>
      <c r="F51" s="49">
        <f>AVERAGE('23.09- Matuga -Kasangati'!F51,'24.09 Matugga-Kasangati'!F51,'25.09 Matugga-Kasangati'!F51,'27.09 Kasangati-Matugga'!F51,'26.09 Matugga-Kasangati-24h'!F51,'28.09 Matugga-Kasangati-24h'!F51,'29.09 Matugga-Kasangati'!F51)</f>
        <v>5</v>
      </c>
      <c r="G51" s="49">
        <f>AVERAGE('23.09- Matuga -Kasangati'!G51,'24.09 Matugga-Kasangati'!G51,'25.09 Matugga-Kasangati'!G51,'27.09 Kasangati-Matugga'!G51,'26.09 Matugga-Kasangati-24h'!G51,'28.09 Matugga-Kasangati-24h'!G51,'29.09 Matugga-Kasangati'!G51)</f>
        <v>0</v>
      </c>
      <c r="H51" s="49">
        <f>AVERAGE('23.09- Matuga -Kasangati'!H51,'24.09 Matugga-Kasangati'!H51,'25.09 Matugga-Kasangati'!H51,'27.09 Kasangati-Matugga'!H51,'26.09 Matugga-Kasangati-24h'!H51,'28.09 Matugga-Kasangati-24h'!H51,'29.09 Matugga-Kasangati'!H51)</f>
        <v>0</v>
      </c>
      <c r="I51" s="49">
        <f>AVERAGE('23.09- Matuga -Kasangati'!I51,'24.09 Matugga-Kasangati'!I51,'25.09 Matugga-Kasangati'!I51,'27.09 Kasangati-Matugga'!I51,'26.09 Matugga-Kasangati-24h'!I51,'28.09 Matugga-Kasangati-24h'!I51,'29.09 Matugga-Kasangati'!I51)</f>
        <v>3.2857142857142856</v>
      </c>
      <c r="J51" s="49">
        <f>AVERAGE('23.09- Matuga -Kasangati'!J51,'24.09 Matugga-Kasangati'!J51,'25.09 Matugga-Kasangati'!J51,'27.09 Kasangati-Matugga'!J51,'26.09 Matugga-Kasangati-24h'!J51,'28.09 Matugga-Kasangati-24h'!J51,'29.09 Matugga-Kasangati'!J51)</f>
        <v>0.2857142857142857</v>
      </c>
      <c r="K51" s="49">
        <f>AVERAGE('23.09- Matuga -Kasangati'!K51,'24.09 Matugga-Kasangati'!K51,'25.09 Matugga-Kasangati'!K51,'27.09 Kasangati-Matugga'!K51,'26.09 Matugga-Kasangati-24h'!K51,'28.09 Matugga-Kasangati-24h'!K51,'29.09 Matugga-Kasangati'!K51)</f>
        <v>0.2857142857142857</v>
      </c>
      <c r="L51" s="49">
        <f>AVERAGE('23.09- Matuga -Kasangati'!L51,'24.09 Matugga-Kasangati'!L51,'25.09 Matugga-Kasangati'!L51,'27.09 Kasangati-Matugga'!L51,'26.09 Matugga-Kasangati-24h'!L51,'28.09 Matugga-Kasangati-24h'!L51,'29.09 Matugga-Kasangati'!L51)</f>
        <v>0</v>
      </c>
      <c r="M51" s="49">
        <f>AVERAGE('23.09- Matuga -Kasangati'!M51,'24.09 Matugga-Kasangati'!M51,'25.09 Matugga-Kasangati'!M51,'27.09 Kasangati-Matugga'!M51,'26.09 Matugga-Kasangati-24h'!M51,'28.09 Matugga-Kasangati-24h'!M51,'29.09 Matugga-Kasangati'!M51)</f>
        <v>44.714285714285715</v>
      </c>
      <c r="N51" s="49">
        <f>AVERAGE('23.09- Matuga -Kasangati'!N51,'24.09 Matugga-Kasangati'!N51,'25.09 Matugga-Kasangati'!N51,'27.09 Kasangati-Matugga'!N51,'26.09 Matugga-Kasangati-24h'!N51,'28.09 Matugga-Kasangati-24h'!N51,'29.09 Matugga-Kasangati'!N51)</f>
        <v>0</v>
      </c>
      <c r="O51" s="15">
        <f t="shared" si="0"/>
        <v>29.857142857142854</v>
      </c>
      <c r="P51" s="15">
        <f t="shared" si="1"/>
        <v>74.571428571428569</v>
      </c>
      <c r="R51" s="8"/>
      <c r="T51"/>
    </row>
    <row r="52" spans="2:20" ht="23.1" customHeight="1" x14ac:dyDescent="0.25">
      <c r="B52" s="24" t="s">
        <v>79</v>
      </c>
      <c r="C52" s="49">
        <f>AVERAGE('23.09- Matuga -Kasangati'!C52,'24.09 Matugga-Kasangati'!C52,'25.09 Matugga-Kasangati'!C52,'27.09 Kasangati-Matugga'!C52,'26.09 Matugga-Kasangati-24h'!C52,'28.09 Matugga-Kasangati-24h'!C52,'29.09 Matugga-Kasangati'!C52)</f>
        <v>14.142857142857142</v>
      </c>
      <c r="D52" s="49">
        <f>AVERAGE('23.09- Matuga -Kasangati'!D52,'24.09 Matugga-Kasangati'!D52,'25.09 Matugga-Kasangati'!D52,'27.09 Kasangati-Matugga'!D52,'26.09 Matugga-Kasangati-24h'!D52,'28.09 Matugga-Kasangati-24h'!D52,'29.09 Matugga-Kasangati'!D52)</f>
        <v>3.8571428571428572</v>
      </c>
      <c r="E52" s="49">
        <f>AVERAGE('23.09- Matuga -Kasangati'!E52,'24.09 Matugga-Kasangati'!E52,'25.09 Matugga-Kasangati'!E52,'27.09 Kasangati-Matugga'!E52,'26.09 Matugga-Kasangati-24h'!E52,'28.09 Matugga-Kasangati-24h'!E52,'29.09 Matugga-Kasangati'!E52)</f>
        <v>4</v>
      </c>
      <c r="F52" s="49">
        <f>AVERAGE('23.09- Matuga -Kasangati'!F52,'24.09 Matugga-Kasangati'!F52,'25.09 Matugga-Kasangati'!F52,'27.09 Kasangati-Matugga'!F52,'26.09 Matugga-Kasangati-24h'!F52,'28.09 Matugga-Kasangati-24h'!F52,'29.09 Matugga-Kasangati'!F52)</f>
        <v>5.4285714285714288</v>
      </c>
      <c r="G52" s="49">
        <f>AVERAGE('23.09- Matuga -Kasangati'!G52,'24.09 Matugga-Kasangati'!G52,'25.09 Matugga-Kasangati'!G52,'27.09 Kasangati-Matugga'!G52,'26.09 Matugga-Kasangati-24h'!G52,'28.09 Matugga-Kasangati-24h'!G52,'29.09 Matugga-Kasangati'!G52)</f>
        <v>0</v>
      </c>
      <c r="H52" s="49">
        <f>AVERAGE('23.09- Matuga -Kasangati'!H52,'24.09 Matugga-Kasangati'!H52,'25.09 Matugga-Kasangati'!H52,'27.09 Kasangati-Matugga'!H52,'26.09 Matugga-Kasangati-24h'!H52,'28.09 Matugga-Kasangati-24h'!H52,'29.09 Matugga-Kasangati'!H52)</f>
        <v>0</v>
      </c>
      <c r="I52" s="49">
        <f>AVERAGE('23.09- Matuga -Kasangati'!I52,'24.09 Matugga-Kasangati'!I52,'25.09 Matugga-Kasangati'!I52,'27.09 Kasangati-Matugga'!I52,'26.09 Matugga-Kasangati-24h'!I52,'28.09 Matugga-Kasangati-24h'!I52,'29.09 Matugga-Kasangati'!I52)</f>
        <v>3.4285714285714284</v>
      </c>
      <c r="J52" s="49">
        <f>AVERAGE('23.09- Matuga -Kasangati'!J52,'24.09 Matugga-Kasangati'!J52,'25.09 Matugga-Kasangati'!J52,'27.09 Kasangati-Matugga'!J52,'26.09 Matugga-Kasangati-24h'!J52,'28.09 Matugga-Kasangati-24h'!J52,'29.09 Matugga-Kasangati'!J52)</f>
        <v>0.7142857142857143</v>
      </c>
      <c r="K52" s="49">
        <f>AVERAGE('23.09- Matuga -Kasangati'!K52,'24.09 Matugga-Kasangati'!K52,'25.09 Matugga-Kasangati'!K52,'27.09 Kasangati-Matugga'!K52,'26.09 Matugga-Kasangati-24h'!K52,'28.09 Matugga-Kasangati-24h'!K52,'29.09 Matugga-Kasangati'!K52)</f>
        <v>0.2857142857142857</v>
      </c>
      <c r="L52" s="49">
        <f>AVERAGE('23.09- Matuga -Kasangati'!L52,'24.09 Matugga-Kasangati'!L52,'25.09 Matugga-Kasangati'!L52,'27.09 Kasangati-Matugga'!L52,'26.09 Matugga-Kasangati-24h'!L52,'28.09 Matugga-Kasangati-24h'!L52,'29.09 Matugga-Kasangati'!L52)</f>
        <v>0</v>
      </c>
      <c r="M52" s="49">
        <f>AVERAGE('23.09- Matuga -Kasangati'!M52,'24.09 Matugga-Kasangati'!M52,'25.09 Matugga-Kasangati'!M52,'27.09 Kasangati-Matugga'!M52,'26.09 Matugga-Kasangati-24h'!M52,'28.09 Matugga-Kasangati-24h'!M52,'29.09 Matugga-Kasangati'!M52)</f>
        <v>44.142857142857146</v>
      </c>
      <c r="N52" s="49">
        <f>AVERAGE('23.09- Matuga -Kasangati'!N52,'24.09 Matugga-Kasangati'!N52,'25.09 Matugga-Kasangati'!N52,'27.09 Kasangati-Matugga'!N52,'26.09 Matugga-Kasangati-24h'!N52,'28.09 Matugga-Kasangati-24h'!N52,'29.09 Matugga-Kasangati'!N52)</f>
        <v>0</v>
      </c>
      <c r="O52" s="15">
        <f t="shared" si="0"/>
        <v>31.857142857142858</v>
      </c>
      <c r="P52" s="15">
        <f t="shared" si="1"/>
        <v>76</v>
      </c>
      <c r="R52" s="8"/>
      <c r="T52"/>
    </row>
    <row r="53" spans="2:20" ht="23.1" customHeight="1" x14ac:dyDescent="0.25">
      <c r="B53" s="23" t="s">
        <v>80</v>
      </c>
      <c r="C53" s="49">
        <f>AVERAGE('23.09- Matuga -Kasangati'!C53,'24.09 Matugga-Kasangati'!C53,'25.09 Matugga-Kasangati'!C53,'27.09 Kasangati-Matugga'!C53,'26.09 Matugga-Kasangati-24h'!C53,'28.09 Matugga-Kasangati-24h'!C53,'29.09 Matugga-Kasangati'!C53)</f>
        <v>11.714285714285714</v>
      </c>
      <c r="D53" s="49">
        <f>AVERAGE('23.09- Matuga -Kasangati'!D53,'24.09 Matugga-Kasangati'!D53,'25.09 Matugga-Kasangati'!D53,'27.09 Kasangati-Matugga'!D53,'26.09 Matugga-Kasangati-24h'!D53,'28.09 Matugga-Kasangati-24h'!D53,'29.09 Matugga-Kasangati'!D53)</f>
        <v>3.7142857142857144</v>
      </c>
      <c r="E53" s="49">
        <f>AVERAGE('23.09- Matuga -Kasangati'!E53,'24.09 Matugga-Kasangati'!E53,'25.09 Matugga-Kasangati'!E53,'27.09 Kasangati-Matugga'!E53,'26.09 Matugga-Kasangati-24h'!E53,'28.09 Matugga-Kasangati-24h'!E53,'29.09 Matugga-Kasangati'!E53)</f>
        <v>2.7142857142857144</v>
      </c>
      <c r="F53" s="49">
        <f>AVERAGE('23.09- Matuga -Kasangati'!F53,'24.09 Matugga-Kasangati'!F53,'25.09 Matugga-Kasangati'!F53,'27.09 Kasangati-Matugga'!F53,'26.09 Matugga-Kasangati-24h'!F53,'28.09 Matugga-Kasangati-24h'!F53,'29.09 Matugga-Kasangati'!F53)</f>
        <v>6.1428571428571432</v>
      </c>
      <c r="G53" s="49">
        <f>AVERAGE('23.09- Matuga -Kasangati'!G53,'24.09 Matugga-Kasangati'!G53,'25.09 Matugga-Kasangati'!G53,'27.09 Kasangati-Matugga'!G53,'26.09 Matugga-Kasangati-24h'!G53,'28.09 Matugga-Kasangati-24h'!G53,'29.09 Matugga-Kasangati'!G53)</f>
        <v>0</v>
      </c>
      <c r="H53" s="49">
        <f>AVERAGE('23.09- Matuga -Kasangati'!H53,'24.09 Matugga-Kasangati'!H53,'25.09 Matugga-Kasangati'!H53,'27.09 Kasangati-Matugga'!H53,'26.09 Matugga-Kasangati-24h'!H53,'28.09 Matugga-Kasangati-24h'!H53,'29.09 Matugga-Kasangati'!H53)</f>
        <v>0</v>
      </c>
      <c r="I53" s="49">
        <f>AVERAGE('23.09- Matuga -Kasangati'!I53,'24.09 Matugga-Kasangati'!I53,'25.09 Matugga-Kasangati'!I53,'27.09 Kasangati-Matugga'!I53,'26.09 Matugga-Kasangati-24h'!I53,'28.09 Matugga-Kasangati-24h'!I53,'29.09 Matugga-Kasangati'!I53)</f>
        <v>2</v>
      </c>
      <c r="J53" s="49">
        <f>AVERAGE('23.09- Matuga -Kasangati'!J53,'24.09 Matugga-Kasangati'!J53,'25.09 Matugga-Kasangati'!J53,'27.09 Kasangati-Matugga'!J53,'26.09 Matugga-Kasangati-24h'!J53,'28.09 Matugga-Kasangati-24h'!J53,'29.09 Matugga-Kasangati'!J53)</f>
        <v>0.5714285714285714</v>
      </c>
      <c r="K53" s="49">
        <f>AVERAGE('23.09- Matuga -Kasangati'!K53,'24.09 Matugga-Kasangati'!K53,'25.09 Matugga-Kasangati'!K53,'27.09 Kasangati-Matugga'!K53,'26.09 Matugga-Kasangati-24h'!K53,'28.09 Matugga-Kasangati-24h'!K53,'29.09 Matugga-Kasangati'!K53)</f>
        <v>0.42857142857142855</v>
      </c>
      <c r="L53" s="49">
        <f>AVERAGE('23.09- Matuga -Kasangati'!L53,'24.09 Matugga-Kasangati'!L53,'25.09 Matugga-Kasangati'!L53,'27.09 Kasangati-Matugga'!L53,'26.09 Matugga-Kasangati-24h'!L53,'28.09 Matugga-Kasangati-24h'!L53,'29.09 Matugga-Kasangati'!L53)</f>
        <v>0</v>
      </c>
      <c r="M53" s="49">
        <f>AVERAGE('23.09- Matuga -Kasangati'!M53,'24.09 Matugga-Kasangati'!M53,'25.09 Matugga-Kasangati'!M53,'27.09 Kasangati-Matugga'!M53,'26.09 Matugga-Kasangati-24h'!M53,'28.09 Matugga-Kasangati-24h'!M53,'29.09 Matugga-Kasangati'!M53)</f>
        <v>40.142857142857146</v>
      </c>
      <c r="N53" s="49">
        <f>AVERAGE('23.09- Matuga -Kasangati'!N53,'24.09 Matugga-Kasangati'!N53,'25.09 Matugga-Kasangati'!N53,'27.09 Kasangati-Matugga'!N53,'26.09 Matugga-Kasangati-24h'!N53,'28.09 Matugga-Kasangati-24h'!N53,'29.09 Matugga-Kasangati'!N53)</f>
        <v>0</v>
      </c>
      <c r="O53" s="15">
        <f t="shared" si="0"/>
        <v>27.285714285714285</v>
      </c>
      <c r="P53" s="15">
        <f t="shared" si="1"/>
        <v>67.428571428571431</v>
      </c>
      <c r="R53" s="8"/>
      <c r="T53"/>
    </row>
    <row r="54" spans="2:20" ht="23.1" customHeight="1" x14ac:dyDescent="0.25">
      <c r="B54" s="23" t="s">
        <v>81</v>
      </c>
      <c r="C54" s="49">
        <f>AVERAGE('23.09- Matuga -Kasangati'!C54,'24.09 Matugga-Kasangati'!C54,'25.09 Matugga-Kasangati'!C54,'27.09 Kasangati-Matugga'!C54,'26.09 Matugga-Kasangati-24h'!C54,'28.09 Matugga-Kasangati-24h'!C54,'29.09 Matugga-Kasangati'!C54)</f>
        <v>22</v>
      </c>
      <c r="D54" s="49">
        <f>AVERAGE('23.09- Matuga -Kasangati'!D54,'24.09 Matugga-Kasangati'!D54,'25.09 Matugga-Kasangati'!D54,'27.09 Kasangati-Matugga'!D54,'26.09 Matugga-Kasangati-24h'!D54,'28.09 Matugga-Kasangati-24h'!D54,'29.09 Matugga-Kasangati'!D54)</f>
        <v>2.2857142857142856</v>
      </c>
      <c r="E54" s="49">
        <f>AVERAGE('23.09- Matuga -Kasangati'!E54,'24.09 Matugga-Kasangati'!E54,'25.09 Matugga-Kasangati'!E54,'27.09 Kasangati-Matugga'!E54,'26.09 Matugga-Kasangati-24h'!E54,'28.09 Matugga-Kasangati-24h'!E54,'29.09 Matugga-Kasangati'!E54)</f>
        <v>4.1428571428571432</v>
      </c>
      <c r="F54" s="49">
        <f>AVERAGE('23.09- Matuga -Kasangati'!F54,'24.09 Matugga-Kasangati'!F54,'25.09 Matugga-Kasangati'!F54,'27.09 Kasangati-Matugga'!F54,'26.09 Matugga-Kasangati-24h'!F54,'28.09 Matugga-Kasangati-24h'!F54,'29.09 Matugga-Kasangati'!F54)</f>
        <v>6</v>
      </c>
      <c r="G54" s="49">
        <f>AVERAGE('23.09- Matuga -Kasangati'!G54,'24.09 Matugga-Kasangati'!G54,'25.09 Matugga-Kasangati'!G54,'27.09 Kasangati-Matugga'!G54,'26.09 Matugga-Kasangati-24h'!G54,'28.09 Matugga-Kasangati-24h'!G54,'29.09 Matugga-Kasangati'!G54)</f>
        <v>0.42857142857142855</v>
      </c>
      <c r="H54" s="49">
        <f>AVERAGE('23.09- Matuga -Kasangati'!H54,'24.09 Matugga-Kasangati'!H54,'25.09 Matugga-Kasangati'!H54,'27.09 Kasangati-Matugga'!H54,'26.09 Matugga-Kasangati-24h'!H54,'28.09 Matugga-Kasangati-24h'!H54,'29.09 Matugga-Kasangati'!H54)</f>
        <v>0</v>
      </c>
      <c r="I54" s="49">
        <f>AVERAGE('23.09- Matuga -Kasangati'!I54,'24.09 Matugga-Kasangati'!I54,'25.09 Matugga-Kasangati'!I54,'27.09 Kasangati-Matugga'!I54,'26.09 Matugga-Kasangati-24h'!I54,'28.09 Matugga-Kasangati-24h'!I54,'29.09 Matugga-Kasangati'!I54)</f>
        <v>2.7142857142857144</v>
      </c>
      <c r="J54" s="49">
        <f>AVERAGE('23.09- Matuga -Kasangati'!J54,'24.09 Matugga-Kasangati'!J54,'25.09 Matugga-Kasangati'!J54,'27.09 Kasangati-Matugga'!J54,'26.09 Matugga-Kasangati-24h'!J54,'28.09 Matugga-Kasangati-24h'!J54,'29.09 Matugga-Kasangati'!J54)</f>
        <v>0.7142857142857143</v>
      </c>
      <c r="K54" s="49">
        <f>AVERAGE('23.09- Matuga -Kasangati'!K54,'24.09 Matugga-Kasangati'!K54,'25.09 Matugga-Kasangati'!K54,'27.09 Kasangati-Matugga'!K54,'26.09 Matugga-Kasangati-24h'!K54,'28.09 Matugga-Kasangati-24h'!K54,'29.09 Matugga-Kasangati'!K54)</f>
        <v>0</v>
      </c>
      <c r="L54" s="49">
        <f>AVERAGE('23.09- Matuga -Kasangati'!L54,'24.09 Matugga-Kasangati'!L54,'25.09 Matugga-Kasangati'!L54,'27.09 Kasangati-Matugga'!L54,'26.09 Matugga-Kasangati-24h'!L54,'28.09 Matugga-Kasangati-24h'!L54,'29.09 Matugga-Kasangati'!L54)</f>
        <v>0</v>
      </c>
      <c r="M54" s="49">
        <f>AVERAGE('23.09- Matuga -Kasangati'!M54,'24.09 Matugga-Kasangati'!M54,'25.09 Matugga-Kasangati'!M54,'27.09 Kasangati-Matugga'!M54,'26.09 Matugga-Kasangati-24h'!M54,'28.09 Matugga-Kasangati-24h'!M54,'29.09 Matugga-Kasangati'!M54)</f>
        <v>46.571428571428569</v>
      </c>
      <c r="N54" s="49">
        <f>AVERAGE('23.09- Matuga -Kasangati'!N54,'24.09 Matugga-Kasangati'!N54,'25.09 Matugga-Kasangati'!N54,'27.09 Kasangati-Matugga'!N54,'26.09 Matugga-Kasangati-24h'!N54,'28.09 Matugga-Kasangati-24h'!N54,'29.09 Matugga-Kasangati'!N54)</f>
        <v>0.14285714285714285</v>
      </c>
      <c r="O54" s="15">
        <f t="shared" si="0"/>
        <v>38.428571428571438</v>
      </c>
      <c r="P54" s="15">
        <f t="shared" si="1"/>
        <v>85</v>
      </c>
      <c r="R54" s="8"/>
      <c r="T54"/>
    </row>
    <row r="55" spans="2:20" ht="23.1" customHeight="1" x14ac:dyDescent="0.25">
      <c r="B55" s="23" t="s">
        <v>82</v>
      </c>
      <c r="C55" s="49">
        <f>AVERAGE('23.09- Matuga -Kasangati'!C55,'24.09 Matugga-Kasangati'!C55,'25.09 Matugga-Kasangati'!C55,'27.09 Kasangati-Matugga'!C55,'26.09 Matugga-Kasangati-24h'!C55,'28.09 Matugga-Kasangati-24h'!C55,'29.09 Matugga-Kasangati'!C55)</f>
        <v>18.285714285714285</v>
      </c>
      <c r="D55" s="49">
        <f>AVERAGE('23.09- Matuga -Kasangati'!D55,'24.09 Matugga-Kasangati'!D55,'25.09 Matugga-Kasangati'!D55,'27.09 Kasangati-Matugga'!D55,'26.09 Matugga-Kasangati-24h'!D55,'28.09 Matugga-Kasangati-24h'!D55,'29.09 Matugga-Kasangati'!D55)</f>
        <v>3.5714285714285716</v>
      </c>
      <c r="E55" s="49">
        <f>AVERAGE('23.09- Matuga -Kasangati'!E55,'24.09 Matugga-Kasangati'!E55,'25.09 Matugga-Kasangati'!E55,'27.09 Kasangati-Matugga'!E55,'26.09 Matugga-Kasangati-24h'!E55,'28.09 Matugga-Kasangati-24h'!E55,'29.09 Matugga-Kasangati'!E55)</f>
        <v>3.4285714285714284</v>
      </c>
      <c r="F55" s="49">
        <f>AVERAGE('23.09- Matuga -Kasangati'!F55,'24.09 Matugga-Kasangati'!F55,'25.09 Matugga-Kasangati'!F55,'27.09 Kasangati-Matugga'!F55,'26.09 Matugga-Kasangati-24h'!F55,'28.09 Matugga-Kasangati-24h'!F55,'29.09 Matugga-Kasangati'!F55)</f>
        <v>5.8571428571428568</v>
      </c>
      <c r="G55" s="49">
        <f>AVERAGE('23.09- Matuga -Kasangati'!G55,'24.09 Matugga-Kasangati'!G55,'25.09 Matugga-Kasangati'!G55,'27.09 Kasangati-Matugga'!G55,'26.09 Matugga-Kasangati-24h'!G55,'28.09 Matugga-Kasangati-24h'!G55,'29.09 Matugga-Kasangati'!G55)</f>
        <v>0.2857142857142857</v>
      </c>
      <c r="H55" s="49">
        <f>AVERAGE('23.09- Matuga -Kasangati'!H55,'24.09 Matugga-Kasangati'!H55,'25.09 Matugga-Kasangati'!H55,'27.09 Kasangati-Matugga'!H55,'26.09 Matugga-Kasangati-24h'!H55,'28.09 Matugga-Kasangati-24h'!H55,'29.09 Matugga-Kasangati'!H55)</f>
        <v>0</v>
      </c>
      <c r="I55" s="49">
        <f>AVERAGE('23.09- Matuga -Kasangati'!I55,'24.09 Matugga-Kasangati'!I55,'25.09 Matugga-Kasangati'!I55,'27.09 Kasangati-Matugga'!I55,'26.09 Matugga-Kasangati-24h'!I55,'28.09 Matugga-Kasangati-24h'!I55,'29.09 Matugga-Kasangati'!I55)</f>
        <v>2.7142857142857144</v>
      </c>
      <c r="J55" s="49">
        <f>AVERAGE('23.09- Matuga -Kasangati'!J55,'24.09 Matugga-Kasangati'!J55,'25.09 Matugga-Kasangati'!J55,'27.09 Kasangati-Matugga'!J55,'26.09 Matugga-Kasangati-24h'!J55,'28.09 Matugga-Kasangati-24h'!J55,'29.09 Matugga-Kasangati'!J55)</f>
        <v>0.2857142857142857</v>
      </c>
      <c r="K55" s="49">
        <f>AVERAGE('23.09- Matuga -Kasangati'!K55,'24.09 Matugga-Kasangati'!K55,'25.09 Matugga-Kasangati'!K55,'27.09 Kasangati-Matugga'!K55,'26.09 Matugga-Kasangati-24h'!K55,'28.09 Matugga-Kasangati-24h'!K55,'29.09 Matugga-Kasangati'!K55)</f>
        <v>0.2857142857142857</v>
      </c>
      <c r="L55" s="49">
        <f>AVERAGE('23.09- Matuga -Kasangati'!L55,'24.09 Matugga-Kasangati'!L55,'25.09 Matugga-Kasangati'!L55,'27.09 Kasangati-Matugga'!L55,'26.09 Matugga-Kasangati-24h'!L55,'28.09 Matugga-Kasangati-24h'!L55,'29.09 Matugga-Kasangati'!L55)</f>
        <v>0</v>
      </c>
      <c r="M55" s="49">
        <f>AVERAGE('23.09- Matuga -Kasangati'!M55,'24.09 Matugga-Kasangati'!M55,'25.09 Matugga-Kasangati'!M55,'27.09 Kasangati-Matugga'!M55,'26.09 Matugga-Kasangati-24h'!M55,'28.09 Matugga-Kasangati-24h'!M55,'29.09 Matugga-Kasangati'!M55)</f>
        <v>45</v>
      </c>
      <c r="N55" s="49">
        <f>AVERAGE('23.09- Matuga -Kasangati'!N55,'24.09 Matugga-Kasangati'!N55,'25.09 Matugga-Kasangati'!N55,'27.09 Kasangati-Matugga'!N55,'26.09 Matugga-Kasangati-24h'!N55,'28.09 Matugga-Kasangati-24h'!N55,'29.09 Matugga-Kasangati'!N55)</f>
        <v>0</v>
      </c>
      <c r="O55" s="15">
        <f t="shared" si="0"/>
        <v>34.714285714285708</v>
      </c>
      <c r="P55" s="15">
        <f t="shared" si="1"/>
        <v>79.714285714285708</v>
      </c>
      <c r="R55" s="8"/>
      <c r="T55"/>
    </row>
    <row r="56" spans="2:20" ht="23.1" customHeight="1" x14ac:dyDescent="0.25">
      <c r="B56" s="23" t="s">
        <v>83</v>
      </c>
      <c r="C56" s="49">
        <f>AVERAGE('23.09- Matuga -Kasangati'!C56,'24.09 Matugga-Kasangati'!C56,'25.09 Matugga-Kasangati'!C56,'27.09 Kasangati-Matugga'!C56,'26.09 Matugga-Kasangati-24h'!C56,'28.09 Matugga-Kasangati-24h'!C56,'29.09 Matugga-Kasangati'!C56)</f>
        <v>18.428571428571427</v>
      </c>
      <c r="D56" s="49">
        <f>AVERAGE('23.09- Matuga -Kasangati'!D56,'24.09 Matugga-Kasangati'!D56,'25.09 Matugga-Kasangati'!D56,'27.09 Kasangati-Matugga'!D56,'26.09 Matugga-Kasangati-24h'!D56,'28.09 Matugga-Kasangati-24h'!D56,'29.09 Matugga-Kasangati'!D56)</f>
        <v>5.7142857142857144</v>
      </c>
      <c r="E56" s="49">
        <f>AVERAGE('23.09- Matuga -Kasangati'!E56,'24.09 Matugga-Kasangati'!E56,'25.09 Matugga-Kasangati'!E56,'27.09 Kasangati-Matugga'!E56,'26.09 Matugga-Kasangati-24h'!E56,'28.09 Matugga-Kasangati-24h'!E56,'29.09 Matugga-Kasangati'!E56)</f>
        <v>4.2857142857142856</v>
      </c>
      <c r="F56" s="49">
        <f>AVERAGE('23.09- Matuga -Kasangati'!F56,'24.09 Matugga-Kasangati'!F56,'25.09 Matugga-Kasangati'!F56,'27.09 Kasangati-Matugga'!F56,'26.09 Matugga-Kasangati-24h'!F56,'28.09 Matugga-Kasangati-24h'!F56,'29.09 Matugga-Kasangati'!F56)</f>
        <v>5.2857142857142856</v>
      </c>
      <c r="G56" s="49">
        <f>AVERAGE('23.09- Matuga -Kasangati'!G56,'24.09 Matugga-Kasangati'!G56,'25.09 Matugga-Kasangati'!G56,'27.09 Kasangati-Matugga'!G56,'26.09 Matugga-Kasangati-24h'!G56,'28.09 Matugga-Kasangati-24h'!G56,'29.09 Matugga-Kasangati'!G56)</f>
        <v>0.42857142857142855</v>
      </c>
      <c r="H56" s="49">
        <f>AVERAGE('23.09- Matuga -Kasangati'!H56,'24.09 Matugga-Kasangati'!H56,'25.09 Matugga-Kasangati'!H56,'27.09 Kasangati-Matugga'!H56,'26.09 Matugga-Kasangati-24h'!H56,'28.09 Matugga-Kasangati-24h'!H56,'29.09 Matugga-Kasangati'!H56)</f>
        <v>0</v>
      </c>
      <c r="I56" s="49">
        <f>AVERAGE('23.09- Matuga -Kasangati'!I56,'24.09 Matugga-Kasangati'!I56,'25.09 Matugga-Kasangati'!I56,'27.09 Kasangati-Matugga'!I56,'26.09 Matugga-Kasangati-24h'!I56,'28.09 Matugga-Kasangati-24h'!I56,'29.09 Matugga-Kasangati'!I56)</f>
        <v>2.8571428571428572</v>
      </c>
      <c r="J56" s="49">
        <f>AVERAGE('23.09- Matuga -Kasangati'!J56,'24.09 Matugga-Kasangati'!J56,'25.09 Matugga-Kasangati'!J56,'27.09 Kasangati-Matugga'!J56,'26.09 Matugga-Kasangati-24h'!J56,'28.09 Matugga-Kasangati-24h'!J56,'29.09 Matugga-Kasangati'!J56)</f>
        <v>0.5714285714285714</v>
      </c>
      <c r="K56" s="49">
        <f>AVERAGE('23.09- Matuga -Kasangati'!K56,'24.09 Matugga-Kasangati'!K56,'25.09 Matugga-Kasangati'!K56,'27.09 Kasangati-Matugga'!K56,'26.09 Matugga-Kasangati-24h'!K56,'28.09 Matugga-Kasangati-24h'!K56,'29.09 Matugga-Kasangati'!K56)</f>
        <v>0.14285714285714285</v>
      </c>
      <c r="L56" s="49">
        <f>AVERAGE('23.09- Matuga -Kasangati'!L56,'24.09 Matugga-Kasangati'!L56,'25.09 Matugga-Kasangati'!L56,'27.09 Kasangati-Matugga'!L56,'26.09 Matugga-Kasangati-24h'!L56,'28.09 Matugga-Kasangati-24h'!L56,'29.09 Matugga-Kasangati'!L56)</f>
        <v>0</v>
      </c>
      <c r="M56" s="49">
        <f>AVERAGE('23.09- Matuga -Kasangati'!M56,'24.09 Matugga-Kasangati'!M56,'25.09 Matugga-Kasangati'!M56,'27.09 Kasangati-Matugga'!M56,'26.09 Matugga-Kasangati-24h'!M56,'28.09 Matugga-Kasangati-24h'!M56,'29.09 Matugga-Kasangati'!M56)</f>
        <v>39.857142857142854</v>
      </c>
      <c r="N56" s="49">
        <f>AVERAGE('23.09- Matuga -Kasangati'!N56,'24.09 Matugga-Kasangati'!N56,'25.09 Matugga-Kasangati'!N56,'27.09 Kasangati-Matugga'!N56,'26.09 Matugga-Kasangati-24h'!N56,'28.09 Matugga-Kasangati-24h'!N56,'29.09 Matugga-Kasangati'!N56)</f>
        <v>0</v>
      </c>
      <c r="O56" s="15">
        <f t="shared" si="0"/>
        <v>37.714285714285715</v>
      </c>
      <c r="P56" s="15">
        <f t="shared" si="1"/>
        <v>77.571428571428569</v>
      </c>
      <c r="R56" s="8"/>
      <c r="T56"/>
    </row>
    <row r="57" spans="2:20" ht="23.1" customHeight="1" x14ac:dyDescent="0.25">
      <c r="B57" s="23" t="s">
        <v>84</v>
      </c>
      <c r="C57" s="49">
        <f>AVERAGE('23.09- Matuga -Kasangati'!C57,'24.09 Matugga-Kasangati'!C57,'25.09 Matugga-Kasangati'!C57,'27.09 Kasangati-Matugga'!C57,'26.09 Matugga-Kasangati-24h'!C57,'28.09 Matugga-Kasangati-24h'!C57,'29.09 Matugga-Kasangati'!C57)</f>
        <v>15.714285714285714</v>
      </c>
      <c r="D57" s="49">
        <f>AVERAGE('23.09- Matuga -Kasangati'!D57,'24.09 Matugga-Kasangati'!D57,'25.09 Matugga-Kasangati'!D57,'27.09 Kasangati-Matugga'!D57,'26.09 Matugga-Kasangati-24h'!D57,'28.09 Matugga-Kasangati-24h'!D57,'29.09 Matugga-Kasangati'!D57)</f>
        <v>4.4285714285714288</v>
      </c>
      <c r="E57" s="49">
        <f>AVERAGE('23.09- Matuga -Kasangati'!E57,'24.09 Matugga-Kasangati'!E57,'25.09 Matugga-Kasangati'!E57,'27.09 Kasangati-Matugga'!E57,'26.09 Matugga-Kasangati-24h'!E57,'28.09 Matugga-Kasangati-24h'!E57,'29.09 Matugga-Kasangati'!E57)</f>
        <v>4.4285714285714288</v>
      </c>
      <c r="F57" s="49">
        <f>AVERAGE('23.09- Matuga -Kasangati'!F57,'24.09 Matugga-Kasangati'!F57,'25.09 Matugga-Kasangati'!F57,'27.09 Kasangati-Matugga'!F57,'26.09 Matugga-Kasangati-24h'!F57,'28.09 Matugga-Kasangati-24h'!F57,'29.09 Matugga-Kasangati'!F57)</f>
        <v>4.7142857142857144</v>
      </c>
      <c r="G57" s="49">
        <f>AVERAGE('23.09- Matuga -Kasangati'!G57,'24.09 Matugga-Kasangati'!G57,'25.09 Matugga-Kasangati'!G57,'27.09 Kasangati-Matugga'!G57,'26.09 Matugga-Kasangati-24h'!G57,'28.09 Matugga-Kasangati-24h'!G57,'29.09 Matugga-Kasangati'!G57)</f>
        <v>0.5714285714285714</v>
      </c>
      <c r="H57" s="49">
        <f>AVERAGE('23.09- Matuga -Kasangati'!H57,'24.09 Matugga-Kasangati'!H57,'25.09 Matugga-Kasangati'!H57,'27.09 Kasangati-Matugga'!H57,'26.09 Matugga-Kasangati-24h'!H57,'28.09 Matugga-Kasangati-24h'!H57,'29.09 Matugga-Kasangati'!H57)</f>
        <v>0</v>
      </c>
      <c r="I57" s="49">
        <f>AVERAGE('23.09- Matuga -Kasangati'!I57,'24.09 Matugga-Kasangati'!I57,'25.09 Matugga-Kasangati'!I57,'27.09 Kasangati-Matugga'!I57,'26.09 Matugga-Kasangati-24h'!I57,'28.09 Matugga-Kasangati-24h'!I57,'29.09 Matugga-Kasangati'!I57)</f>
        <v>2</v>
      </c>
      <c r="J57" s="49">
        <f>AVERAGE('23.09- Matuga -Kasangati'!J57,'24.09 Matugga-Kasangati'!J57,'25.09 Matugga-Kasangati'!J57,'27.09 Kasangati-Matugga'!J57,'26.09 Matugga-Kasangati-24h'!J57,'28.09 Matugga-Kasangati-24h'!J57,'29.09 Matugga-Kasangati'!J57)</f>
        <v>0.8571428571428571</v>
      </c>
      <c r="K57" s="49">
        <f>AVERAGE('23.09- Matuga -Kasangati'!K57,'24.09 Matugga-Kasangati'!K57,'25.09 Matugga-Kasangati'!K57,'27.09 Kasangati-Matugga'!K57,'26.09 Matugga-Kasangati-24h'!K57,'28.09 Matugga-Kasangati-24h'!K57,'29.09 Matugga-Kasangati'!K57)</f>
        <v>0.5714285714285714</v>
      </c>
      <c r="L57" s="49">
        <f>AVERAGE('23.09- Matuga -Kasangati'!L57,'24.09 Matugga-Kasangati'!L57,'25.09 Matugga-Kasangati'!L57,'27.09 Kasangati-Matugga'!L57,'26.09 Matugga-Kasangati-24h'!L57,'28.09 Matugga-Kasangati-24h'!L57,'29.09 Matugga-Kasangati'!L57)</f>
        <v>0</v>
      </c>
      <c r="M57" s="49">
        <f>AVERAGE('23.09- Matuga -Kasangati'!M57,'24.09 Matugga-Kasangati'!M57,'25.09 Matugga-Kasangati'!M57,'27.09 Kasangati-Matugga'!M57,'26.09 Matugga-Kasangati-24h'!M57,'28.09 Matugga-Kasangati-24h'!M57,'29.09 Matugga-Kasangati'!M57)</f>
        <v>37</v>
      </c>
      <c r="N57" s="49">
        <f>AVERAGE('23.09- Matuga -Kasangati'!N57,'24.09 Matugga-Kasangati'!N57,'25.09 Matugga-Kasangati'!N57,'27.09 Kasangati-Matugga'!N57,'26.09 Matugga-Kasangati-24h'!N57,'28.09 Matugga-Kasangati-24h'!N57,'29.09 Matugga-Kasangati'!N57)</f>
        <v>0</v>
      </c>
      <c r="O57" s="15">
        <f t="shared" si="0"/>
        <v>33.285714285714285</v>
      </c>
      <c r="P57" s="15">
        <f t="shared" si="1"/>
        <v>70.285714285714278</v>
      </c>
      <c r="R57" s="8"/>
      <c r="T57"/>
    </row>
    <row r="58" spans="2:20" s="101" customFormat="1" ht="23.1" customHeight="1" x14ac:dyDescent="0.25">
      <c r="B58" s="123" t="s">
        <v>99</v>
      </c>
      <c r="C58" s="49">
        <f>AVERAGE('26.09 Matugga-Kasangati-24h'!C58,'28.09 Matugga-Kasangati-24h'!C58)</f>
        <v>18</v>
      </c>
      <c r="D58" s="49">
        <f>AVERAGE('26.09 Matugga-Kasangati-24h'!D58,'28.09 Matugga-Kasangati-24h'!D58)</f>
        <v>1.5</v>
      </c>
      <c r="E58" s="49">
        <f>AVERAGE('26.09 Matugga-Kasangati-24h'!E58,'28.09 Matugga-Kasangati-24h'!E58)</f>
        <v>2.5</v>
      </c>
      <c r="F58" s="49">
        <f>AVERAGE('26.09 Matugga-Kasangati-24h'!F58,'28.09 Matugga-Kasangati-24h'!F58)</f>
        <v>6.5</v>
      </c>
      <c r="G58" s="49">
        <f>AVERAGE('26.09 Matugga-Kasangati-24h'!G58,'28.09 Matugga-Kasangati-24h'!G58)</f>
        <v>0.5</v>
      </c>
      <c r="H58" s="49">
        <f>AVERAGE('26.09 Matugga-Kasangati-24h'!H58,'28.09 Matugga-Kasangati-24h'!H58)</f>
        <v>0</v>
      </c>
      <c r="I58" s="49">
        <f>AVERAGE('26.09 Matugga-Kasangati-24h'!I58,'28.09 Matugga-Kasangati-24h'!I58)</f>
        <v>1.5</v>
      </c>
      <c r="J58" s="49">
        <f>AVERAGE('26.09 Matugga-Kasangati-24h'!J58,'28.09 Matugga-Kasangati-24h'!J58)</f>
        <v>0</v>
      </c>
      <c r="K58" s="49">
        <f>AVERAGE('26.09 Matugga-Kasangati-24h'!K58,'28.09 Matugga-Kasangati-24h'!K58)</f>
        <v>0</v>
      </c>
      <c r="L58" s="49">
        <f>AVERAGE('26.09 Matugga-Kasangati-24h'!L58,'28.09 Matugga-Kasangati-24h'!L58)</f>
        <v>0.5</v>
      </c>
      <c r="M58" s="49">
        <f>AVERAGE('26.09 Matugga-Kasangati-24h'!M58,'28.09 Matugga-Kasangati-24h'!M58)</f>
        <v>48.5</v>
      </c>
      <c r="N58" s="49">
        <f>AVERAGE('26.09 Matugga-Kasangati-24h'!N58,'28.09 Matugga-Kasangati-24h'!N58)</f>
        <v>0</v>
      </c>
      <c r="O58" s="116">
        <f t="shared" si="0"/>
        <v>31</v>
      </c>
      <c r="P58" s="116">
        <f t="shared" si="1"/>
        <v>79.5</v>
      </c>
      <c r="R58" s="109"/>
      <c r="S58" s="109"/>
    </row>
    <row r="59" spans="2:20" s="101" customFormat="1" ht="23.1" customHeight="1" x14ac:dyDescent="0.25">
      <c r="B59" s="123" t="s">
        <v>100</v>
      </c>
      <c r="C59" s="49">
        <f>AVERAGE('26.09 Matugga-Kasangati-24h'!C59,'28.09 Matugga-Kasangati-24h'!C59)</f>
        <v>17</v>
      </c>
      <c r="D59" s="49">
        <f>AVERAGE('26.09 Matugga-Kasangati-24h'!D59,'28.09 Matugga-Kasangati-24h'!D59)</f>
        <v>4.5</v>
      </c>
      <c r="E59" s="49">
        <f>AVERAGE('26.09 Matugga-Kasangati-24h'!E59,'28.09 Matugga-Kasangati-24h'!E59)</f>
        <v>1.5</v>
      </c>
      <c r="F59" s="49">
        <f>AVERAGE('26.09 Matugga-Kasangati-24h'!F59,'28.09 Matugga-Kasangati-24h'!F59)</f>
        <v>3.5</v>
      </c>
      <c r="G59" s="49">
        <f>AVERAGE('26.09 Matugga-Kasangati-24h'!G59,'28.09 Matugga-Kasangati-24h'!G59)</f>
        <v>0</v>
      </c>
      <c r="H59" s="49">
        <f>AVERAGE('26.09 Matugga-Kasangati-24h'!H59,'28.09 Matugga-Kasangati-24h'!H59)</f>
        <v>0</v>
      </c>
      <c r="I59" s="49">
        <f>AVERAGE('26.09 Matugga-Kasangati-24h'!I59,'28.09 Matugga-Kasangati-24h'!I59)</f>
        <v>0.5</v>
      </c>
      <c r="J59" s="49">
        <f>AVERAGE('26.09 Matugga-Kasangati-24h'!J59,'28.09 Matugga-Kasangati-24h'!J59)</f>
        <v>0</v>
      </c>
      <c r="K59" s="49">
        <f>AVERAGE('26.09 Matugga-Kasangati-24h'!K59,'28.09 Matugga-Kasangati-24h'!K59)</f>
        <v>0</v>
      </c>
      <c r="L59" s="49">
        <f>AVERAGE('26.09 Matugga-Kasangati-24h'!L59,'28.09 Matugga-Kasangati-24h'!L59)</f>
        <v>0</v>
      </c>
      <c r="M59" s="49">
        <f>AVERAGE('26.09 Matugga-Kasangati-24h'!M59,'28.09 Matugga-Kasangati-24h'!M59)</f>
        <v>55.5</v>
      </c>
      <c r="N59" s="49">
        <f>AVERAGE('26.09 Matugga-Kasangati-24h'!N59,'28.09 Matugga-Kasangati-24h'!N59)</f>
        <v>0</v>
      </c>
      <c r="O59" s="116">
        <f t="shared" ref="O59:O105" si="35">SUM(C59:L59,N59)</f>
        <v>27</v>
      </c>
      <c r="P59" s="116">
        <f t="shared" ref="P59:P105" si="36">SUM(C59:N59)</f>
        <v>82.5</v>
      </c>
      <c r="R59" s="109"/>
      <c r="S59" s="109"/>
    </row>
    <row r="60" spans="2:20" s="101" customFormat="1" ht="23.1" customHeight="1" x14ac:dyDescent="0.25">
      <c r="B60" s="123" t="s">
        <v>101</v>
      </c>
      <c r="C60" s="49">
        <f>AVERAGE('26.09 Matugga-Kasangati-24h'!C60,'28.09 Matugga-Kasangati-24h'!C60)</f>
        <v>18.5</v>
      </c>
      <c r="D60" s="49">
        <f>AVERAGE('26.09 Matugga-Kasangati-24h'!D60,'28.09 Matugga-Kasangati-24h'!D60)</f>
        <v>5.5</v>
      </c>
      <c r="E60" s="49">
        <f>AVERAGE('26.09 Matugga-Kasangati-24h'!E60,'28.09 Matugga-Kasangati-24h'!E60)</f>
        <v>5</v>
      </c>
      <c r="F60" s="49">
        <f>AVERAGE('26.09 Matugga-Kasangati-24h'!F60,'28.09 Matugga-Kasangati-24h'!F60)</f>
        <v>5.5</v>
      </c>
      <c r="G60" s="49">
        <f>AVERAGE('26.09 Matugga-Kasangati-24h'!G60,'28.09 Matugga-Kasangati-24h'!G60)</f>
        <v>0.5</v>
      </c>
      <c r="H60" s="49">
        <f>AVERAGE('26.09 Matugga-Kasangati-24h'!H60,'28.09 Matugga-Kasangati-24h'!H60)</f>
        <v>0</v>
      </c>
      <c r="I60" s="49">
        <f>AVERAGE('26.09 Matugga-Kasangati-24h'!I60,'28.09 Matugga-Kasangati-24h'!I60)</f>
        <v>1.5</v>
      </c>
      <c r="J60" s="49">
        <f>AVERAGE('26.09 Matugga-Kasangati-24h'!J60,'28.09 Matugga-Kasangati-24h'!J60)</f>
        <v>0.5</v>
      </c>
      <c r="K60" s="49">
        <f>AVERAGE('26.09 Matugga-Kasangati-24h'!K60,'28.09 Matugga-Kasangati-24h'!K60)</f>
        <v>0</v>
      </c>
      <c r="L60" s="49">
        <f>AVERAGE('26.09 Matugga-Kasangati-24h'!L60,'28.09 Matugga-Kasangati-24h'!L60)</f>
        <v>0</v>
      </c>
      <c r="M60" s="49">
        <f>AVERAGE('26.09 Matugga-Kasangati-24h'!M60,'28.09 Matugga-Kasangati-24h'!M60)</f>
        <v>55</v>
      </c>
      <c r="N60" s="49">
        <f>AVERAGE('26.09 Matugga-Kasangati-24h'!N60,'28.09 Matugga-Kasangati-24h'!N60)</f>
        <v>0</v>
      </c>
      <c r="O60" s="116">
        <f t="shared" si="35"/>
        <v>37</v>
      </c>
      <c r="P60" s="116">
        <f t="shared" si="36"/>
        <v>92</v>
      </c>
      <c r="R60" s="109"/>
      <c r="S60" s="109"/>
    </row>
    <row r="61" spans="2:20" s="101" customFormat="1" ht="23.1" customHeight="1" x14ac:dyDescent="0.25">
      <c r="B61" s="123" t="s">
        <v>102</v>
      </c>
      <c r="C61" s="49">
        <f>AVERAGE('26.09 Matugga-Kasangati-24h'!C61,'28.09 Matugga-Kasangati-24h'!C61)</f>
        <v>11.5</v>
      </c>
      <c r="D61" s="49">
        <f>AVERAGE('26.09 Matugga-Kasangati-24h'!D61,'28.09 Matugga-Kasangati-24h'!D61)</f>
        <v>4</v>
      </c>
      <c r="E61" s="49">
        <f>AVERAGE('26.09 Matugga-Kasangati-24h'!E61,'28.09 Matugga-Kasangati-24h'!E61)</f>
        <v>3</v>
      </c>
      <c r="F61" s="49">
        <f>AVERAGE('26.09 Matugga-Kasangati-24h'!F61,'28.09 Matugga-Kasangati-24h'!F61)</f>
        <v>3.5</v>
      </c>
      <c r="G61" s="49">
        <f>AVERAGE('26.09 Matugga-Kasangati-24h'!G61,'28.09 Matugga-Kasangati-24h'!G61)</f>
        <v>0</v>
      </c>
      <c r="H61" s="49">
        <f>AVERAGE('26.09 Matugga-Kasangati-24h'!H61,'28.09 Matugga-Kasangati-24h'!H61)</f>
        <v>0</v>
      </c>
      <c r="I61" s="49">
        <f>AVERAGE('26.09 Matugga-Kasangati-24h'!I61,'28.09 Matugga-Kasangati-24h'!I61)</f>
        <v>2.5</v>
      </c>
      <c r="J61" s="49">
        <f>AVERAGE('26.09 Matugga-Kasangati-24h'!J61,'28.09 Matugga-Kasangati-24h'!J61)</f>
        <v>1</v>
      </c>
      <c r="K61" s="49">
        <f>AVERAGE('26.09 Matugga-Kasangati-24h'!K61,'28.09 Matugga-Kasangati-24h'!K61)</f>
        <v>0.5</v>
      </c>
      <c r="L61" s="49">
        <f>AVERAGE('26.09 Matugga-Kasangati-24h'!L61,'28.09 Matugga-Kasangati-24h'!L61)</f>
        <v>1</v>
      </c>
      <c r="M61" s="49">
        <f>AVERAGE('26.09 Matugga-Kasangati-24h'!M61,'28.09 Matugga-Kasangati-24h'!M61)</f>
        <v>55.5</v>
      </c>
      <c r="N61" s="49">
        <f>AVERAGE('26.09 Matugga-Kasangati-24h'!N61,'28.09 Matugga-Kasangati-24h'!N61)</f>
        <v>0</v>
      </c>
      <c r="O61" s="116">
        <f t="shared" si="35"/>
        <v>27</v>
      </c>
      <c r="P61" s="116">
        <f t="shared" si="36"/>
        <v>82.5</v>
      </c>
      <c r="R61" s="109"/>
      <c r="S61" s="109"/>
    </row>
    <row r="62" spans="2:20" s="101" customFormat="1" ht="23.1" customHeight="1" x14ac:dyDescent="0.25">
      <c r="B62" s="123" t="s">
        <v>107</v>
      </c>
      <c r="C62" s="49">
        <f>AVERAGE('26.09 Matugga-Kasangati-24h'!C62,'28.09 Matugga-Kasangati-24h'!C62)</f>
        <v>16.5</v>
      </c>
      <c r="D62" s="49">
        <f>AVERAGE('26.09 Matugga-Kasangati-24h'!D62,'28.09 Matugga-Kasangati-24h'!D62)</f>
        <v>2</v>
      </c>
      <c r="E62" s="49">
        <f>AVERAGE('26.09 Matugga-Kasangati-24h'!E62,'28.09 Matugga-Kasangati-24h'!E62)</f>
        <v>0.5</v>
      </c>
      <c r="F62" s="49">
        <f>AVERAGE('26.09 Matugga-Kasangati-24h'!F62,'28.09 Matugga-Kasangati-24h'!F62)</f>
        <v>6.5</v>
      </c>
      <c r="G62" s="49">
        <f>AVERAGE('26.09 Matugga-Kasangati-24h'!G62,'28.09 Matugga-Kasangati-24h'!G62)</f>
        <v>0</v>
      </c>
      <c r="H62" s="49">
        <f>AVERAGE('26.09 Matugga-Kasangati-24h'!H62,'28.09 Matugga-Kasangati-24h'!H62)</f>
        <v>0</v>
      </c>
      <c r="I62" s="49">
        <f>AVERAGE('26.09 Matugga-Kasangati-24h'!I62,'28.09 Matugga-Kasangati-24h'!I62)</f>
        <v>2</v>
      </c>
      <c r="J62" s="49">
        <f>AVERAGE('26.09 Matugga-Kasangati-24h'!J62,'28.09 Matugga-Kasangati-24h'!J62)</f>
        <v>0.5</v>
      </c>
      <c r="K62" s="49">
        <f>AVERAGE('26.09 Matugga-Kasangati-24h'!K62,'28.09 Matugga-Kasangati-24h'!K62)</f>
        <v>1.5</v>
      </c>
      <c r="L62" s="49">
        <f>AVERAGE('26.09 Matugga-Kasangati-24h'!L62,'28.09 Matugga-Kasangati-24h'!L62)</f>
        <v>0</v>
      </c>
      <c r="M62" s="49">
        <f>AVERAGE('26.09 Matugga-Kasangati-24h'!M62,'28.09 Matugga-Kasangati-24h'!M62)</f>
        <v>46</v>
      </c>
      <c r="N62" s="49">
        <f>AVERAGE('26.09 Matugga-Kasangati-24h'!N62,'28.09 Matugga-Kasangati-24h'!N62)</f>
        <v>0</v>
      </c>
      <c r="O62" s="116">
        <f t="shared" si="35"/>
        <v>29.5</v>
      </c>
      <c r="P62" s="116">
        <f t="shared" si="36"/>
        <v>75.5</v>
      </c>
      <c r="R62" s="109"/>
      <c r="S62" s="109"/>
    </row>
    <row r="63" spans="2:20" s="101" customFormat="1" ht="23.1" customHeight="1" x14ac:dyDescent="0.25">
      <c r="B63" s="123" t="s">
        <v>108</v>
      </c>
      <c r="C63" s="49">
        <f>AVERAGE('26.09 Matugga-Kasangati-24h'!C63,'28.09 Matugga-Kasangati-24h'!C63)</f>
        <v>16</v>
      </c>
      <c r="D63" s="49">
        <f>AVERAGE('26.09 Matugga-Kasangati-24h'!D63,'28.09 Matugga-Kasangati-24h'!D63)</f>
        <v>2</v>
      </c>
      <c r="E63" s="49">
        <f>AVERAGE('26.09 Matugga-Kasangati-24h'!E63,'28.09 Matugga-Kasangati-24h'!E63)</f>
        <v>4</v>
      </c>
      <c r="F63" s="49">
        <f>AVERAGE('26.09 Matugga-Kasangati-24h'!F63,'28.09 Matugga-Kasangati-24h'!F63)</f>
        <v>4</v>
      </c>
      <c r="G63" s="49">
        <f>AVERAGE('26.09 Matugga-Kasangati-24h'!G63,'28.09 Matugga-Kasangati-24h'!G63)</f>
        <v>0</v>
      </c>
      <c r="H63" s="49">
        <f>AVERAGE('26.09 Matugga-Kasangati-24h'!H63,'28.09 Matugga-Kasangati-24h'!H63)</f>
        <v>0</v>
      </c>
      <c r="I63" s="49">
        <f>AVERAGE('26.09 Matugga-Kasangati-24h'!I63,'28.09 Matugga-Kasangati-24h'!I63)</f>
        <v>1</v>
      </c>
      <c r="J63" s="49">
        <f>AVERAGE('26.09 Matugga-Kasangati-24h'!J63,'28.09 Matugga-Kasangati-24h'!J63)</f>
        <v>1</v>
      </c>
      <c r="K63" s="49">
        <f>AVERAGE('26.09 Matugga-Kasangati-24h'!K63,'28.09 Matugga-Kasangati-24h'!K63)</f>
        <v>0</v>
      </c>
      <c r="L63" s="49">
        <f>AVERAGE('26.09 Matugga-Kasangati-24h'!L63,'28.09 Matugga-Kasangati-24h'!L63)</f>
        <v>0</v>
      </c>
      <c r="M63" s="49">
        <f>AVERAGE('26.09 Matugga-Kasangati-24h'!M63,'28.09 Matugga-Kasangati-24h'!M63)</f>
        <v>42.5</v>
      </c>
      <c r="N63" s="49">
        <f>AVERAGE('26.09 Matugga-Kasangati-24h'!N63,'28.09 Matugga-Kasangati-24h'!N63)</f>
        <v>0</v>
      </c>
      <c r="O63" s="116">
        <f t="shared" si="35"/>
        <v>28</v>
      </c>
      <c r="P63" s="116">
        <f t="shared" si="36"/>
        <v>70.5</v>
      </c>
      <c r="R63" s="109"/>
      <c r="S63" s="109"/>
    </row>
    <row r="64" spans="2:20" s="101" customFormat="1" ht="23.1" customHeight="1" x14ac:dyDescent="0.25">
      <c r="B64" s="123" t="s">
        <v>109</v>
      </c>
      <c r="C64" s="49">
        <f>AVERAGE('26.09 Matugga-Kasangati-24h'!C64,'28.09 Matugga-Kasangati-24h'!C64)</f>
        <v>18</v>
      </c>
      <c r="D64" s="49">
        <f>AVERAGE('26.09 Matugga-Kasangati-24h'!D64,'28.09 Matugga-Kasangati-24h'!D64)</f>
        <v>7</v>
      </c>
      <c r="E64" s="49">
        <f>AVERAGE('26.09 Matugga-Kasangati-24h'!E64,'28.09 Matugga-Kasangati-24h'!E64)</f>
        <v>5</v>
      </c>
      <c r="F64" s="49">
        <f>AVERAGE('26.09 Matugga-Kasangati-24h'!F64,'28.09 Matugga-Kasangati-24h'!F64)</f>
        <v>2.5</v>
      </c>
      <c r="G64" s="49">
        <f>AVERAGE('26.09 Matugga-Kasangati-24h'!G64,'28.09 Matugga-Kasangati-24h'!G64)</f>
        <v>0</v>
      </c>
      <c r="H64" s="49">
        <f>AVERAGE('26.09 Matugga-Kasangati-24h'!H64,'28.09 Matugga-Kasangati-24h'!H64)</f>
        <v>0</v>
      </c>
      <c r="I64" s="49">
        <f>AVERAGE('26.09 Matugga-Kasangati-24h'!I64,'28.09 Matugga-Kasangati-24h'!I64)</f>
        <v>1</v>
      </c>
      <c r="J64" s="49">
        <f>AVERAGE('26.09 Matugga-Kasangati-24h'!J64,'28.09 Matugga-Kasangati-24h'!J64)</f>
        <v>0.5</v>
      </c>
      <c r="K64" s="49">
        <f>AVERAGE('26.09 Matugga-Kasangati-24h'!K64,'28.09 Matugga-Kasangati-24h'!K64)</f>
        <v>1</v>
      </c>
      <c r="L64" s="49">
        <f>AVERAGE('26.09 Matugga-Kasangati-24h'!L64,'28.09 Matugga-Kasangati-24h'!L64)</f>
        <v>0.5</v>
      </c>
      <c r="M64" s="49">
        <f>AVERAGE('26.09 Matugga-Kasangati-24h'!M64,'28.09 Matugga-Kasangati-24h'!M64)</f>
        <v>56.5</v>
      </c>
      <c r="N64" s="49">
        <f>AVERAGE('26.09 Matugga-Kasangati-24h'!N64,'28.09 Matugga-Kasangati-24h'!N64)</f>
        <v>0</v>
      </c>
      <c r="O64" s="116">
        <f t="shared" si="35"/>
        <v>35.5</v>
      </c>
      <c r="P64" s="116">
        <f t="shared" si="36"/>
        <v>92</v>
      </c>
      <c r="R64" s="109"/>
      <c r="S64" s="109"/>
    </row>
    <row r="65" spans="2:19" s="101" customFormat="1" ht="23.1" customHeight="1" x14ac:dyDescent="0.25">
      <c r="B65" s="123" t="s">
        <v>158</v>
      </c>
      <c r="C65" s="49">
        <f>AVERAGE('26.09 Matugga-Kasangati-24h'!C65,'28.09 Matugga-Kasangati-24h'!C65)</f>
        <v>10</v>
      </c>
      <c r="D65" s="49">
        <f>AVERAGE('26.09 Matugga-Kasangati-24h'!D65,'28.09 Matugga-Kasangati-24h'!D65)</f>
        <v>4</v>
      </c>
      <c r="E65" s="49">
        <f>AVERAGE('26.09 Matugga-Kasangati-24h'!E65,'28.09 Matugga-Kasangati-24h'!E65)</f>
        <v>4</v>
      </c>
      <c r="F65" s="49">
        <f>AVERAGE('26.09 Matugga-Kasangati-24h'!F65,'28.09 Matugga-Kasangati-24h'!F65)</f>
        <v>3.5</v>
      </c>
      <c r="G65" s="49">
        <f>AVERAGE('26.09 Matugga-Kasangati-24h'!G65,'28.09 Matugga-Kasangati-24h'!G65)</f>
        <v>0</v>
      </c>
      <c r="H65" s="49">
        <f>AVERAGE('26.09 Matugga-Kasangati-24h'!H65,'28.09 Matugga-Kasangati-24h'!H65)</f>
        <v>0</v>
      </c>
      <c r="I65" s="49">
        <f>AVERAGE('26.09 Matugga-Kasangati-24h'!I65,'28.09 Matugga-Kasangati-24h'!I65)</f>
        <v>1.5</v>
      </c>
      <c r="J65" s="49">
        <f>AVERAGE('26.09 Matugga-Kasangati-24h'!J65,'28.09 Matugga-Kasangati-24h'!J65)</f>
        <v>1</v>
      </c>
      <c r="K65" s="49">
        <f>AVERAGE('26.09 Matugga-Kasangati-24h'!K65,'28.09 Matugga-Kasangati-24h'!K65)</f>
        <v>0</v>
      </c>
      <c r="L65" s="49">
        <f>AVERAGE('26.09 Matugga-Kasangati-24h'!L65,'28.09 Matugga-Kasangati-24h'!L65)</f>
        <v>0</v>
      </c>
      <c r="M65" s="49">
        <f>AVERAGE('26.09 Matugga-Kasangati-24h'!M65,'28.09 Matugga-Kasangati-24h'!M65)</f>
        <v>45.5</v>
      </c>
      <c r="N65" s="49">
        <f>AVERAGE('26.09 Matugga-Kasangati-24h'!N65,'28.09 Matugga-Kasangati-24h'!N65)</f>
        <v>0</v>
      </c>
      <c r="O65" s="116">
        <f t="shared" si="35"/>
        <v>24</v>
      </c>
      <c r="P65" s="116">
        <f t="shared" si="36"/>
        <v>69.5</v>
      </c>
      <c r="R65" s="109"/>
      <c r="S65" s="109"/>
    </row>
    <row r="66" spans="2:19" s="101" customFormat="1" ht="23.1" customHeight="1" x14ac:dyDescent="0.25">
      <c r="B66" s="123" t="s">
        <v>103</v>
      </c>
      <c r="C66" s="49">
        <f>AVERAGE('26.09 Matugga-Kasangati-24h'!C66,'28.09 Matugga-Kasangati-24h'!C66)</f>
        <v>11</v>
      </c>
      <c r="D66" s="49">
        <f>AVERAGE('26.09 Matugga-Kasangati-24h'!D66,'28.09 Matugga-Kasangati-24h'!D66)</f>
        <v>2</v>
      </c>
      <c r="E66" s="49">
        <f>AVERAGE('26.09 Matugga-Kasangati-24h'!E66,'28.09 Matugga-Kasangati-24h'!E66)</f>
        <v>2</v>
      </c>
      <c r="F66" s="49">
        <f>AVERAGE('26.09 Matugga-Kasangati-24h'!F66,'28.09 Matugga-Kasangati-24h'!F66)</f>
        <v>5.5</v>
      </c>
      <c r="G66" s="49">
        <f>AVERAGE('26.09 Matugga-Kasangati-24h'!G66,'28.09 Matugga-Kasangati-24h'!G66)</f>
        <v>0</v>
      </c>
      <c r="H66" s="49">
        <f>AVERAGE('26.09 Matugga-Kasangati-24h'!H66,'28.09 Matugga-Kasangati-24h'!H66)</f>
        <v>0</v>
      </c>
      <c r="I66" s="49">
        <f>AVERAGE('26.09 Matugga-Kasangati-24h'!I66,'28.09 Matugga-Kasangati-24h'!I66)</f>
        <v>1</v>
      </c>
      <c r="J66" s="49">
        <f>AVERAGE('26.09 Matugga-Kasangati-24h'!J66,'28.09 Matugga-Kasangati-24h'!J66)</f>
        <v>0.5</v>
      </c>
      <c r="K66" s="49">
        <f>AVERAGE('26.09 Matugga-Kasangati-24h'!K66,'28.09 Matugga-Kasangati-24h'!K66)</f>
        <v>0</v>
      </c>
      <c r="L66" s="49">
        <f>AVERAGE('26.09 Matugga-Kasangati-24h'!L66,'28.09 Matugga-Kasangati-24h'!L66)</f>
        <v>0.5</v>
      </c>
      <c r="M66" s="49">
        <f>AVERAGE('26.09 Matugga-Kasangati-24h'!M66,'28.09 Matugga-Kasangati-24h'!M66)</f>
        <v>38</v>
      </c>
      <c r="N66" s="49">
        <f>AVERAGE('26.09 Matugga-Kasangati-24h'!N66,'28.09 Matugga-Kasangati-24h'!N66)</f>
        <v>0</v>
      </c>
      <c r="O66" s="116">
        <f t="shared" si="35"/>
        <v>22.5</v>
      </c>
      <c r="P66" s="116">
        <f t="shared" si="36"/>
        <v>60.5</v>
      </c>
      <c r="R66" s="109"/>
      <c r="S66" s="109"/>
    </row>
    <row r="67" spans="2:19" s="101" customFormat="1" ht="23.1" customHeight="1" x14ac:dyDescent="0.25">
      <c r="B67" s="123" t="s">
        <v>104</v>
      </c>
      <c r="C67" s="49">
        <f>AVERAGE('26.09 Matugga-Kasangati-24h'!C67,'28.09 Matugga-Kasangati-24h'!C67)</f>
        <v>11</v>
      </c>
      <c r="D67" s="49">
        <f>AVERAGE('26.09 Matugga-Kasangati-24h'!D67,'28.09 Matugga-Kasangati-24h'!D67)</f>
        <v>2.5</v>
      </c>
      <c r="E67" s="49">
        <f>AVERAGE('26.09 Matugga-Kasangati-24h'!E67,'28.09 Matugga-Kasangati-24h'!E67)</f>
        <v>4</v>
      </c>
      <c r="F67" s="49">
        <f>AVERAGE('26.09 Matugga-Kasangati-24h'!F67,'28.09 Matugga-Kasangati-24h'!F67)</f>
        <v>3.5</v>
      </c>
      <c r="G67" s="49">
        <f>AVERAGE('26.09 Matugga-Kasangati-24h'!G67,'28.09 Matugga-Kasangati-24h'!G67)</f>
        <v>0</v>
      </c>
      <c r="H67" s="49">
        <f>AVERAGE('26.09 Matugga-Kasangati-24h'!H67,'28.09 Matugga-Kasangati-24h'!H67)</f>
        <v>0</v>
      </c>
      <c r="I67" s="49">
        <f>AVERAGE('26.09 Matugga-Kasangati-24h'!I67,'28.09 Matugga-Kasangati-24h'!I67)</f>
        <v>2.5</v>
      </c>
      <c r="J67" s="49">
        <f>AVERAGE('26.09 Matugga-Kasangati-24h'!J67,'28.09 Matugga-Kasangati-24h'!J67)</f>
        <v>0.5</v>
      </c>
      <c r="K67" s="49">
        <f>AVERAGE('26.09 Matugga-Kasangati-24h'!K67,'28.09 Matugga-Kasangati-24h'!K67)</f>
        <v>0</v>
      </c>
      <c r="L67" s="49">
        <f>AVERAGE('26.09 Matugga-Kasangati-24h'!L67,'28.09 Matugga-Kasangati-24h'!L67)</f>
        <v>0</v>
      </c>
      <c r="M67" s="49">
        <f>AVERAGE('26.09 Matugga-Kasangati-24h'!M67,'28.09 Matugga-Kasangati-24h'!M67)</f>
        <v>39.5</v>
      </c>
      <c r="N67" s="49">
        <f>AVERAGE('26.09 Matugga-Kasangati-24h'!N67,'28.09 Matugga-Kasangati-24h'!N67)</f>
        <v>0</v>
      </c>
      <c r="O67" s="116">
        <f t="shared" si="35"/>
        <v>24</v>
      </c>
      <c r="P67" s="116">
        <f t="shared" si="36"/>
        <v>63.5</v>
      </c>
      <c r="R67" s="109"/>
      <c r="S67" s="109"/>
    </row>
    <row r="68" spans="2:19" s="101" customFormat="1" ht="23.1" customHeight="1" x14ac:dyDescent="0.25">
      <c r="B68" s="123" t="s">
        <v>105</v>
      </c>
      <c r="C68" s="49">
        <f>AVERAGE('26.09 Matugga-Kasangati-24h'!C68,'28.09 Matugga-Kasangati-24h'!C68)</f>
        <v>8.5</v>
      </c>
      <c r="D68" s="49">
        <f>AVERAGE('26.09 Matugga-Kasangati-24h'!D68,'28.09 Matugga-Kasangati-24h'!D68)</f>
        <v>1.5</v>
      </c>
      <c r="E68" s="49">
        <f>AVERAGE('26.09 Matugga-Kasangati-24h'!E68,'28.09 Matugga-Kasangati-24h'!E68)</f>
        <v>1.5</v>
      </c>
      <c r="F68" s="49">
        <f>AVERAGE('26.09 Matugga-Kasangati-24h'!F68,'28.09 Matugga-Kasangati-24h'!F68)</f>
        <v>3</v>
      </c>
      <c r="G68" s="49">
        <f>AVERAGE('26.09 Matugga-Kasangati-24h'!G68,'28.09 Matugga-Kasangati-24h'!G68)</f>
        <v>0</v>
      </c>
      <c r="H68" s="49">
        <f>AVERAGE('26.09 Matugga-Kasangati-24h'!H68,'28.09 Matugga-Kasangati-24h'!H68)</f>
        <v>0</v>
      </c>
      <c r="I68" s="49">
        <f>AVERAGE('26.09 Matugga-Kasangati-24h'!I68,'28.09 Matugga-Kasangati-24h'!I68)</f>
        <v>1.5</v>
      </c>
      <c r="J68" s="49">
        <f>AVERAGE('26.09 Matugga-Kasangati-24h'!J68,'28.09 Matugga-Kasangati-24h'!J68)</f>
        <v>0</v>
      </c>
      <c r="K68" s="49">
        <f>AVERAGE('26.09 Matugga-Kasangati-24h'!K68,'28.09 Matugga-Kasangati-24h'!K68)</f>
        <v>0</v>
      </c>
      <c r="L68" s="49">
        <f>AVERAGE('26.09 Matugga-Kasangati-24h'!L68,'28.09 Matugga-Kasangati-24h'!L68)</f>
        <v>0</v>
      </c>
      <c r="M68" s="49">
        <f>AVERAGE('26.09 Matugga-Kasangati-24h'!M68,'28.09 Matugga-Kasangati-24h'!M68)</f>
        <v>31</v>
      </c>
      <c r="N68" s="49">
        <f>AVERAGE('26.09 Matugga-Kasangati-24h'!N68,'28.09 Matugga-Kasangati-24h'!N68)</f>
        <v>0</v>
      </c>
      <c r="O68" s="116">
        <f t="shared" si="35"/>
        <v>16</v>
      </c>
      <c r="P68" s="116">
        <f t="shared" si="36"/>
        <v>47</v>
      </c>
      <c r="R68" s="109"/>
      <c r="S68" s="109"/>
    </row>
    <row r="69" spans="2:19" s="101" customFormat="1" ht="23.1" customHeight="1" x14ac:dyDescent="0.25">
      <c r="B69" s="123" t="s">
        <v>106</v>
      </c>
      <c r="C69" s="49">
        <f>AVERAGE('26.09 Matugga-Kasangati-24h'!C69,'28.09 Matugga-Kasangati-24h'!C69)</f>
        <v>9.5</v>
      </c>
      <c r="D69" s="49">
        <f>AVERAGE('26.09 Matugga-Kasangati-24h'!D69,'28.09 Matugga-Kasangati-24h'!D69)</f>
        <v>1.5</v>
      </c>
      <c r="E69" s="49">
        <f>AVERAGE('26.09 Matugga-Kasangati-24h'!E69,'28.09 Matugga-Kasangati-24h'!E69)</f>
        <v>2.5</v>
      </c>
      <c r="F69" s="49">
        <f>AVERAGE('26.09 Matugga-Kasangati-24h'!F69,'28.09 Matugga-Kasangati-24h'!F69)</f>
        <v>1.5</v>
      </c>
      <c r="G69" s="49">
        <f>AVERAGE('26.09 Matugga-Kasangati-24h'!G69,'28.09 Matugga-Kasangati-24h'!G69)</f>
        <v>0</v>
      </c>
      <c r="H69" s="49">
        <f>AVERAGE('26.09 Matugga-Kasangati-24h'!H69,'28.09 Matugga-Kasangati-24h'!H69)</f>
        <v>0</v>
      </c>
      <c r="I69" s="49">
        <f>AVERAGE('26.09 Matugga-Kasangati-24h'!I69,'28.09 Matugga-Kasangati-24h'!I69)</f>
        <v>2.5</v>
      </c>
      <c r="J69" s="49">
        <f>AVERAGE('26.09 Matugga-Kasangati-24h'!J69,'28.09 Matugga-Kasangati-24h'!J69)</f>
        <v>1</v>
      </c>
      <c r="K69" s="49">
        <f>AVERAGE('26.09 Matugga-Kasangati-24h'!K69,'28.09 Matugga-Kasangati-24h'!K69)</f>
        <v>0</v>
      </c>
      <c r="L69" s="49">
        <f>AVERAGE('26.09 Matugga-Kasangati-24h'!L69,'28.09 Matugga-Kasangati-24h'!L69)</f>
        <v>0</v>
      </c>
      <c r="M69" s="49">
        <f>AVERAGE('26.09 Matugga-Kasangati-24h'!M69,'28.09 Matugga-Kasangati-24h'!M69)</f>
        <v>38</v>
      </c>
      <c r="N69" s="49">
        <f>AVERAGE('26.09 Matugga-Kasangati-24h'!N69,'28.09 Matugga-Kasangati-24h'!N69)</f>
        <v>0</v>
      </c>
      <c r="O69" s="116">
        <f t="shared" si="35"/>
        <v>18.5</v>
      </c>
      <c r="P69" s="116">
        <f t="shared" si="36"/>
        <v>56.5</v>
      </c>
      <c r="R69" s="109"/>
      <c r="S69" s="109"/>
    </row>
    <row r="70" spans="2:19" s="101" customFormat="1" ht="23.1" customHeight="1" x14ac:dyDescent="0.25">
      <c r="B70" s="123" t="s">
        <v>110</v>
      </c>
      <c r="C70" s="49">
        <f>AVERAGE('26.09 Matugga-Kasangati-24h'!C70,'28.09 Matugga-Kasangati-24h'!C70)</f>
        <v>9</v>
      </c>
      <c r="D70" s="49">
        <f>AVERAGE('26.09 Matugga-Kasangati-24h'!D70,'28.09 Matugga-Kasangati-24h'!D70)</f>
        <v>2.5</v>
      </c>
      <c r="E70" s="49">
        <f>AVERAGE('26.09 Matugga-Kasangati-24h'!E70,'28.09 Matugga-Kasangati-24h'!E70)</f>
        <v>2</v>
      </c>
      <c r="F70" s="49">
        <f>AVERAGE('26.09 Matugga-Kasangati-24h'!F70,'28.09 Matugga-Kasangati-24h'!F70)</f>
        <v>2</v>
      </c>
      <c r="G70" s="49">
        <f>AVERAGE('26.09 Matugga-Kasangati-24h'!G70,'28.09 Matugga-Kasangati-24h'!G70)</f>
        <v>0</v>
      </c>
      <c r="H70" s="49">
        <f>AVERAGE('26.09 Matugga-Kasangati-24h'!H70,'28.09 Matugga-Kasangati-24h'!H70)</f>
        <v>0</v>
      </c>
      <c r="I70" s="49">
        <f>AVERAGE('26.09 Matugga-Kasangati-24h'!I70,'28.09 Matugga-Kasangati-24h'!I70)</f>
        <v>2</v>
      </c>
      <c r="J70" s="49">
        <f>AVERAGE('26.09 Matugga-Kasangati-24h'!J70,'28.09 Matugga-Kasangati-24h'!J70)</f>
        <v>0</v>
      </c>
      <c r="K70" s="49">
        <f>AVERAGE('26.09 Matugga-Kasangati-24h'!K70,'28.09 Matugga-Kasangati-24h'!K70)</f>
        <v>0.5</v>
      </c>
      <c r="L70" s="49">
        <f>AVERAGE('26.09 Matugga-Kasangati-24h'!L70,'28.09 Matugga-Kasangati-24h'!L70)</f>
        <v>0</v>
      </c>
      <c r="M70" s="49">
        <f>AVERAGE('26.09 Matugga-Kasangati-24h'!M70,'28.09 Matugga-Kasangati-24h'!M70)</f>
        <v>29.5</v>
      </c>
      <c r="N70" s="49">
        <f>AVERAGE('26.09 Matugga-Kasangati-24h'!N70,'28.09 Matugga-Kasangati-24h'!N70)</f>
        <v>0</v>
      </c>
      <c r="O70" s="116">
        <f t="shared" si="35"/>
        <v>18</v>
      </c>
      <c r="P70" s="116">
        <f t="shared" si="36"/>
        <v>47.5</v>
      </c>
      <c r="R70" s="109"/>
      <c r="S70" s="109"/>
    </row>
    <row r="71" spans="2:19" s="101" customFormat="1" ht="23.1" customHeight="1" x14ac:dyDescent="0.25">
      <c r="B71" s="123" t="s">
        <v>111</v>
      </c>
      <c r="C71" s="49">
        <f>AVERAGE('26.09 Matugga-Kasangati-24h'!C71,'28.09 Matugga-Kasangati-24h'!C71)</f>
        <v>6.5</v>
      </c>
      <c r="D71" s="49">
        <f>AVERAGE('26.09 Matugga-Kasangati-24h'!D71,'28.09 Matugga-Kasangati-24h'!D71)</f>
        <v>1</v>
      </c>
      <c r="E71" s="49">
        <f>AVERAGE('26.09 Matugga-Kasangati-24h'!E71,'28.09 Matugga-Kasangati-24h'!E71)</f>
        <v>3</v>
      </c>
      <c r="F71" s="49">
        <f>AVERAGE('26.09 Matugga-Kasangati-24h'!F71,'28.09 Matugga-Kasangati-24h'!F71)</f>
        <v>4</v>
      </c>
      <c r="G71" s="49">
        <f>AVERAGE('26.09 Matugga-Kasangati-24h'!G71,'28.09 Matugga-Kasangati-24h'!G71)</f>
        <v>0</v>
      </c>
      <c r="H71" s="49">
        <f>AVERAGE('26.09 Matugga-Kasangati-24h'!H71,'28.09 Matugga-Kasangati-24h'!H71)</f>
        <v>0</v>
      </c>
      <c r="I71" s="49">
        <f>AVERAGE('26.09 Matugga-Kasangati-24h'!I71,'28.09 Matugga-Kasangati-24h'!I71)</f>
        <v>3</v>
      </c>
      <c r="J71" s="49">
        <f>AVERAGE('26.09 Matugga-Kasangati-24h'!J71,'28.09 Matugga-Kasangati-24h'!J71)</f>
        <v>1</v>
      </c>
      <c r="K71" s="49">
        <f>AVERAGE('26.09 Matugga-Kasangati-24h'!K71,'28.09 Matugga-Kasangati-24h'!K71)</f>
        <v>0</v>
      </c>
      <c r="L71" s="49">
        <f>AVERAGE('26.09 Matugga-Kasangati-24h'!L71,'28.09 Matugga-Kasangati-24h'!L71)</f>
        <v>0</v>
      </c>
      <c r="M71" s="49">
        <f>AVERAGE('26.09 Matugga-Kasangati-24h'!M71,'28.09 Matugga-Kasangati-24h'!M71)</f>
        <v>46.5</v>
      </c>
      <c r="N71" s="49">
        <f>AVERAGE('26.09 Matugga-Kasangati-24h'!N71,'28.09 Matugga-Kasangati-24h'!N71)</f>
        <v>0</v>
      </c>
      <c r="O71" s="116">
        <f t="shared" si="35"/>
        <v>18.5</v>
      </c>
      <c r="P71" s="116">
        <f t="shared" si="36"/>
        <v>65</v>
      </c>
      <c r="R71" s="109"/>
      <c r="S71" s="109"/>
    </row>
    <row r="72" spans="2:19" s="101" customFormat="1" ht="23.1" customHeight="1" x14ac:dyDescent="0.25">
      <c r="B72" s="123" t="s">
        <v>112</v>
      </c>
      <c r="C72" s="49">
        <f>AVERAGE('26.09 Matugga-Kasangati-24h'!C72,'28.09 Matugga-Kasangati-24h'!C72)</f>
        <v>6.5</v>
      </c>
      <c r="D72" s="49">
        <f>AVERAGE('26.09 Matugga-Kasangati-24h'!D72,'28.09 Matugga-Kasangati-24h'!D72)</f>
        <v>1</v>
      </c>
      <c r="E72" s="49">
        <f>AVERAGE('26.09 Matugga-Kasangati-24h'!E72,'28.09 Matugga-Kasangati-24h'!E72)</f>
        <v>0.5</v>
      </c>
      <c r="F72" s="49">
        <f>AVERAGE('26.09 Matugga-Kasangati-24h'!F72,'28.09 Matugga-Kasangati-24h'!F72)</f>
        <v>2</v>
      </c>
      <c r="G72" s="49">
        <f>AVERAGE('26.09 Matugga-Kasangati-24h'!G72,'28.09 Matugga-Kasangati-24h'!G72)</f>
        <v>0.5</v>
      </c>
      <c r="H72" s="49">
        <f>AVERAGE('26.09 Matugga-Kasangati-24h'!H72,'28.09 Matugga-Kasangati-24h'!H72)</f>
        <v>0</v>
      </c>
      <c r="I72" s="49">
        <f>AVERAGE('26.09 Matugga-Kasangati-24h'!I72,'28.09 Matugga-Kasangati-24h'!I72)</f>
        <v>0.5</v>
      </c>
      <c r="J72" s="49">
        <f>AVERAGE('26.09 Matugga-Kasangati-24h'!J72,'28.09 Matugga-Kasangati-24h'!J72)</f>
        <v>0</v>
      </c>
      <c r="K72" s="49">
        <f>AVERAGE('26.09 Matugga-Kasangati-24h'!K72,'28.09 Matugga-Kasangati-24h'!K72)</f>
        <v>0.5</v>
      </c>
      <c r="L72" s="49">
        <f>AVERAGE('26.09 Matugga-Kasangati-24h'!L72,'28.09 Matugga-Kasangati-24h'!L72)</f>
        <v>0</v>
      </c>
      <c r="M72" s="49">
        <f>AVERAGE('26.09 Matugga-Kasangati-24h'!M72,'28.09 Matugga-Kasangati-24h'!M72)</f>
        <v>37</v>
      </c>
      <c r="N72" s="49">
        <f>AVERAGE('26.09 Matugga-Kasangati-24h'!N72,'28.09 Matugga-Kasangati-24h'!N72)</f>
        <v>0</v>
      </c>
      <c r="O72" s="116">
        <f t="shared" si="35"/>
        <v>11.5</v>
      </c>
      <c r="P72" s="116">
        <f t="shared" si="36"/>
        <v>48.5</v>
      </c>
      <c r="R72" s="109"/>
      <c r="S72" s="109"/>
    </row>
    <row r="73" spans="2:19" s="101" customFormat="1" ht="23.1" customHeight="1" x14ac:dyDescent="0.25">
      <c r="B73" s="123" t="s">
        <v>113</v>
      </c>
      <c r="C73" s="49">
        <f>AVERAGE('26.09 Matugga-Kasangati-24h'!C73,'28.09 Matugga-Kasangati-24h'!C73)</f>
        <v>7</v>
      </c>
      <c r="D73" s="49">
        <f>AVERAGE('26.09 Matugga-Kasangati-24h'!D73,'28.09 Matugga-Kasangati-24h'!D73)</f>
        <v>0</v>
      </c>
      <c r="E73" s="49">
        <f>AVERAGE('26.09 Matugga-Kasangati-24h'!E73,'28.09 Matugga-Kasangati-24h'!E73)</f>
        <v>0</v>
      </c>
      <c r="F73" s="49">
        <f>AVERAGE('26.09 Matugga-Kasangati-24h'!F73,'28.09 Matugga-Kasangati-24h'!F73)</f>
        <v>1</v>
      </c>
      <c r="G73" s="49">
        <f>AVERAGE('26.09 Matugga-Kasangati-24h'!G73,'28.09 Matugga-Kasangati-24h'!G73)</f>
        <v>0</v>
      </c>
      <c r="H73" s="49">
        <f>AVERAGE('26.09 Matugga-Kasangati-24h'!H73,'28.09 Matugga-Kasangati-24h'!H73)</f>
        <v>0</v>
      </c>
      <c r="I73" s="49">
        <f>AVERAGE('26.09 Matugga-Kasangati-24h'!I73,'28.09 Matugga-Kasangati-24h'!I73)</f>
        <v>1</v>
      </c>
      <c r="J73" s="49">
        <f>AVERAGE('26.09 Matugga-Kasangati-24h'!J73,'28.09 Matugga-Kasangati-24h'!J73)</f>
        <v>0</v>
      </c>
      <c r="K73" s="49">
        <f>AVERAGE('26.09 Matugga-Kasangati-24h'!K73,'28.09 Matugga-Kasangati-24h'!K73)</f>
        <v>0.5</v>
      </c>
      <c r="L73" s="49">
        <f>AVERAGE('26.09 Matugga-Kasangati-24h'!L73,'28.09 Matugga-Kasangati-24h'!L73)</f>
        <v>0</v>
      </c>
      <c r="M73" s="49">
        <f>AVERAGE('26.09 Matugga-Kasangati-24h'!M73,'28.09 Matugga-Kasangati-24h'!M73)</f>
        <v>31.5</v>
      </c>
      <c r="N73" s="49">
        <f>AVERAGE('26.09 Matugga-Kasangati-24h'!N73,'28.09 Matugga-Kasangati-24h'!N73)</f>
        <v>0</v>
      </c>
      <c r="O73" s="116">
        <f t="shared" si="35"/>
        <v>9.5</v>
      </c>
      <c r="P73" s="116">
        <f t="shared" si="36"/>
        <v>41</v>
      </c>
      <c r="R73" s="109"/>
      <c r="S73" s="109"/>
    </row>
    <row r="74" spans="2:19" s="101" customFormat="1" ht="23.1" customHeight="1" x14ac:dyDescent="0.25">
      <c r="B74" s="123" t="s">
        <v>114</v>
      </c>
      <c r="C74" s="49">
        <f>AVERAGE('26.09 Matugga-Kasangati-24h'!C74,'28.09 Matugga-Kasangati-24h'!C74)</f>
        <v>7</v>
      </c>
      <c r="D74" s="49">
        <f>AVERAGE('26.09 Matugga-Kasangati-24h'!D74,'28.09 Matugga-Kasangati-24h'!D74)</f>
        <v>2.5</v>
      </c>
      <c r="E74" s="49">
        <f>AVERAGE('26.09 Matugga-Kasangati-24h'!E74,'28.09 Matugga-Kasangati-24h'!E74)</f>
        <v>0.5</v>
      </c>
      <c r="F74" s="49">
        <f>AVERAGE('26.09 Matugga-Kasangati-24h'!F74,'28.09 Matugga-Kasangati-24h'!F74)</f>
        <v>2</v>
      </c>
      <c r="G74" s="49">
        <f>AVERAGE('26.09 Matugga-Kasangati-24h'!G74,'28.09 Matugga-Kasangati-24h'!G74)</f>
        <v>0</v>
      </c>
      <c r="H74" s="49">
        <f>AVERAGE('26.09 Matugga-Kasangati-24h'!H74,'28.09 Matugga-Kasangati-24h'!H74)</f>
        <v>0</v>
      </c>
      <c r="I74" s="49">
        <f>AVERAGE('26.09 Matugga-Kasangati-24h'!I74,'28.09 Matugga-Kasangati-24h'!I74)</f>
        <v>0.5</v>
      </c>
      <c r="J74" s="49">
        <f>AVERAGE('26.09 Matugga-Kasangati-24h'!J74,'28.09 Matugga-Kasangati-24h'!J74)</f>
        <v>0</v>
      </c>
      <c r="K74" s="49">
        <f>AVERAGE('26.09 Matugga-Kasangati-24h'!K74,'28.09 Matugga-Kasangati-24h'!K74)</f>
        <v>0.5</v>
      </c>
      <c r="L74" s="49">
        <f>AVERAGE('26.09 Matugga-Kasangati-24h'!L74,'28.09 Matugga-Kasangati-24h'!L74)</f>
        <v>0</v>
      </c>
      <c r="M74" s="49">
        <f>AVERAGE('26.09 Matugga-Kasangati-24h'!M74,'28.09 Matugga-Kasangati-24h'!M74)</f>
        <v>29</v>
      </c>
      <c r="N74" s="49">
        <f>AVERAGE('26.09 Matugga-Kasangati-24h'!N74,'28.09 Matugga-Kasangati-24h'!N74)</f>
        <v>0</v>
      </c>
      <c r="O74" s="116">
        <f t="shared" si="35"/>
        <v>13</v>
      </c>
      <c r="P74" s="116">
        <f t="shared" si="36"/>
        <v>42</v>
      </c>
      <c r="R74" s="109"/>
      <c r="S74" s="109"/>
    </row>
    <row r="75" spans="2:19" s="101" customFormat="1" ht="23.1" customHeight="1" x14ac:dyDescent="0.25">
      <c r="B75" s="123" t="s">
        <v>115</v>
      </c>
      <c r="C75" s="49">
        <f>AVERAGE('26.09 Matugga-Kasangati-24h'!C75,'28.09 Matugga-Kasangati-24h'!C75)</f>
        <v>8</v>
      </c>
      <c r="D75" s="49">
        <f>AVERAGE('26.09 Matugga-Kasangati-24h'!D75,'28.09 Matugga-Kasangati-24h'!D75)</f>
        <v>1</v>
      </c>
      <c r="E75" s="49">
        <f>AVERAGE('26.09 Matugga-Kasangati-24h'!E75,'28.09 Matugga-Kasangati-24h'!E75)</f>
        <v>0.5</v>
      </c>
      <c r="F75" s="49">
        <f>AVERAGE('26.09 Matugga-Kasangati-24h'!F75,'28.09 Matugga-Kasangati-24h'!F75)</f>
        <v>1</v>
      </c>
      <c r="G75" s="49">
        <f>AVERAGE('26.09 Matugga-Kasangati-24h'!G75,'28.09 Matugga-Kasangati-24h'!G75)</f>
        <v>0</v>
      </c>
      <c r="H75" s="49">
        <f>AVERAGE('26.09 Matugga-Kasangati-24h'!H75,'28.09 Matugga-Kasangati-24h'!H75)</f>
        <v>0</v>
      </c>
      <c r="I75" s="49">
        <f>AVERAGE('26.09 Matugga-Kasangati-24h'!I75,'28.09 Matugga-Kasangati-24h'!I75)</f>
        <v>0.5</v>
      </c>
      <c r="J75" s="49">
        <f>AVERAGE('26.09 Matugga-Kasangati-24h'!J75,'28.09 Matugga-Kasangati-24h'!J75)</f>
        <v>0</v>
      </c>
      <c r="K75" s="49">
        <f>AVERAGE('26.09 Matugga-Kasangati-24h'!K75,'28.09 Matugga-Kasangati-24h'!K75)</f>
        <v>0</v>
      </c>
      <c r="L75" s="49">
        <f>AVERAGE('26.09 Matugga-Kasangati-24h'!L75,'28.09 Matugga-Kasangati-24h'!L75)</f>
        <v>0</v>
      </c>
      <c r="M75" s="49">
        <f>AVERAGE('26.09 Matugga-Kasangati-24h'!M75,'28.09 Matugga-Kasangati-24h'!M75)</f>
        <v>20</v>
      </c>
      <c r="N75" s="49">
        <f>AVERAGE('26.09 Matugga-Kasangati-24h'!N75,'28.09 Matugga-Kasangati-24h'!N75)</f>
        <v>0</v>
      </c>
      <c r="O75" s="116">
        <f t="shared" si="35"/>
        <v>11</v>
      </c>
      <c r="P75" s="116">
        <f t="shared" si="36"/>
        <v>31</v>
      </c>
      <c r="R75" s="109"/>
      <c r="S75" s="109"/>
    </row>
    <row r="76" spans="2:19" s="101" customFormat="1" ht="23.1" customHeight="1" x14ac:dyDescent="0.25">
      <c r="B76" s="123" t="s">
        <v>116</v>
      </c>
      <c r="C76" s="49">
        <f>AVERAGE('26.09 Matugga-Kasangati-24h'!C76,'28.09 Matugga-Kasangati-24h'!C76)</f>
        <v>3.5</v>
      </c>
      <c r="D76" s="49">
        <f>AVERAGE('26.09 Matugga-Kasangati-24h'!D76,'28.09 Matugga-Kasangati-24h'!D76)</f>
        <v>1</v>
      </c>
      <c r="E76" s="49">
        <f>AVERAGE('26.09 Matugga-Kasangati-24h'!E76,'28.09 Matugga-Kasangati-24h'!E76)</f>
        <v>0</v>
      </c>
      <c r="F76" s="49">
        <f>AVERAGE('26.09 Matugga-Kasangati-24h'!F76,'28.09 Matugga-Kasangati-24h'!F76)</f>
        <v>0</v>
      </c>
      <c r="G76" s="49">
        <f>AVERAGE('26.09 Matugga-Kasangati-24h'!G76,'28.09 Matugga-Kasangati-24h'!G76)</f>
        <v>0</v>
      </c>
      <c r="H76" s="49">
        <f>AVERAGE('26.09 Matugga-Kasangati-24h'!H76,'28.09 Matugga-Kasangati-24h'!H76)</f>
        <v>0</v>
      </c>
      <c r="I76" s="49">
        <f>AVERAGE('26.09 Matugga-Kasangati-24h'!I76,'28.09 Matugga-Kasangati-24h'!I76)</f>
        <v>0.5</v>
      </c>
      <c r="J76" s="49">
        <f>AVERAGE('26.09 Matugga-Kasangati-24h'!J76,'28.09 Matugga-Kasangati-24h'!J76)</f>
        <v>0</v>
      </c>
      <c r="K76" s="49">
        <f>AVERAGE('26.09 Matugga-Kasangati-24h'!K76,'28.09 Matugga-Kasangati-24h'!K76)</f>
        <v>0</v>
      </c>
      <c r="L76" s="49">
        <f>AVERAGE('26.09 Matugga-Kasangati-24h'!L76,'28.09 Matugga-Kasangati-24h'!L76)</f>
        <v>0</v>
      </c>
      <c r="M76" s="49">
        <f>AVERAGE('26.09 Matugga-Kasangati-24h'!M76,'28.09 Matugga-Kasangati-24h'!M76)</f>
        <v>20</v>
      </c>
      <c r="N76" s="49">
        <f>AVERAGE('26.09 Matugga-Kasangati-24h'!N76,'28.09 Matugga-Kasangati-24h'!N76)</f>
        <v>0</v>
      </c>
      <c r="O76" s="116">
        <f t="shared" si="35"/>
        <v>5</v>
      </c>
      <c r="P76" s="116">
        <f t="shared" si="36"/>
        <v>25</v>
      </c>
      <c r="R76" s="109"/>
      <c r="S76" s="109"/>
    </row>
    <row r="77" spans="2:19" s="101" customFormat="1" ht="23.1" customHeight="1" x14ac:dyDescent="0.25">
      <c r="B77" s="123" t="s">
        <v>117</v>
      </c>
      <c r="C77" s="49">
        <f>AVERAGE('26.09 Matugga-Kasangati-24h'!C77,'28.09 Matugga-Kasangati-24h'!C77)</f>
        <v>4.5</v>
      </c>
      <c r="D77" s="49">
        <f>AVERAGE('26.09 Matugga-Kasangati-24h'!D77,'28.09 Matugga-Kasangati-24h'!D77)</f>
        <v>1</v>
      </c>
      <c r="E77" s="49">
        <f>AVERAGE('26.09 Matugga-Kasangati-24h'!E77,'28.09 Matugga-Kasangati-24h'!E77)</f>
        <v>0.5</v>
      </c>
      <c r="F77" s="49">
        <f>AVERAGE('26.09 Matugga-Kasangati-24h'!F77,'28.09 Matugga-Kasangati-24h'!F77)</f>
        <v>1</v>
      </c>
      <c r="G77" s="49">
        <f>AVERAGE('26.09 Matugga-Kasangati-24h'!G77,'28.09 Matugga-Kasangati-24h'!G77)</f>
        <v>0</v>
      </c>
      <c r="H77" s="49">
        <f>AVERAGE('26.09 Matugga-Kasangati-24h'!H77,'28.09 Matugga-Kasangati-24h'!H77)</f>
        <v>0</v>
      </c>
      <c r="I77" s="49">
        <f>AVERAGE('26.09 Matugga-Kasangati-24h'!I77,'28.09 Matugga-Kasangati-24h'!I77)</f>
        <v>0.5</v>
      </c>
      <c r="J77" s="49">
        <f>AVERAGE('26.09 Matugga-Kasangati-24h'!J77,'28.09 Matugga-Kasangati-24h'!J77)</f>
        <v>0.5</v>
      </c>
      <c r="K77" s="49">
        <f>AVERAGE('26.09 Matugga-Kasangati-24h'!K77,'28.09 Matugga-Kasangati-24h'!K77)</f>
        <v>0.5</v>
      </c>
      <c r="L77" s="49">
        <f>AVERAGE('26.09 Matugga-Kasangati-24h'!L77,'28.09 Matugga-Kasangati-24h'!L77)</f>
        <v>0</v>
      </c>
      <c r="M77" s="49">
        <f>AVERAGE('26.09 Matugga-Kasangati-24h'!M77,'28.09 Matugga-Kasangati-24h'!M77)</f>
        <v>15</v>
      </c>
      <c r="N77" s="49">
        <f>AVERAGE('26.09 Matugga-Kasangati-24h'!N77,'28.09 Matugga-Kasangati-24h'!N77)</f>
        <v>0</v>
      </c>
      <c r="O77" s="116">
        <f t="shared" si="35"/>
        <v>8.5</v>
      </c>
      <c r="P77" s="116">
        <f t="shared" si="36"/>
        <v>23.5</v>
      </c>
      <c r="R77" s="109"/>
      <c r="S77" s="109"/>
    </row>
    <row r="78" spans="2:19" s="101" customFormat="1" ht="23.1" customHeight="1" x14ac:dyDescent="0.25">
      <c r="B78" s="124" t="s">
        <v>118</v>
      </c>
      <c r="C78" s="49">
        <f>AVERAGE('26.09 Matugga-Kasangati-24h'!C78,'28.09 Matugga-Kasangati-24h'!C78)</f>
        <v>3.5</v>
      </c>
      <c r="D78" s="49">
        <f>AVERAGE('26.09 Matugga-Kasangati-24h'!D78,'28.09 Matugga-Kasangati-24h'!D78)</f>
        <v>0</v>
      </c>
      <c r="E78" s="49">
        <f>AVERAGE('26.09 Matugga-Kasangati-24h'!E78,'28.09 Matugga-Kasangati-24h'!E78)</f>
        <v>0</v>
      </c>
      <c r="F78" s="49">
        <f>AVERAGE('26.09 Matugga-Kasangati-24h'!F78,'28.09 Matugga-Kasangati-24h'!F78)</f>
        <v>0.5</v>
      </c>
      <c r="G78" s="49">
        <f>AVERAGE('26.09 Matugga-Kasangati-24h'!G78,'28.09 Matugga-Kasangati-24h'!G78)</f>
        <v>0</v>
      </c>
      <c r="H78" s="49">
        <f>AVERAGE('26.09 Matugga-Kasangati-24h'!H78,'28.09 Matugga-Kasangati-24h'!H78)</f>
        <v>0</v>
      </c>
      <c r="I78" s="49">
        <f>AVERAGE('26.09 Matugga-Kasangati-24h'!I78,'28.09 Matugga-Kasangati-24h'!I78)</f>
        <v>0</v>
      </c>
      <c r="J78" s="49">
        <f>AVERAGE('26.09 Matugga-Kasangati-24h'!J78,'28.09 Matugga-Kasangati-24h'!J78)</f>
        <v>0.5</v>
      </c>
      <c r="K78" s="49">
        <f>AVERAGE('26.09 Matugga-Kasangati-24h'!K78,'28.09 Matugga-Kasangati-24h'!K78)</f>
        <v>0</v>
      </c>
      <c r="L78" s="49">
        <f>AVERAGE('26.09 Matugga-Kasangati-24h'!L78,'28.09 Matugga-Kasangati-24h'!L78)</f>
        <v>0</v>
      </c>
      <c r="M78" s="49">
        <f>AVERAGE('26.09 Matugga-Kasangati-24h'!M78,'28.09 Matugga-Kasangati-24h'!M78)</f>
        <v>11</v>
      </c>
      <c r="N78" s="49">
        <f>AVERAGE('26.09 Matugga-Kasangati-24h'!N78,'28.09 Matugga-Kasangati-24h'!N78)</f>
        <v>0</v>
      </c>
      <c r="O78" s="116">
        <f t="shared" si="35"/>
        <v>4.5</v>
      </c>
      <c r="P78" s="116">
        <f t="shared" si="36"/>
        <v>15.5</v>
      </c>
      <c r="R78" s="109"/>
      <c r="S78" s="109"/>
    </row>
    <row r="79" spans="2:19" s="101" customFormat="1" ht="23.1" customHeight="1" x14ac:dyDescent="0.25">
      <c r="B79" s="123" t="s">
        <v>119</v>
      </c>
      <c r="C79" s="49">
        <f>AVERAGE('26.09 Matugga-Kasangati-24h'!C79,'28.09 Matugga-Kasangati-24h'!C79)</f>
        <v>2.5</v>
      </c>
      <c r="D79" s="49">
        <f>AVERAGE('26.09 Matugga-Kasangati-24h'!D79,'28.09 Matugga-Kasangati-24h'!D79)</f>
        <v>1</v>
      </c>
      <c r="E79" s="49">
        <f>AVERAGE('26.09 Matugga-Kasangati-24h'!E79,'28.09 Matugga-Kasangati-24h'!E79)</f>
        <v>0</v>
      </c>
      <c r="F79" s="49">
        <f>AVERAGE('26.09 Matugga-Kasangati-24h'!F79,'28.09 Matugga-Kasangati-24h'!F79)</f>
        <v>0.5</v>
      </c>
      <c r="G79" s="49">
        <f>AVERAGE('26.09 Matugga-Kasangati-24h'!G79,'28.09 Matugga-Kasangati-24h'!G79)</f>
        <v>0</v>
      </c>
      <c r="H79" s="49">
        <f>AVERAGE('26.09 Matugga-Kasangati-24h'!H79,'28.09 Matugga-Kasangati-24h'!H79)</f>
        <v>0</v>
      </c>
      <c r="I79" s="49">
        <f>AVERAGE('26.09 Matugga-Kasangati-24h'!I79,'28.09 Matugga-Kasangati-24h'!I79)</f>
        <v>0.5</v>
      </c>
      <c r="J79" s="49">
        <f>AVERAGE('26.09 Matugga-Kasangati-24h'!J79,'28.09 Matugga-Kasangati-24h'!J79)</f>
        <v>0</v>
      </c>
      <c r="K79" s="49">
        <f>AVERAGE('26.09 Matugga-Kasangati-24h'!K79,'28.09 Matugga-Kasangati-24h'!K79)</f>
        <v>0</v>
      </c>
      <c r="L79" s="49">
        <f>AVERAGE('26.09 Matugga-Kasangati-24h'!L79,'28.09 Matugga-Kasangati-24h'!L79)</f>
        <v>0</v>
      </c>
      <c r="M79" s="49">
        <f>AVERAGE('26.09 Matugga-Kasangati-24h'!M79,'28.09 Matugga-Kasangati-24h'!M79)</f>
        <v>9.5</v>
      </c>
      <c r="N79" s="49">
        <f>AVERAGE('26.09 Matugga-Kasangati-24h'!N79,'28.09 Matugga-Kasangati-24h'!N79)</f>
        <v>0</v>
      </c>
      <c r="O79" s="116">
        <f t="shared" si="35"/>
        <v>4.5</v>
      </c>
      <c r="P79" s="116">
        <f t="shared" si="36"/>
        <v>14</v>
      </c>
      <c r="R79" s="109"/>
      <c r="S79" s="109"/>
    </row>
    <row r="80" spans="2:19" s="101" customFormat="1" ht="23.1" customHeight="1" x14ac:dyDescent="0.25">
      <c r="B80" s="125" t="s">
        <v>120</v>
      </c>
      <c r="C80" s="49">
        <f>AVERAGE('26.09 Matugga-Kasangati-24h'!C80,'28.09 Matugga-Kasangati-24h'!C80)</f>
        <v>2.5</v>
      </c>
      <c r="D80" s="49">
        <f>AVERAGE('26.09 Matugga-Kasangati-24h'!D80,'28.09 Matugga-Kasangati-24h'!D80)</f>
        <v>0</v>
      </c>
      <c r="E80" s="49">
        <f>AVERAGE('26.09 Matugga-Kasangati-24h'!E80,'28.09 Matugga-Kasangati-24h'!E80)</f>
        <v>0.5</v>
      </c>
      <c r="F80" s="49">
        <f>AVERAGE('26.09 Matugga-Kasangati-24h'!F80,'28.09 Matugga-Kasangati-24h'!F80)</f>
        <v>0</v>
      </c>
      <c r="G80" s="49">
        <f>AVERAGE('26.09 Matugga-Kasangati-24h'!G80,'28.09 Matugga-Kasangati-24h'!G80)</f>
        <v>0</v>
      </c>
      <c r="H80" s="49">
        <f>AVERAGE('26.09 Matugga-Kasangati-24h'!H80,'28.09 Matugga-Kasangati-24h'!H80)</f>
        <v>0</v>
      </c>
      <c r="I80" s="49">
        <f>AVERAGE('26.09 Matugga-Kasangati-24h'!I80,'28.09 Matugga-Kasangati-24h'!I80)</f>
        <v>0</v>
      </c>
      <c r="J80" s="49">
        <f>AVERAGE('26.09 Matugga-Kasangati-24h'!J80,'28.09 Matugga-Kasangati-24h'!J80)</f>
        <v>0</v>
      </c>
      <c r="K80" s="49">
        <f>AVERAGE('26.09 Matugga-Kasangati-24h'!K80,'28.09 Matugga-Kasangati-24h'!K80)</f>
        <v>0.5</v>
      </c>
      <c r="L80" s="49">
        <f>AVERAGE('26.09 Matugga-Kasangati-24h'!L80,'28.09 Matugga-Kasangati-24h'!L80)</f>
        <v>0</v>
      </c>
      <c r="M80" s="49">
        <f>AVERAGE('26.09 Matugga-Kasangati-24h'!M80,'28.09 Matugga-Kasangati-24h'!M80)</f>
        <v>7</v>
      </c>
      <c r="N80" s="49">
        <f>AVERAGE('26.09 Matugga-Kasangati-24h'!N80,'28.09 Matugga-Kasangati-24h'!N80)</f>
        <v>0</v>
      </c>
      <c r="O80" s="116">
        <f t="shared" si="35"/>
        <v>3.5</v>
      </c>
      <c r="P80" s="116">
        <f t="shared" si="36"/>
        <v>10.5</v>
      </c>
      <c r="R80" s="109"/>
      <c r="S80" s="109"/>
    </row>
    <row r="81" spans="2:19" s="101" customFormat="1" ht="23.1" customHeight="1" x14ac:dyDescent="0.25">
      <c r="B81" s="123" t="s">
        <v>121</v>
      </c>
      <c r="C81" s="49">
        <f>AVERAGE('26.09 Matugga-Kasangati-24h'!C81,'28.09 Matugga-Kasangati-24h'!C81)</f>
        <v>1</v>
      </c>
      <c r="D81" s="49">
        <f>AVERAGE('26.09 Matugga-Kasangati-24h'!D81,'28.09 Matugga-Kasangati-24h'!D81)</f>
        <v>0</v>
      </c>
      <c r="E81" s="49">
        <f>AVERAGE('26.09 Matugga-Kasangati-24h'!E81,'28.09 Matugga-Kasangati-24h'!E81)</f>
        <v>0.5</v>
      </c>
      <c r="F81" s="49">
        <f>AVERAGE('26.09 Matugga-Kasangati-24h'!F81,'28.09 Matugga-Kasangati-24h'!F81)</f>
        <v>0</v>
      </c>
      <c r="G81" s="49">
        <f>AVERAGE('26.09 Matugga-Kasangati-24h'!G81,'28.09 Matugga-Kasangati-24h'!G81)</f>
        <v>0</v>
      </c>
      <c r="H81" s="49">
        <f>AVERAGE('26.09 Matugga-Kasangati-24h'!H81,'28.09 Matugga-Kasangati-24h'!H81)</f>
        <v>0</v>
      </c>
      <c r="I81" s="49">
        <f>AVERAGE('26.09 Matugga-Kasangati-24h'!I81,'28.09 Matugga-Kasangati-24h'!I81)</f>
        <v>0.5</v>
      </c>
      <c r="J81" s="49">
        <f>AVERAGE('26.09 Matugga-Kasangati-24h'!J81,'28.09 Matugga-Kasangati-24h'!J81)</f>
        <v>0</v>
      </c>
      <c r="K81" s="49">
        <f>AVERAGE('26.09 Matugga-Kasangati-24h'!K81,'28.09 Matugga-Kasangati-24h'!K81)</f>
        <v>0</v>
      </c>
      <c r="L81" s="49">
        <f>AVERAGE('26.09 Matugga-Kasangati-24h'!L81,'28.09 Matugga-Kasangati-24h'!L81)</f>
        <v>0</v>
      </c>
      <c r="M81" s="49">
        <f>AVERAGE('26.09 Matugga-Kasangati-24h'!M81,'28.09 Matugga-Kasangati-24h'!M81)</f>
        <v>3</v>
      </c>
      <c r="N81" s="49">
        <f>AVERAGE('26.09 Matugga-Kasangati-24h'!N81,'28.09 Matugga-Kasangati-24h'!N81)</f>
        <v>0</v>
      </c>
      <c r="O81" s="116">
        <f t="shared" si="35"/>
        <v>2</v>
      </c>
      <c r="P81" s="116">
        <f t="shared" si="36"/>
        <v>5</v>
      </c>
      <c r="R81" s="109"/>
      <c r="S81" s="109"/>
    </row>
    <row r="82" spans="2:19" s="101" customFormat="1" ht="23.1" customHeight="1" x14ac:dyDescent="0.25">
      <c r="B82" s="124" t="s">
        <v>122</v>
      </c>
      <c r="C82" s="49">
        <f>AVERAGE('26.09 Matugga-Kasangati-24h'!C82,'28.09 Matugga-Kasangati-24h'!C82)</f>
        <v>2</v>
      </c>
      <c r="D82" s="49">
        <f>AVERAGE('26.09 Matugga-Kasangati-24h'!D82,'28.09 Matugga-Kasangati-24h'!D82)</f>
        <v>0</v>
      </c>
      <c r="E82" s="49">
        <f>AVERAGE('26.09 Matugga-Kasangati-24h'!E82,'28.09 Matugga-Kasangati-24h'!E82)</f>
        <v>0</v>
      </c>
      <c r="F82" s="49">
        <f>AVERAGE('26.09 Matugga-Kasangati-24h'!F82,'28.09 Matugga-Kasangati-24h'!F82)</f>
        <v>0</v>
      </c>
      <c r="G82" s="49">
        <f>AVERAGE('26.09 Matugga-Kasangati-24h'!G82,'28.09 Matugga-Kasangati-24h'!G82)</f>
        <v>0</v>
      </c>
      <c r="H82" s="49">
        <f>AVERAGE('26.09 Matugga-Kasangati-24h'!H82,'28.09 Matugga-Kasangati-24h'!H82)</f>
        <v>0</v>
      </c>
      <c r="I82" s="49">
        <f>AVERAGE('26.09 Matugga-Kasangati-24h'!I82,'28.09 Matugga-Kasangati-24h'!I82)</f>
        <v>0</v>
      </c>
      <c r="J82" s="49">
        <f>AVERAGE('26.09 Matugga-Kasangati-24h'!J82,'28.09 Matugga-Kasangati-24h'!J82)</f>
        <v>0</v>
      </c>
      <c r="K82" s="49">
        <f>AVERAGE('26.09 Matugga-Kasangati-24h'!K82,'28.09 Matugga-Kasangati-24h'!K82)</f>
        <v>0</v>
      </c>
      <c r="L82" s="49">
        <f>AVERAGE('26.09 Matugga-Kasangati-24h'!L82,'28.09 Matugga-Kasangati-24h'!L82)</f>
        <v>0</v>
      </c>
      <c r="M82" s="49">
        <f>AVERAGE('26.09 Matugga-Kasangati-24h'!M82,'28.09 Matugga-Kasangati-24h'!M82)</f>
        <v>10</v>
      </c>
      <c r="N82" s="49">
        <f>AVERAGE('26.09 Matugga-Kasangati-24h'!N82,'28.09 Matugga-Kasangati-24h'!N82)</f>
        <v>0</v>
      </c>
      <c r="O82" s="116">
        <f t="shared" si="35"/>
        <v>2</v>
      </c>
      <c r="P82" s="116">
        <f t="shared" si="36"/>
        <v>12</v>
      </c>
      <c r="R82" s="109"/>
      <c r="S82" s="109"/>
    </row>
    <row r="83" spans="2:19" s="101" customFormat="1" ht="23.1" customHeight="1" x14ac:dyDescent="0.25">
      <c r="B83" s="123" t="s">
        <v>123</v>
      </c>
      <c r="C83" s="49">
        <f>AVERAGE('26.09 Matugga-Kasangati-24h'!C83,'28.09 Matugga-Kasangati-24h'!C83)</f>
        <v>3.5</v>
      </c>
      <c r="D83" s="49">
        <f>AVERAGE('26.09 Matugga-Kasangati-24h'!D83,'28.09 Matugga-Kasangati-24h'!D83)</f>
        <v>0</v>
      </c>
      <c r="E83" s="49">
        <f>AVERAGE('26.09 Matugga-Kasangati-24h'!E83,'28.09 Matugga-Kasangati-24h'!E83)</f>
        <v>0.5</v>
      </c>
      <c r="F83" s="49">
        <f>AVERAGE('26.09 Matugga-Kasangati-24h'!F83,'28.09 Matugga-Kasangati-24h'!F83)</f>
        <v>0</v>
      </c>
      <c r="G83" s="49">
        <f>AVERAGE('26.09 Matugga-Kasangati-24h'!G83,'28.09 Matugga-Kasangati-24h'!G83)</f>
        <v>0</v>
      </c>
      <c r="H83" s="49">
        <f>AVERAGE('26.09 Matugga-Kasangati-24h'!H83,'28.09 Matugga-Kasangati-24h'!H83)</f>
        <v>0</v>
      </c>
      <c r="I83" s="49">
        <f>AVERAGE('26.09 Matugga-Kasangati-24h'!I83,'28.09 Matugga-Kasangati-24h'!I83)</f>
        <v>0</v>
      </c>
      <c r="J83" s="49">
        <f>AVERAGE('26.09 Matugga-Kasangati-24h'!J83,'28.09 Matugga-Kasangati-24h'!J83)</f>
        <v>0</v>
      </c>
      <c r="K83" s="49">
        <f>AVERAGE('26.09 Matugga-Kasangati-24h'!K83,'28.09 Matugga-Kasangati-24h'!K83)</f>
        <v>0</v>
      </c>
      <c r="L83" s="49">
        <f>AVERAGE('26.09 Matugga-Kasangati-24h'!L83,'28.09 Matugga-Kasangati-24h'!L83)</f>
        <v>0</v>
      </c>
      <c r="M83" s="49">
        <f>AVERAGE('26.09 Matugga-Kasangati-24h'!M83,'28.09 Matugga-Kasangati-24h'!M83)</f>
        <v>6.5</v>
      </c>
      <c r="N83" s="49">
        <f>AVERAGE('26.09 Matugga-Kasangati-24h'!N83,'28.09 Matugga-Kasangati-24h'!N83)</f>
        <v>0</v>
      </c>
      <c r="O83" s="116">
        <f t="shared" si="35"/>
        <v>4</v>
      </c>
      <c r="P83" s="116">
        <f t="shared" si="36"/>
        <v>10.5</v>
      </c>
      <c r="R83" s="109"/>
      <c r="S83" s="109"/>
    </row>
    <row r="84" spans="2:19" s="101" customFormat="1" ht="23.1" customHeight="1" x14ac:dyDescent="0.25">
      <c r="B84" s="125" t="s">
        <v>124</v>
      </c>
      <c r="C84" s="49">
        <f>AVERAGE('26.09 Matugga-Kasangati-24h'!C84,'28.09 Matugga-Kasangati-24h'!C84)</f>
        <v>1.5</v>
      </c>
      <c r="D84" s="49">
        <f>AVERAGE('26.09 Matugga-Kasangati-24h'!D84,'28.09 Matugga-Kasangati-24h'!D84)</f>
        <v>0.5</v>
      </c>
      <c r="E84" s="49">
        <f>AVERAGE('26.09 Matugga-Kasangati-24h'!E84,'28.09 Matugga-Kasangati-24h'!E84)</f>
        <v>0.5</v>
      </c>
      <c r="F84" s="49">
        <f>AVERAGE('26.09 Matugga-Kasangati-24h'!F84,'28.09 Matugga-Kasangati-24h'!F84)</f>
        <v>0</v>
      </c>
      <c r="G84" s="49">
        <f>AVERAGE('26.09 Matugga-Kasangati-24h'!G84,'28.09 Matugga-Kasangati-24h'!G84)</f>
        <v>0</v>
      </c>
      <c r="H84" s="49">
        <f>AVERAGE('26.09 Matugga-Kasangati-24h'!H84,'28.09 Matugga-Kasangati-24h'!H84)</f>
        <v>0</v>
      </c>
      <c r="I84" s="49">
        <f>AVERAGE('26.09 Matugga-Kasangati-24h'!I84,'28.09 Matugga-Kasangati-24h'!I84)</f>
        <v>1.5</v>
      </c>
      <c r="J84" s="49">
        <f>AVERAGE('26.09 Matugga-Kasangati-24h'!J84,'28.09 Matugga-Kasangati-24h'!J84)</f>
        <v>0</v>
      </c>
      <c r="K84" s="49">
        <f>AVERAGE('26.09 Matugga-Kasangati-24h'!K84,'28.09 Matugga-Kasangati-24h'!K84)</f>
        <v>0</v>
      </c>
      <c r="L84" s="49">
        <f>AVERAGE('26.09 Matugga-Kasangati-24h'!L84,'28.09 Matugga-Kasangati-24h'!L84)</f>
        <v>0</v>
      </c>
      <c r="M84" s="49">
        <f>AVERAGE('26.09 Matugga-Kasangati-24h'!M84,'28.09 Matugga-Kasangati-24h'!M84)</f>
        <v>6</v>
      </c>
      <c r="N84" s="49">
        <f>AVERAGE('26.09 Matugga-Kasangati-24h'!N84,'28.09 Matugga-Kasangati-24h'!N84)</f>
        <v>0</v>
      </c>
      <c r="O84" s="116">
        <f t="shared" si="35"/>
        <v>4</v>
      </c>
      <c r="P84" s="116">
        <f t="shared" si="36"/>
        <v>10</v>
      </c>
      <c r="R84" s="109"/>
      <c r="S84" s="109"/>
    </row>
    <row r="85" spans="2:19" s="101" customFormat="1" ht="23.1" customHeight="1" x14ac:dyDescent="0.25">
      <c r="B85" s="123" t="s">
        <v>125</v>
      </c>
      <c r="C85" s="49">
        <f>AVERAGE('26.09 Matugga-Kasangati-24h'!C85,'28.09 Matugga-Kasangati-24h'!C85)</f>
        <v>0</v>
      </c>
      <c r="D85" s="49">
        <f>AVERAGE('26.09 Matugga-Kasangati-24h'!D85,'28.09 Matugga-Kasangati-24h'!D85)</f>
        <v>0.5</v>
      </c>
      <c r="E85" s="49">
        <f>AVERAGE('26.09 Matugga-Kasangati-24h'!E85,'28.09 Matugga-Kasangati-24h'!E85)</f>
        <v>0</v>
      </c>
      <c r="F85" s="49">
        <f>AVERAGE('26.09 Matugga-Kasangati-24h'!F85,'28.09 Matugga-Kasangati-24h'!F85)</f>
        <v>0</v>
      </c>
      <c r="G85" s="49">
        <f>AVERAGE('26.09 Matugga-Kasangati-24h'!G85,'28.09 Matugga-Kasangati-24h'!G85)</f>
        <v>0</v>
      </c>
      <c r="H85" s="49">
        <f>AVERAGE('26.09 Matugga-Kasangati-24h'!H85,'28.09 Matugga-Kasangati-24h'!H85)</f>
        <v>0</v>
      </c>
      <c r="I85" s="49">
        <f>AVERAGE('26.09 Matugga-Kasangati-24h'!I85,'28.09 Matugga-Kasangati-24h'!I85)</f>
        <v>0</v>
      </c>
      <c r="J85" s="49">
        <f>AVERAGE('26.09 Matugga-Kasangati-24h'!J85,'28.09 Matugga-Kasangati-24h'!J85)</f>
        <v>0</v>
      </c>
      <c r="K85" s="49">
        <f>AVERAGE('26.09 Matugga-Kasangati-24h'!K85,'28.09 Matugga-Kasangati-24h'!K85)</f>
        <v>0</v>
      </c>
      <c r="L85" s="49">
        <f>AVERAGE('26.09 Matugga-Kasangati-24h'!L85,'28.09 Matugga-Kasangati-24h'!L85)</f>
        <v>0</v>
      </c>
      <c r="M85" s="49">
        <f>AVERAGE('26.09 Matugga-Kasangati-24h'!M85,'28.09 Matugga-Kasangati-24h'!M85)</f>
        <v>4.5</v>
      </c>
      <c r="N85" s="49">
        <f>AVERAGE('26.09 Matugga-Kasangati-24h'!N85,'28.09 Matugga-Kasangati-24h'!N85)</f>
        <v>0</v>
      </c>
      <c r="O85" s="116">
        <f t="shared" si="35"/>
        <v>0.5</v>
      </c>
      <c r="P85" s="116">
        <f t="shared" si="36"/>
        <v>5</v>
      </c>
      <c r="R85" s="109"/>
      <c r="S85" s="109"/>
    </row>
    <row r="86" spans="2:19" s="101" customFormat="1" ht="23.1" customHeight="1" x14ac:dyDescent="0.25">
      <c r="B86" s="124" t="s">
        <v>126</v>
      </c>
      <c r="C86" s="49">
        <f>AVERAGE('26.09 Matugga-Kasangati-24h'!C86,'28.09 Matugga-Kasangati-24h'!C86)</f>
        <v>1</v>
      </c>
      <c r="D86" s="49">
        <f>AVERAGE('26.09 Matugga-Kasangati-24h'!D86,'28.09 Matugga-Kasangati-24h'!D86)</f>
        <v>0.5</v>
      </c>
      <c r="E86" s="49">
        <f>AVERAGE('26.09 Matugga-Kasangati-24h'!E86,'28.09 Matugga-Kasangati-24h'!E86)</f>
        <v>0.5</v>
      </c>
      <c r="F86" s="49">
        <f>AVERAGE('26.09 Matugga-Kasangati-24h'!F86,'28.09 Matugga-Kasangati-24h'!F86)</f>
        <v>0</v>
      </c>
      <c r="G86" s="49">
        <f>AVERAGE('26.09 Matugga-Kasangati-24h'!G86,'28.09 Matugga-Kasangati-24h'!G86)</f>
        <v>0</v>
      </c>
      <c r="H86" s="49">
        <f>AVERAGE('26.09 Matugga-Kasangati-24h'!H86,'28.09 Matugga-Kasangati-24h'!H86)</f>
        <v>0</v>
      </c>
      <c r="I86" s="49">
        <f>AVERAGE('26.09 Matugga-Kasangati-24h'!I86,'28.09 Matugga-Kasangati-24h'!I86)</f>
        <v>0.5</v>
      </c>
      <c r="J86" s="49">
        <f>AVERAGE('26.09 Matugga-Kasangati-24h'!J86,'28.09 Matugga-Kasangati-24h'!J86)</f>
        <v>0.5</v>
      </c>
      <c r="K86" s="49">
        <f>AVERAGE('26.09 Matugga-Kasangati-24h'!K86,'28.09 Matugga-Kasangati-24h'!K86)</f>
        <v>0</v>
      </c>
      <c r="L86" s="49">
        <f>AVERAGE('26.09 Matugga-Kasangati-24h'!L86,'28.09 Matugga-Kasangati-24h'!L86)</f>
        <v>0</v>
      </c>
      <c r="M86" s="49">
        <f>AVERAGE('26.09 Matugga-Kasangati-24h'!M86,'28.09 Matugga-Kasangati-24h'!M86)</f>
        <v>2.5</v>
      </c>
      <c r="N86" s="49">
        <f>AVERAGE('26.09 Matugga-Kasangati-24h'!N86,'28.09 Matugga-Kasangati-24h'!N86)</f>
        <v>0</v>
      </c>
      <c r="O86" s="116">
        <f t="shared" si="35"/>
        <v>3</v>
      </c>
      <c r="P86" s="116">
        <f t="shared" si="36"/>
        <v>5.5</v>
      </c>
      <c r="R86" s="109"/>
      <c r="S86" s="109"/>
    </row>
    <row r="87" spans="2:19" s="101" customFormat="1" ht="23.1" customHeight="1" x14ac:dyDescent="0.25">
      <c r="B87" s="123" t="s">
        <v>127</v>
      </c>
      <c r="C87" s="49">
        <f>AVERAGE('26.09 Matugga-Kasangati-24h'!C87,'28.09 Matugga-Kasangati-24h'!C87)</f>
        <v>0.5</v>
      </c>
      <c r="D87" s="49">
        <f>AVERAGE('26.09 Matugga-Kasangati-24h'!D87,'28.09 Matugga-Kasangati-24h'!D87)</f>
        <v>0</v>
      </c>
      <c r="E87" s="49">
        <f>AVERAGE('26.09 Matugga-Kasangati-24h'!E87,'28.09 Matugga-Kasangati-24h'!E87)</f>
        <v>0</v>
      </c>
      <c r="F87" s="49">
        <f>AVERAGE('26.09 Matugga-Kasangati-24h'!F87,'28.09 Matugga-Kasangati-24h'!F87)</f>
        <v>0</v>
      </c>
      <c r="G87" s="49">
        <f>AVERAGE('26.09 Matugga-Kasangati-24h'!G87,'28.09 Matugga-Kasangati-24h'!G87)</f>
        <v>0</v>
      </c>
      <c r="H87" s="49">
        <f>AVERAGE('26.09 Matugga-Kasangati-24h'!H87,'28.09 Matugga-Kasangati-24h'!H87)</f>
        <v>0</v>
      </c>
      <c r="I87" s="49">
        <f>AVERAGE('26.09 Matugga-Kasangati-24h'!I87,'28.09 Matugga-Kasangati-24h'!I87)</f>
        <v>0</v>
      </c>
      <c r="J87" s="49">
        <f>AVERAGE('26.09 Matugga-Kasangati-24h'!J87,'28.09 Matugga-Kasangati-24h'!J87)</f>
        <v>0</v>
      </c>
      <c r="K87" s="49">
        <f>AVERAGE('26.09 Matugga-Kasangati-24h'!K87,'28.09 Matugga-Kasangati-24h'!K87)</f>
        <v>0</v>
      </c>
      <c r="L87" s="49">
        <f>AVERAGE('26.09 Matugga-Kasangati-24h'!L87,'28.09 Matugga-Kasangati-24h'!L87)</f>
        <v>0</v>
      </c>
      <c r="M87" s="49">
        <f>AVERAGE('26.09 Matugga-Kasangati-24h'!M87,'28.09 Matugga-Kasangati-24h'!M87)</f>
        <v>3</v>
      </c>
      <c r="N87" s="49">
        <f>AVERAGE('26.09 Matugga-Kasangati-24h'!N87,'28.09 Matugga-Kasangati-24h'!N87)</f>
        <v>0</v>
      </c>
      <c r="O87" s="116">
        <f t="shared" si="35"/>
        <v>0.5</v>
      </c>
      <c r="P87" s="116">
        <f t="shared" si="36"/>
        <v>3.5</v>
      </c>
      <c r="R87" s="109"/>
      <c r="S87" s="109"/>
    </row>
    <row r="88" spans="2:19" s="101" customFormat="1" ht="23.1" customHeight="1" x14ac:dyDescent="0.25">
      <c r="B88" s="125" t="s">
        <v>128</v>
      </c>
      <c r="C88" s="49">
        <f>AVERAGE('26.09 Matugga-Kasangati-24h'!C88,'28.09 Matugga-Kasangati-24h'!C88)</f>
        <v>0.5</v>
      </c>
      <c r="D88" s="49">
        <f>AVERAGE('26.09 Matugga-Kasangati-24h'!D88,'28.09 Matugga-Kasangati-24h'!D88)</f>
        <v>0</v>
      </c>
      <c r="E88" s="49">
        <f>AVERAGE('26.09 Matugga-Kasangati-24h'!E88,'28.09 Matugga-Kasangati-24h'!E88)</f>
        <v>0</v>
      </c>
      <c r="F88" s="49">
        <f>AVERAGE('26.09 Matugga-Kasangati-24h'!F88,'28.09 Matugga-Kasangati-24h'!F88)</f>
        <v>0</v>
      </c>
      <c r="G88" s="49">
        <f>AVERAGE('26.09 Matugga-Kasangati-24h'!G88,'28.09 Matugga-Kasangati-24h'!G88)</f>
        <v>0</v>
      </c>
      <c r="H88" s="49">
        <f>AVERAGE('26.09 Matugga-Kasangati-24h'!H88,'28.09 Matugga-Kasangati-24h'!H88)</f>
        <v>0</v>
      </c>
      <c r="I88" s="49">
        <f>AVERAGE('26.09 Matugga-Kasangati-24h'!I88,'28.09 Matugga-Kasangati-24h'!I88)</f>
        <v>0.5</v>
      </c>
      <c r="J88" s="49">
        <f>AVERAGE('26.09 Matugga-Kasangati-24h'!J88,'28.09 Matugga-Kasangati-24h'!J88)</f>
        <v>0</v>
      </c>
      <c r="K88" s="49">
        <f>AVERAGE('26.09 Matugga-Kasangati-24h'!K88,'28.09 Matugga-Kasangati-24h'!K88)</f>
        <v>0</v>
      </c>
      <c r="L88" s="49">
        <f>AVERAGE('26.09 Matugga-Kasangati-24h'!L88,'28.09 Matugga-Kasangati-24h'!L88)</f>
        <v>0</v>
      </c>
      <c r="M88" s="49">
        <f>AVERAGE('26.09 Matugga-Kasangati-24h'!M88,'28.09 Matugga-Kasangati-24h'!M88)</f>
        <v>2.5</v>
      </c>
      <c r="N88" s="49">
        <f>AVERAGE('26.09 Matugga-Kasangati-24h'!N88,'28.09 Matugga-Kasangati-24h'!N88)</f>
        <v>0</v>
      </c>
      <c r="O88" s="116">
        <f t="shared" si="35"/>
        <v>1</v>
      </c>
      <c r="P88" s="116">
        <f t="shared" si="36"/>
        <v>3.5</v>
      </c>
      <c r="R88" s="109"/>
      <c r="S88" s="109"/>
    </row>
    <row r="89" spans="2:19" s="101" customFormat="1" ht="23.1" customHeight="1" x14ac:dyDescent="0.25">
      <c r="B89" s="123" t="s">
        <v>129</v>
      </c>
      <c r="C89" s="49">
        <f>AVERAGE('26.09 Matugga-Kasangati-24h'!C89,'28.09 Matugga-Kasangati-24h'!C89)</f>
        <v>1.5</v>
      </c>
      <c r="D89" s="49">
        <f>AVERAGE('26.09 Matugga-Kasangati-24h'!D89,'28.09 Matugga-Kasangati-24h'!D89)</f>
        <v>0</v>
      </c>
      <c r="E89" s="49">
        <f>AVERAGE('26.09 Matugga-Kasangati-24h'!E89,'28.09 Matugga-Kasangati-24h'!E89)</f>
        <v>0</v>
      </c>
      <c r="F89" s="49">
        <f>AVERAGE('26.09 Matugga-Kasangati-24h'!F89,'28.09 Matugga-Kasangati-24h'!F89)</f>
        <v>0</v>
      </c>
      <c r="G89" s="49">
        <f>AVERAGE('26.09 Matugga-Kasangati-24h'!G89,'28.09 Matugga-Kasangati-24h'!G89)</f>
        <v>0</v>
      </c>
      <c r="H89" s="49">
        <f>AVERAGE('26.09 Matugga-Kasangati-24h'!H89,'28.09 Matugga-Kasangati-24h'!H89)</f>
        <v>0</v>
      </c>
      <c r="I89" s="49">
        <f>AVERAGE('26.09 Matugga-Kasangati-24h'!I89,'28.09 Matugga-Kasangati-24h'!I89)</f>
        <v>0</v>
      </c>
      <c r="J89" s="49">
        <f>AVERAGE('26.09 Matugga-Kasangati-24h'!J89,'28.09 Matugga-Kasangati-24h'!J89)</f>
        <v>0</v>
      </c>
      <c r="K89" s="49">
        <f>AVERAGE('26.09 Matugga-Kasangati-24h'!K89,'28.09 Matugga-Kasangati-24h'!K89)</f>
        <v>0</v>
      </c>
      <c r="L89" s="49">
        <f>AVERAGE('26.09 Matugga-Kasangati-24h'!L89,'28.09 Matugga-Kasangati-24h'!L89)</f>
        <v>0</v>
      </c>
      <c r="M89" s="49">
        <f>AVERAGE('26.09 Matugga-Kasangati-24h'!M89,'28.09 Matugga-Kasangati-24h'!M89)</f>
        <v>3.5</v>
      </c>
      <c r="N89" s="49">
        <f>AVERAGE('26.09 Matugga-Kasangati-24h'!N89,'28.09 Matugga-Kasangati-24h'!N89)</f>
        <v>0</v>
      </c>
      <c r="O89" s="116">
        <f t="shared" si="35"/>
        <v>1.5</v>
      </c>
      <c r="P89" s="116">
        <f t="shared" si="36"/>
        <v>5</v>
      </c>
      <c r="R89" s="109"/>
      <c r="S89" s="109"/>
    </row>
    <row r="90" spans="2:19" s="101" customFormat="1" ht="23.1" customHeight="1" x14ac:dyDescent="0.25">
      <c r="B90" s="124" t="s">
        <v>130</v>
      </c>
      <c r="C90" s="49">
        <f>AVERAGE('26.09 Matugga-Kasangati-24h'!C90,'28.09 Matugga-Kasangati-24h'!C90)</f>
        <v>1</v>
      </c>
      <c r="D90" s="49">
        <f>AVERAGE('26.09 Matugga-Kasangati-24h'!D90,'28.09 Matugga-Kasangati-24h'!D90)</f>
        <v>0</v>
      </c>
      <c r="E90" s="49">
        <f>AVERAGE('26.09 Matugga-Kasangati-24h'!E90,'28.09 Matugga-Kasangati-24h'!E90)</f>
        <v>0</v>
      </c>
      <c r="F90" s="49">
        <f>AVERAGE('26.09 Matugga-Kasangati-24h'!F90,'28.09 Matugga-Kasangati-24h'!F90)</f>
        <v>0</v>
      </c>
      <c r="G90" s="49">
        <f>AVERAGE('26.09 Matugga-Kasangati-24h'!G90,'28.09 Matugga-Kasangati-24h'!G90)</f>
        <v>0</v>
      </c>
      <c r="H90" s="49">
        <f>AVERAGE('26.09 Matugga-Kasangati-24h'!H90,'28.09 Matugga-Kasangati-24h'!H90)</f>
        <v>0</v>
      </c>
      <c r="I90" s="49">
        <f>AVERAGE('26.09 Matugga-Kasangati-24h'!I90,'28.09 Matugga-Kasangati-24h'!I90)</f>
        <v>0</v>
      </c>
      <c r="J90" s="49">
        <f>AVERAGE('26.09 Matugga-Kasangati-24h'!J90,'28.09 Matugga-Kasangati-24h'!J90)</f>
        <v>0</v>
      </c>
      <c r="K90" s="49">
        <f>AVERAGE('26.09 Matugga-Kasangati-24h'!K90,'28.09 Matugga-Kasangati-24h'!K90)</f>
        <v>0</v>
      </c>
      <c r="L90" s="49">
        <f>AVERAGE('26.09 Matugga-Kasangati-24h'!L90,'28.09 Matugga-Kasangati-24h'!L90)</f>
        <v>0</v>
      </c>
      <c r="M90" s="49">
        <f>AVERAGE('26.09 Matugga-Kasangati-24h'!M90,'28.09 Matugga-Kasangati-24h'!M90)</f>
        <v>4.5</v>
      </c>
      <c r="N90" s="49">
        <f>AVERAGE('26.09 Matugga-Kasangati-24h'!N90,'28.09 Matugga-Kasangati-24h'!N90)</f>
        <v>0</v>
      </c>
      <c r="O90" s="116">
        <f t="shared" si="35"/>
        <v>1</v>
      </c>
      <c r="P90" s="116">
        <f t="shared" si="36"/>
        <v>5.5</v>
      </c>
      <c r="R90" s="109"/>
      <c r="S90" s="109"/>
    </row>
    <row r="91" spans="2:19" s="101" customFormat="1" ht="23.1" customHeight="1" x14ac:dyDescent="0.25">
      <c r="B91" s="123" t="s">
        <v>131</v>
      </c>
      <c r="C91" s="49">
        <f>AVERAGE('26.09 Matugga-Kasangati-24h'!C91,'28.09 Matugga-Kasangati-24h'!C91)</f>
        <v>0.5</v>
      </c>
      <c r="D91" s="49">
        <f>AVERAGE('26.09 Matugga-Kasangati-24h'!D91,'28.09 Matugga-Kasangati-24h'!D91)</f>
        <v>0</v>
      </c>
      <c r="E91" s="49">
        <f>AVERAGE('26.09 Matugga-Kasangati-24h'!E91,'28.09 Matugga-Kasangati-24h'!E91)</f>
        <v>0.5</v>
      </c>
      <c r="F91" s="49">
        <f>AVERAGE('26.09 Matugga-Kasangati-24h'!F91,'28.09 Matugga-Kasangati-24h'!F91)</f>
        <v>0</v>
      </c>
      <c r="G91" s="49">
        <f>AVERAGE('26.09 Matugga-Kasangati-24h'!G91,'28.09 Matugga-Kasangati-24h'!G91)</f>
        <v>0</v>
      </c>
      <c r="H91" s="49">
        <f>AVERAGE('26.09 Matugga-Kasangati-24h'!H91,'28.09 Matugga-Kasangati-24h'!H91)</f>
        <v>0</v>
      </c>
      <c r="I91" s="49">
        <f>AVERAGE('26.09 Matugga-Kasangati-24h'!I91,'28.09 Matugga-Kasangati-24h'!I91)</f>
        <v>0</v>
      </c>
      <c r="J91" s="49">
        <f>AVERAGE('26.09 Matugga-Kasangati-24h'!J91,'28.09 Matugga-Kasangati-24h'!J91)</f>
        <v>0</v>
      </c>
      <c r="K91" s="49">
        <f>AVERAGE('26.09 Matugga-Kasangati-24h'!K91,'28.09 Matugga-Kasangati-24h'!K91)</f>
        <v>0</v>
      </c>
      <c r="L91" s="49">
        <f>AVERAGE('26.09 Matugga-Kasangati-24h'!L91,'28.09 Matugga-Kasangati-24h'!L91)</f>
        <v>0</v>
      </c>
      <c r="M91" s="49">
        <f>AVERAGE('26.09 Matugga-Kasangati-24h'!M91,'28.09 Matugga-Kasangati-24h'!M91)</f>
        <v>5.5</v>
      </c>
      <c r="N91" s="49">
        <f>AVERAGE('26.09 Matugga-Kasangati-24h'!N91,'28.09 Matugga-Kasangati-24h'!N91)</f>
        <v>0</v>
      </c>
      <c r="O91" s="116">
        <f t="shared" si="35"/>
        <v>1</v>
      </c>
      <c r="P91" s="116">
        <f t="shared" si="36"/>
        <v>6.5</v>
      </c>
      <c r="R91" s="109"/>
      <c r="S91" s="109"/>
    </row>
    <row r="92" spans="2:19" s="101" customFormat="1" ht="23.1" customHeight="1" x14ac:dyDescent="0.25">
      <c r="B92" s="125" t="s">
        <v>132</v>
      </c>
      <c r="C92" s="49">
        <f>AVERAGE('26.09 Matugga-Kasangati-24h'!C92,'28.09 Matugga-Kasangati-24h'!C92)</f>
        <v>1</v>
      </c>
      <c r="D92" s="49">
        <f>AVERAGE('26.09 Matugga-Kasangati-24h'!D92,'28.09 Matugga-Kasangati-24h'!D92)</f>
        <v>0</v>
      </c>
      <c r="E92" s="49">
        <f>AVERAGE('26.09 Matugga-Kasangati-24h'!E92,'28.09 Matugga-Kasangati-24h'!E92)</f>
        <v>0</v>
      </c>
      <c r="F92" s="49">
        <f>AVERAGE('26.09 Matugga-Kasangati-24h'!F92,'28.09 Matugga-Kasangati-24h'!F92)</f>
        <v>0.5</v>
      </c>
      <c r="G92" s="49">
        <f>AVERAGE('26.09 Matugga-Kasangati-24h'!G92,'28.09 Matugga-Kasangati-24h'!G92)</f>
        <v>0</v>
      </c>
      <c r="H92" s="49">
        <f>AVERAGE('26.09 Matugga-Kasangati-24h'!H92,'28.09 Matugga-Kasangati-24h'!H92)</f>
        <v>0</v>
      </c>
      <c r="I92" s="49">
        <f>AVERAGE('26.09 Matugga-Kasangati-24h'!I92,'28.09 Matugga-Kasangati-24h'!I92)</f>
        <v>0.5</v>
      </c>
      <c r="J92" s="49">
        <f>AVERAGE('26.09 Matugga-Kasangati-24h'!J92,'28.09 Matugga-Kasangati-24h'!J92)</f>
        <v>0.5</v>
      </c>
      <c r="K92" s="49">
        <f>AVERAGE('26.09 Matugga-Kasangati-24h'!K92,'28.09 Matugga-Kasangati-24h'!K92)</f>
        <v>0</v>
      </c>
      <c r="L92" s="49">
        <f>AVERAGE('26.09 Matugga-Kasangati-24h'!L92,'28.09 Matugga-Kasangati-24h'!L92)</f>
        <v>0</v>
      </c>
      <c r="M92" s="49">
        <f>AVERAGE('26.09 Matugga-Kasangati-24h'!M92,'28.09 Matugga-Kasangati-24h'!M92)</f>
        <v>3.5</v>
      </c>
      <c r="N92" s="49">
        <f>AVERAGE('26.09 Matugga-Kasangati-24h'!N92,'28.09 Matugga-Kasangati-24h'!N92)</f>
        <v>0</v>
      </c>
      <c r="O92" s="116">
        <f t="shared" si="35"/>
        <v>2.5</v>
      </c>
      <c r="P92" s="116">
        <f t="shared" si="36"/>
        <v>6</v>
      </c>
      <c r="R92" s="109"/>
      <c r="S92" s="109"/>
    </row>
    <row r="93" spans="2:19" s="101" customFormat="1" ht="23.1" customHeight="1" x14ac:dyDescent="0.25">
      <c r="B93" s="123" t="s">
        <v>133</v>
      </c>
      <c r="C93" s="49">
        <f>AVERAGE('26.09 Matugga-Kasangati-24h'!C93,'28.09 Matugga-Kasangati-24h'!C93)</f>
        <v>0.5</v>
      </c>
      <c r="D93" s="49">
        <f>AVERAGE('26.09 Matugga-Kasangati-24h'!D93,'28.09 Matugga-Kasangati-24h'!D93)</f>
        <v>0</v>
      </c>
      <c r="E93" s="49">
        <f>AVERAGE('26.09 Matugga-Kasangati-24h'!E93,'28.09 Matugga-Kasangati-24h'!E93)</f>
        <v>0</v>
      </c>
      <c r="F93" s="49">
        <f>AVERAGE('26.09 Matugga-Kasangati-24h'!F93,'28.09 Matugga-Kasangati-24h'!F93)</f>
        <v>0.5</v>
      </c>
      <c r="G93" s="49">
        <f>AVERAGE('26.09 Matugga-Kasangati-24h'!G93,'28.09 Matugga-Kasangati-24h'!G93)</f>
        <v>0</v>
      </c>
      <c r="H93" s="49">
        <f>AVERAGE('26.09 Matugga-Kasangati-24h'!H93,'28.09 Matugga-Kasangati-24h'!H93)</f>
        <v>0</v>
      </c>
      <c r="I93" s="49">
        <f>AVERAGE('26.09 Matugga-Kasangati-24h'!I93,'28.09 Matugga-Kasangati-24h'!I93)</f>
        <v>0</v>
      </c>
      <c r="J93" s="49">
        <f>AVERAGE('26.09 Matugga-Kasangati-24h'!J93,'28.09 Matugga-Kasangati-24h'!J93)</f>
        <v>0.5</v>
      </c>
      <c r="K93" s="49">
        <f>AVERAGE('26.09 Matugga-Kasangati-24h'!K93,'28.09 Matugga-Kasangati-24h'!K93)</f>
        <v>0</v>
      </c>
      <c r="L93" s="49">
        <f>AVERAGE('26.09 Matugga-Kasangati-24h'!L93,'28.09 Matugga-Kasangati-24h'!L93)</f>
        <v>0</v>
      </c>
      <c r="M93" s="49">
        <f>AVERAGE('26.09 Matugga-Kasangati-24h'!M93,'28.09 Matugga-Kasangati-24h'!M93)</f>
        <v>1</v>
      </c>
      <c r="N93" s="49">
        <f>AVERAGE('26.09 Matugga-Kasangati-24h'!N93,'28.09 Matugga-Kasangati-24h'!N93)</f>
        <v>0</v>
      </c>
      <c r="O93" s="116">
        <f t="shared" si="35"/>
        <v>1.5</v>
      </c>
      <c r="P93" s="116">
        <f t="shared" si="36"/>
        <v>2.5</v>
      </c>
      <c r="R93" s="109"/>
      <c r="S93" s="109"/>
    </row>
    <row r="94" spans="2:19" s="101" customFormat="1" ht="23.1" customHeight="1" x14ac:dyDescent="0.25">
      <c r="B94" s="124" t="s">
        <v>134</v>
      </c>
      <c r="C94" s="49">
        <f>AVERAGE('26.09 Matugga-Kasangati-24h'!C94,'28.09 Matugga-Kasangati-24h'!C94)</f>
        <v>0.5</v>
      </c>
      <c r="D94" s="49">
        <f>AVERAGE('26.09 Matugga-Kasangati-24h'!D94,'28.09 Matugga-Kasangati-24h'!D94)</f>
        <v>0</v>
      </c>
      <c r="E94" s="49">
        <f>AVERAGE('26.09 Matugga-Kasangati-24h'!E94,'28.09 Matugga-Kasangati-24h'!E94)</f>
        <v>0</v>
      </c>
      <c r="F94" s="49">
        <f>AVERAGE('26.09 Matugga-Kasangati-24h'!F94,'28.09 Matugga-Kasangati-24h'!F94)</f>
        <v>0</v>
      </c>
      <c r="G94" s="49">
        <f>AVERAGE('26.09 Matugga-Kasangati-24h'!G94,'28.09 Matugga-Kasangati-24h'!G94)</f>
        <v>0</v>
      </c>
      <c r="H94" s="49">
        <f>AVERAGE('26.09 Matugga-Kasangati-24h'!H94,'28.09 Matugga-Kasangati-24h'!H94)</f>
        <v>0</v>
      </c>
      <c r="I94" s="49">
        <f>AVERAGE('26.09 Matugga-Kasangati-24h'!I94,'28.09 Matugga-Kasangati-24h'!I94)</f>
        <v>0.5</v>
      </c>
      <c r="J94" s="49">
        <f>AVERAGE('26.09 Matugga-Kasangati-24h'!J94,'28.09 Matugga-Kasangati-24h'!J94)</f>
        <v>0</v>
      </c>
      <c r="K94" s="49">
        <f>AVERAGE('26.09 Matugga-Kasangati-24h'!K94,'28.09 Matugga-Kasangati-24h'!K94)</f>
        <v>0</v>
      </c>
      <c r="L94" s="49">
        <f>AVERAGE('26.09 Matugga-Kasangati-24h'!L94,'28.09 Matugga-Kasangati-24h'!L94)</f>
        <v>0</v>
      </c>
      <c r="M94" s="49">
        <f>AVERAGE('26.09 Matugga-Kasangati-24h'!M94,'28.09 Matugga-Kasangati-24h'!M94)</f>
        <v>1.5</v>
      </c>
      <c r="N94" s="49">
        <f>AVERAGE('26.09 Matugga-Kasangati-24h'!N94,'28.09 Matugga-Kasangati-24h'!N94)</f>
        <v>0</v>
      </c>
      <c r="O94" s="116">
        <f t="shared" si="35"/>
        <v>1</v>
      </c>
      <c r="P94" s="116">
        <f t="shared" si="36"/>
        <v>2.5</v>
      </c>
      <c r="R94" s="109"/>
      <c r="S94" s="109"/>
    </row>
    <row r="95" spans="2:19" s="101" customFormat="1" ht="23.1" customHeight="1" x14ac:dyDescent="0.25">
      <c r="B95" s="123" t="s">
        <v>135</v>
      </c>
      <c r="C95" s="49">
        <f>AVERAGE('26.09 Matugga-Kasangati-24h'!C95,'28.09 Matugga-Kasangati-24h'!C95)</f>
        <v>0</v>
      </c>
      <c r="D95" s="49">
        <f>AVERAGE('26.09 Matugga-Kasangati-24h'!D95,'28.09 Matugga-Kasangati-24h'!D95)</f>
        <v>0.5</v>
      </c>
      <c r="E95" s="49">
        <f>AVERAGE('26.09 Matugga-Kasangati-24h'!E95,'28.09 Matugga-Kasangati-24h'!E95)</f>
        <v>0</v>
      </c>
      <c r="F95" s="49">
        <f>AVERAGE('26.09 Matugga-Kasangati-24h'!F95,'28.09 Matugga-Kasangati-24h'!F95)</f>
        <v>0.5</v>
      </c>
      <c r="G95" s="49">
        <f>AVERAGE('26.09 Matugga-Kasangati-24h'!G95,'28.09 Matugga-Kasangati-24h'!G95)</f>
        <v>0</v>
      </c>
      <c r="H95" s="49">
        <f>AVERAGE('26.09 Matugga-Kasangati-24h'!H95,'28.09 Matugga-Kasangati-24h'!H95)</f>
        <v>0</v>
      </c>
      <c r="I95" s="49">
        <f>AVERAGE('26.09 Matugga-Kasangati-24h'!I95,'28.09 Matugga-Kasangati-24h'!I95)</f>
        <v>0</v>
      </c>
      <c r="J95" s="49">
        <f>AVERAGE('26.09 Matugga-Kasangati-24h'!J95,'28.09 Matugga-Kasangati-24h'!J95)</f>
        <v>0</v>
      </c>
      <c r="K95" s="49">
        <f>AVERAGE('26.09 Matugga-Kasangati-24h'!K95,'28.09 Matugga-Kasangati-24h'!K95)</f>
        <v>0</v>
      </c>
      <c r="L95" s="49">
        <f>AVERAGE('26.09 Matugga-Kasangati-24h'!L95,'28.09 Matugga-Kasangati-24h'!L95)</f>
        <v>0</v>
      </c>
      <c r="M95" s="49">
        <f>AVERAGE('26.09 Matugga-Kasangati-24h'!M95,'28.09 Matugga-Kasangati-24h'!M95)</f>
        <v>5</v>
      </c>
      <c r="N95" s="49">
        <f>AVERAGE('26.09 Matugga-Kasangati-24h'!N95,'28.09 Matugga-Kasangati-24h'!N95)</f>
        <v>0</v>
      </c>
      <c r="O95" s="116">
        <f t="shared" si="35"/>
        <v>1</v>
      </c>
      <c r="P95" s="116">
        <f t="shared" si="36"/>
        <v>6</v>
      </c>
      <c r="R95" s="109"/>
      <c r="S95" s="109"/>
    </row>
    <row r="96" spans="2:19" s="101" customFormat="1" ht="23.1" customHeight="1" x14ac:dyDescent="0.25">
      <c r="B96" s="125" t="s">
        <v>136</v>
      </c>
      <c r="C96" s="49">
        <f>AVERAGE('26.09 Matugga-Kasangati-24h'!C96,'28.09 Matugga-Kasangati-24h'!C96)</f>
        <v>0</v>
      </c>
      <c r="D96" s="49">
        <f>AVERAGE('26.09 Matugga-Kasangati-24h'!D96,'28.09 Matugga-Kasangati-24h'!D96)</f>
        <v>0</v>
      </c>
      <c r="E96" s="49">
        <f>AVERAGE('26.09 Matugga-Kasangati-24h'!E96,'28.09 Matugga-Kasangati-24h'!E96)</f>
        <v>0</v>
      </c>
      <c r="F96" s="49">
        <f>AVERAGE('26.09 Matugga-Kasangati-24h'!F96,'28.09 Matugga-Kasangati-24h'!F96)</f>
        <v>0</v>
      </c>
      <c r="G96" s="49">
        <f>AVERAGE('26.09 Matugga-Kasangati-24h'!G96,'28.09 Matugga-Kasangati-24h'!G96)</f>
        <v>0</v>
      </c>
      <c r="H96" s="49">
        <f>AVERAGE('26.09 Matugga-Kasangati-24h'!H96,'28.09 Matugga-Kasangati-24h'!H96)</f>
        <v>0</v>
      </c>
      <c r="I96" s="49">
        <f>AVERAGE('26.09 Matugga-Kasangati-24h'!I96,'28.09 Matugga-Kasangati-24h'!I96)</f>
        <v>0</v>
      </c>
      <c r="J96" s="49">
        <f>AVERAGE('26.09 Matugga-Kasangati-24h'!J96,'28.09 Matugga-Kasangati-24h'!J96)</f>
        <v>0</v>
      </c>
      <c r="K96" s="49">
        <f>AVERAGE('26.09 Matugga-Kasangati-24h'!K96,'28.09 Matugga-Kasangati-24h'!K96)</f>
        <v>0</v>
      </c>
      <c r="L96" s="49">
        <f>AVERAGE('26.09 Matugga-Kasangati-24h'!L96,'28.09 Matugga-Kasangati-24h'!L96)</f>
        <v>0</v>
      </c>
      <c r="M96" s="49">
        <f>AVERAGE('26.09 Matugga-Kasangati-24h'!M96,'28.09 Matugga-Kasangati-24h'!M96)</f>
        <v>4.5</v>
      </c>
      <c r="N96" s="49">
        <f>AVERAGE('26.09 Matugga-Kasangati-24h'!N96,'28.09 Matugga-Kasangati-24h'!N96)</f>
        <v>0</v>
      </c>
      <c r="O96" s="116">
        <f t="shared" si="35"/>
        <v>0</v>
      </c>
      <c r="P96" s="116">
        <f t="shared" si="36"/>
        <v>4.5</v>
      </c>
      <c r="R96" s="109"/>
      <c r="S96" s="109"/>
    </row>
    <row r="97" spans="2:20" s="101" customFormat="1" ht="23.1" customHeight="1" x14ac:dyDescent="0.25">
      <c r="B97" s="123" t="s">
        <v>137</v>
      </c>
      <c r="C97" s="49">
        <f>AVERAGE('26.09 Matugga-Kasangati-24h'!C97,'28.09 Matugga-Kasangati-24h'!C97)</f>
        <v>1</v>
      </c>
      <c r="D97" s="49">
        <f>AVERAGE('26.09 Matugga-Kasangati-24h'!D97,'28.09 Matugga-Kasangati-24h'!D97)</f>
        <v>0</v>
      </c>
      <c r="E97" s="49">
        <f>AVERAGE('26.09 Matugga-Kasangati-24h'!E97,'28.09 Matugga-Kasangati-24h'!E97)</f>
        <v>0</v>
      </c>
      <c r="F97" s="49">
        <f>AVERAGE('26.09 Matugga-Kasangati-24h'!F97,'28.09 Matugga-Kasangati-24h'!F97)</f>
        <v>0</v>
      </c>
      <c r="G97" s="49">
        <f>AVERAGE('26.09 Matugga-Kasangati-24h'!G97,'28.09 Matugga-Kasangati-24h'!G97)</f>
        <v>0</v>
      </c>
      <c r="H97" s="49">
        <f>AVERAGE('26.09 Matugga-Kasangati-24h'!H97,'28.09 Matugga-Kasangati-24h'!H97)</f>
        <v>0</v>
      </c>
      <c r="I97" s="49">
        <f>AVERAGE('26.09 Matugga-Kasangati-24h'!I97,'28.09 Matugga-Kasangati-24h'!I97)</f>
        <v>0</v>
      </c>
      <c r="J97" s="49">
        <f>AVERAGE('26.09 Matugga-Kasangati-24h'!J97,'28.09 Matugga-Kasangati-24h'!J97)</f>
        <v>0.5</v>
      </c>
      <c r="K97" s="49">
        <f>AVERAGE('26.09 Matugga-Kasangati-24h'!K97,'28.09 Matugga-Kasangati-24h'!K97)</f>
        <v>0</v>
      </c>
      <c r="L97" s="49">
        <f>AVERAGE('26.09 Matugga-Kasangati-24h'!L97,'28.09 Matugga-Kasangati-24h'!L97)</f>
        <v>0</v>
      </c>
      <c r="M97" s="49">
        <f>AVERAGE('26.09 Matugga-Kasangati-24h'!M97,'28.09 Matugga-Kasangati-24h'!M97)</f>
        <v>2.5</v>
      </c>
      <c r="N97" s="49">
        <f>AVERAGE('26.09 Matugga-Kasangati-24h'!N97,'28.09 Matugga-Kasangati-24h'!N97)</f>
        <v>0</v>
      </c>
      <c r="O97" s="116">
        <f t="shared" si="35"/>
        <v>1.5</v>
      </c>
      <c r="P97" s="116">
        <f t="shared" si="36"/>
        <v>4</v>
      </c>
      <c r="R97" s="109"/>
      <c r="S97" s="109"/>
    </row>
    <row r="98" spans="2:20" s="101" customFormat="1" ht="23.1" customHeight="1" x14ac:dyDescent="0.25">
      <c r="B98" s="124" t="s">
        <v>138</v>
      </c>
      <c r="C98" s="49">
        <f>AVERAGE('26.09 Matugga-Kasangati-24h'!C98,'28.09 Matugga-Kasangati-24h'!C98)</f>
        <v>0</v>
      </c>
      <c r="D98" s="49">
        <f>AVERAGE('26.09 Matugga-Kasangati-24h'!D98,'28.09 Matugga-Kasangati-24h'!D98)</f>
        <v>0.5</v>
      </c>
      <c r="E98" s="49">
        <f>AVERAGE('26.09 Matugga-Kasangati-24h'!E98,'28.09 Matugga-Kasangati-24h'!E98)</f>
        <v>0.5</v>
      </c>
      <c r="F98" s="49">
        <f>AVERAGE('26.09 Matugga-Kasangati-24h'!F98,'28.09 Matugga-Kasangati-24h'!F98)</f>
        <v>0.5</v>
      </c>
      <c r="G98" s="49">
        <f>AVERAGE('26.09 Matugga-Kasangati-24h'!G98,'28.09 Matugga-Kasangati-24h'!G98)</f>
        <v>0</v>
      </c>
      <c r="H98" s="49">
        <f>AVERAGE('26.09 Matugga-Kasangati-24h'!H98,'28.09 Matugga-Kasangati-24h'!H98)</f>
        <v>0</v>
      </c>
      <c r="I98" s="49">
        <f>AVERAGE('26.09 Matugga-Kasangati-24h'!I98,'28.09 Matugga-Kasangati-24h'!I98)</f>
        <v>0</v>
      </c>
      <c r="J98" s="49">
        <f>AVERAGE('26.09 Matugga-Kasangati-24h'!J98,'28.09 Matugga-Kasangati-24h'!J98)</f>
        <v>0</v>
      </c>
      <c r="K98" s="49">
        <f>AVERAGE('26.09 Matugga-Kasangati-24h'!K98,'28.09 Matugga-Kasangati-24h'!K98)</f>
        <v>0</v>
      </c>
      <c r="L98" s="49">
        <f>AVERAGE('26.09 Matugga-Kasangati-24h'!L98,'28.09 Matugga-Kasangati-24h'!L98)</f>
        <v>0</v>
      </c>
      <c r="M98" s="49">
        <f>AVERAGE('26.09 Matugga-Kasangati-24h'!M98,'28.09 Matugga-Kasangati-24h'!M98)</f>
        <v>3</v>
      </c>
      <c r="N98" s="49">
        <f>AVERAGE('26.09 Matugga-Kasangati-24h'!N98,'28.09 Matugga-Kasangati-24h'!N98)</f>
        <v>0</v>
      </c>
      <c r="O98" s="116">
        <f t="shared" si="35"/>
        <v>1.5</v>
      </c>
      <c r="P98" s="116">
        <f t="shared" si="36"/>
        <v>4.5</v>
      </c>
      <c r="R98" s="109"/>
      <c r="S98" s="109"/>
    </row>
    <row r="99" spans="2:20" s="101" customFormat="1" ht="23.1" customHeight="1" x14ac:dyDescent="0.25">
      <c r="B99" s="123" t="s">
        <v>139</v>
      </c>
      <c r="C99" s="49">
        <f>AVERAGE('26.09 Matugga-Kasangati-24h'!C99,'28.09 Matugga-Kasangati-24h'!C99)</f>
        <v>2</v>
      </c>
      <c r="D99" s="49">
        <f>AVERAGE('26.09 Matugga-Kasangati-24h'!D99,'28.09 Matugga-Kasangati-24h'!D99)</f>
        <v>0</v>
      </c>
      <c r="E99" s="49">
        <f>AVERAGE('26.09 Matugga-Kasangati-24h'!E99,'28.09 Matugga-Kasangati-24h'!E99)</f>
        <v>0</v>
      </c>
      <c r="F99" s="49">
        <f>AVERAGE('26.09 Matugga-Kasangati-24h'!F99,'28.09 Matugga-Kasangati-24h'!F99)</f>
        <v>2</v>
      </c>
      <c r="G99" s="49">
        <f>AVERAGE('26.09 Matugga-Kasangati-24h'!G99,'28.09 Matugga-Kasangati-24h'!G99)</f>
        <v>0</v>
      </c>
      <c r="H99" s="49">
        <f>AVERAGE('26.09 Matugga-Kasangati-24h'!H99,'28.09 Matugga-Kasangati-24h'!H99)</f>
        <v>0</v>
      </c>
      <c r="I99" s="49">
        <f>AVERAGE('26.09 Matugga-Kasangati-24h'!I99,'28.09 Matugga-Kasangati-24h'!I99)</f>
        <v>0</v>
      </c>
      <c r="J99" s="49">
        <f>AVERAGE('26.09 Matugga-Kasangati-24h'!J99,'28.09 Matugga-Kasangati-24h'!J99)</f>
        <v>0.5</v>
      </c>
      <c r="K99" s="49">
        <f>AVERAGE('26.09 Matugga-Kasangati-24h'!K99,'28.09 Matugga-Kasangati-24h'!K99)</f>
        <v>0</v>
      </c>
      <c r="L99" s="49">
        <f>AVERAGE('26.09 Matugga-Kasangati-24h'!L99,'28.09 Matugga-Kasangati-24h'!L99)</f>
        <v>0</v>
      </c>
      <c r="M99" s="49">
        <f>AVERAGE('26.09 Matugga-Kasangati-24h'!M99,'28.09 Matugga-Kasangati-24h'!M99)</f>
        <v>2.5</v>
      </c>
      <c r="N99" s="49">
        <f>AVERAGE('26.09 Matugga-Kasangati-24h'!N99,'28.09 Matugga-Kasangati-24h'!N99)</f>
        <v>0</v>
      </c>
      <c r="O99" s="116">
        <f t="shared" si="35"/>
        <v>4.5</v>
      </c>
      <c r="P99" s="116">
        <f t="shared" si="36"/>
        <v>7</v>
      </c>
      <c r="R99" s="109"/>
      <c r="S99" s="109"/>
    </row>
    <row r="100" spans="2:20" s="101" customFormat="1" ht="23.1" customHeight="1" x14ac:dyDescent="0.25">
      <c r="B100" s="125" t="s">
        <v>140</v>
      </c>
      <c r="C100" s="49">
        <f>AVERAGE('26.09 Matugga-Kasangati-24h'!C100,'28.09 Matugga-Kasangati-24h'!C100)</f>
        <v>3</v>
      </c>
      <c r="D100" s="49">
        <f>AVERAGE('26.09 Matugga-Kasangati-24h'!D100,'28.09 Matugga-Kasangati-24h'!D100)</f>
        <v>0</v>
      </c>
      <c r="E100" s="49">
        <f>AVERAGE('26.09 Matugga-Kasangati-24h'!E100,'28.09 Matugga-Kasangati-24h'!E100)</f>
        <v>1</v>
      </c>
      <c r="F100" s="49">
        <f>AVERAGE('26.09 Matugga-Kasangati-24h'!F100,'28.09 Matugga-Kasangati-24h'!F100)</f>
        <v>2</v>
      </c>
      <c r="G100" s="49">
        <f>AVERAGE('26.09 Matugga-Kasangati-24h'!G100,'28.09 Matugga-Kasangati-24h'!G100)</f>
        <v>0</v>
      </c>
      <c r="H100" s="49">
        <f>AVERAGE('26.09 Matugga-Kasangati-24h'!H100,'28.09 Matugga-Kasangati-24h'!H100)</f>
        <v>0</v>
      </c>
      <c r="I100" s="49">
        <f>AVERAGE('26.09 Matugga-Kasangati-24h'!I100,'28.09 Matugga-Kasangati-24h'!I100)</f>
        <v>0</v>
      </c>
      <c r="J100" s="49">
        <f>AVERAGE('26.09 Matugga-Kasangati-24h'!J100,'28.09 Matugga-Kasangati-24h'!J100)</f>
        <v>0.5</v>
      </c>
      <c r="K100" s="49">
        <f>AVERAGE('26.09 Matugga-Kasangati-24h'!K100,'28.09 Matugga-Kasangati-24h'!K100)</f>
        <v>0</v>
      </c>
      <c r="L100" s="49">
        <f>AVERAGE('26.09 Matugga-Kasangati-24h'!L100,'28.09 Matugga-Kasangati-24h'!L100)</f>
        <v>0</v>
      </c>
      <c r="M100" s="49">
        <f>AVERAGE('26.09 Matugga-Kasangati-24h'!M100,'28.09 Matugga-Kasangati-24h'!M100)</f>
        <v>4.5</v>
      </c>
      <c r="N100" s="49">
        <f>AVERAGE('26.09 Matugga-Kasangati-24h'!N100,'28.09 Matugga-Kasangati-24h'!N100)</f>
        <v>0</v>
      </c>
      <c r="O100" s="116">
        <f t="shared" si="35"/>
        <v>6.5</v>
      </c>
      <c r="P100" s="116">
        <f t="shared" si="36"/>
        <v>11</v>
      </c>
      <c r="R100" s="109"/>
      <c r="S100" s="109"/>
    </row>
    <row r="101" spans="2:20" s="101" customFormat="1" ht="23.1" customHeight="1" x14ac:dyDescent="0.25">
      <c r="B101" s="123" t="s">
        <v>141</v>
      </c>
      <c r="C101" s="49">
        <f>AVERAGE('26.09 Matugga-Kasangati-24h'!C101,'28.09 Matugga-Kasangati-24h'!C101)</f>
        <v>5.5</v>
      </c>
      <c r="D101" s="49">
        <f>AVERAGE('26.09 Matugga-Kasangati-24h'!D101,'28.09 Matugga-Kasangati-24h'!D101)</f>
        <v>1</v>
      </c>
      <c r="E101" s="49">
        <f>AVERAGE('26.09 Matugga-Kasangati-24h'!E101,'28.09 Matugga-Kasangati-24h'!E101)</f>
        <v>1.5</v>
      </c>
      <c r="F101" s="49">
        <f>AVERAGE('26.09 Matugga-Kasangati-24h'!F101,'28.09 Matugga-Kasangati-24h'!F101)</f>
        <v>2</v>
      </c>
      <c r="G101" s="49">
        <f>AVERAGE('26.09 Matugga-Kasangati-24h'!G101,'28.09 Matugga-Kasangati-24h'!G101)</f>
        <v>0</v>
      </c>
      <c r="H101" s="49">
        <f>AVERAGE('26.09 Matugga-Kasangati-24h'!H101,'28.09 Matugga-Kasangati-24h'!H101)</f>
        <v>0</v>
      </c>
      <c r="I101" s="49">
        <f>AVERAGE('26.09 Matugga-Kasangati-24h'!I101,'28.09 Matugga-Kasangati-24h'!I101)</f>
        <v>1</v>
      </c>
      <c r="J101" s="49">
        <f>AVERAGE('26.09 Matugga-Kasangati-24h'!J101,'28.09 Matugga-Kasangati-24h'!J101)</f>
        <v>0</v>
      </c>
      <c r="K101" s="49">
        <f>AVERAGE('26.09 Matugga-Kasangati-24h'!K101,'28.09 Matugga-Kasangati-24h'!K101)</f>
        <v>0</v>
      </c>
      <c r="L101" s="49">
        <f>AVERAGE('26.09 Matugga-Kasangati-24h'!L101,'28.09 Matugga-Kasangati-24h'!L101)</f>
        <v>0</v>
      </c>
      <c r="M101" s="49">
        <f>AVERAGE('26.09 Matugga-Kasangati-24h'!M101,'28.09 Matugga-Kasangati-24h'!M101)</f>
        <v>8</v>
      </c>
      <c r="N101" s="49">
        <f>AVERAGE('26.09 Matugga-Kasangati-24h'!N101,'28.09 Matugga-Kasangati-24h'!N101)</f>
        <v>0</v>
      </c>
      <c r="O101" s="116">
        <f t="shared" si="35"/>
        <v>11</v>
      </c>
      <c r="P101" s="116">
        <f t="shared" si="36"/>
        <v>19</v>
      </c>
      <c r="R101" s="109"/>
      <c r="S101" s="109"/>
    </row>
    <row r="102" spans="2:20" s="101" customFormat="1" ht="23.1" customHeight="1" x14ac:dyDescent="0.25">
      <c r="B102" s="124" t="s">
        <v>142</v>
      </c>
      <c r="C102" s="49">
        <f>AVERAGE('26.09 Matugga-Kasangati-24h'!C102,'28.09 Matugga-Kasangati-24h'!C102)</f>
        <v>15.5</v>
      </c>
      <c r="D102" s="49">
        <f>AVERAGE('26.09 Matugga-Kasangati-24h'!D102,'28.09 Matugga-Kasangati-24h'!D102)</f>
        <v>0.5</v>
      </c>
      <c r="E102" s="49">
        <f>AVERAGE('26.09 Matugga-Kasangati-24h'!E102,'28.09 Matugga-Kasangati-24h'!E102)</f>
        <v>2</v>
      </c>
      <c r="F102" s="49">
        <f>AVERAGE('26.09 Matugga-Kasangati-24h'!F102,'28.09 Matugga-Kasangati-24h'!F102)</f>
        <v>4.5</v>
      </c>
      <c r="G102" s="49">
        <f>AVERAGE('26.09 Matugga-Kasangati-24h'!G102,'28.09 Matugga-Kasangati-24h'!G102)</f>
        <v>1</v>
      </c>
      <c r="H102" s="49">
        <f>AVERAGE('26.09 Matugga-Kasangati-24h'!H102,'28.09 Matugga-Kasangati-24h'!H102)</f>
        <v>0</v>
      </c>
      <c r="I102" s="49">
        <f>AVERAGE('26.09 Matugga-Kasangati-24h'!I102,'28.09 Matugga-Kasangati-24h'!I102)</f>
        <v>1</v>
      </c>
      <c r="J102" s="49">
        <f>AVERAGE('26.09 Matugga-Kasangati-24h'!J102,'28.09 Matugga-Kasangati-24h'!J102)</f>
        <v>0</v>
      </c>
      <c r="K102" s="49">
        <f>AVERAGE('26.09 Matugga-Kasangati-24h'!K102,'28.09 Matugga-Kasangati-24h'!K102)</f>
        <v>0</v>
      </c>
      <c r="L102" s="49">
        <f>AVERAGE('26.09 Matugga-Kasangati-24h'!L102,'28.09 Matugga-Kasangati-24h'!L102)</f>
        <v>0</v>
      </c>
      <c r="M102" s="49">
        <f>AVERAGE('26.09 Matugga-Kasangati-24h'!M102,'28.09 Matugga-Kasangati-24h'!M102)</f>
        <v>10</v>
      </c>
      <c r="N102" s="49">
        <f>AVERAGE('26.09 Matugga-Kasangati-24h'!N102,'28.09 Matugga-Kasangati-24h'!N102)</f>
        <v>0</v>
      </c>
      <c r="O102" s="116">
        <f t="shared" si="35"/>
        <v>24.5</v>
      </c>
      <c r="P102" s="116">
        <f t="shared" si="36"/>
        <v>34.5</v>
      </c>
      <c r="R102" s="109"/>
      <c r="S102" s="109"/>
    </row>
    <row r="103" spans="2:20" s="101" customFormat="1" ht="23.1" customHeight="1" x14ac:dyDescent="0.25">
      <c r="B103" s="123" t="s">
        <v>143</v>
      </c>
      <c r="C103" s="49">
        <f>AVERAGE('26.09 Matugga-Kasangati-24h'!C103,'28.09 Matugga-Kasangati-24h'!C103)</f>
        <v>21.5</v>
      </c>
      <c r="D103" s="49">
        <f>AVERAGE('26.09 Matugga-Kasangati-24h'!D103,'28.09 Matugga-Kasangati-24h'!D103)</f>
        <v>3.5</v>
      </c>
      <c r="E103" s="49">
        <f>AVERAGE('26.09 Matugga-Kasangati-24h'!E103,'28.09 Matugga-Kasangati-24h'!E103)</f>
        <v>2.5</v>
      </c>
      <c r="F103" s="49">
        <f>AVERAGE('26.09 Matugga-Kasangati-24h'!F103,'28.09 Matugga-Kasangati-24h'!F103)</f>
        <v>2.5</v>
      </c>
      <c r="G103" s="49">
        <f>AVERAGE('26.09 Matugga-Kasangati-24h'!G103,'28.09 Matugga-Kasangati-24h'!G103)</f>
        <v>0.5</v>
      </c>
      <c r="H103" s="49">
        <f>AVERAGE('26.09 Matugga-Kasangati-24h'!H103,'28.09 Matugga-Kasangati-24h'!H103)</f>
        <v>0</v>
      </c>
      <c r="I103" s="49">
        <f>AVERAGE('26.09 Matugga-Kasangati-24h'!I103,'28.09 Matugga-Kasangati-24h'!I103)</f>
        <v>0.5</v>
      </c>
      <c r="J103" s="49">
        <f>AVERAGE('26.09 Matugga-Kasangati-24h'!J103,'28.09 Matugga-Kasangati-24h'!J103)</f>
        <v>0.5</v>
      </c>
      <c r="K103" s="49">
        <f>AVERAGE('26.09 Matugga-Kasangati-24h'!K103,'28.09 Matugga-Kasangati-24h'!K103)</f>
        <v>0</v>
      </c>
      <c r="L103" s="49">
        <f>AVERAGE('26.09 Matugga-Kasangati-24h'!L103,'28.09 Matugga-Kasangati-24h'!L103)</f>
        <v>0</v>
      </c>
      <c r="M103" s="49">
        <f>AVERAGE('26.09 Matugga-Kasangati-24h'!M103,'28.09 Matugga-Kasangati-24h'!M103)</f>
        <v>16</v>
      </c>
      <c r="N103" s="49">
        <f>AVERAGE('26.09 Matugga-Kasangati-24h'!N103,'28.09 Matugga-Kasangati-24h'!N103)</f>
        <v>0</v>
      </c>
      <c r="O103" s="116">
        <f t="shared" si="35"/>
        <v>31.5</v>
      </c>
      <c r="P103" s="116">
        <f t="shared" si="36"/>
        <v>47.5</v>
      </c>
      <c r="R103" s="109"/>
      <c r="S103" s="109"/>
    </row>
    <row r="104" spans="2:20" s="101" customFormat="1" ht="23.1" customHeight="1" x14ac:dyDescent="0.25">
      <c r="B104" s="125" t="s">
        <v>144</v>
      </c>
      <c r="C104" s="49">
        <f>AVERAGE('26.09 Matugga-Kasangati-24h'!C104,'28.09 Matugga-Kasangati-24h'!C104)</f>
        <v>14.5</v>
      </c>
      <c r="D104" s="49">
        <f>AVERAGE('26.09 Matugga-Kasangati-24h'!D104,'28.09 Matugga-Kasangati-24h'!D104)</f>
        <v>9</v>
      </c>
      <c r="E104" s="49">
        <f>AVERAGE('26.09 Matugga-Kasangati-24h'!E104,'28.09 Matugga-Kasangati-24h'!E104)</f>
        <v>2.5</v>
      </c>
      <c r="F104" s="49">
        <f>AVERAGE('26.09 Matugga-Kasangati-24h'!F104,'28.09 Matugga-Kasangati-24h'!F104)</f>
        <v>4.5</v>
      </c>
      <c r="G104" s="49">
        <f>AVERAGE('26.09 Matugga-Kasangati-24h'!G104,'28.09 Matugga-Kasangati-24h'!G104)</f>
        <v>0.5</v>
      </c>
      <c r="H104" s="49">
        <f>AVERAGE('26.09 Matugga-Kasangati-24h'!H104,'28.09 Matugga-Kasangati-24h'!H104)</f>
        <v>0</v>
      </c>
      <c r="I104" s="49">
        <f>AVERAGE('26.09 Matugga-Kasangati-24h'!I104,'28.09 Matugga-Kasangati-24h'!I104)</f>
        <v>1</v>
      </c>
      <c r="J104" s="49">
        <f>AVERAGE('26.09 Matugga-Kasangati-24h'!J104,'28.09 Matugga-Kasangati-24h'!J104)</f>
        <v>0</v>
      </c>
      <c r="K104" s="49">
        <f>AVERAGE('26.09 Matugga-Kasangati-24h'!K104,'28.09 Matugga-Kasangati-24h'!K104)</f>
        <v>0</v>
      </c>
      <c r="L104" s="49">
        <f>AVERAGE('26.09 Matugga-Kasangati-24h'!L104,'28.09 Matugga-Kasangati-24h'!L104)</f>
        <v>0</v>
      </c>
      <c r="M104" s="49">
        <f>AVERAGE('26.09 Matugga-Kasangati-24h'!M104,'28.09 Matugga-Kasangati-24h'!M104)</f>
        <v>15</v>
      </c>
      <c r="N104" s="49">
        <f>AVERAGE('26.09 Matugga-Kasangati-24h'!N104,'28.09 Matugga-Kasangati-24h'!N104)</f>
        <v>0</v>
      </c>
      <c r="O104" s="116">
        <f t="shared" si="35"/>
        <v>32</v>
      </c>
      <c r="P104" s="116">
        <f t="shared" si="36"/>
        <v>47</v>
      </c>
      <c r="R104" s="109"/>
      <c r="S104" s="109"/>
    </row>
    <row r="105" spans="2:20" s="101" customFormat="1" ht="23.1" customHeight="1" x14ac:dyDescent="0.25">
      <c r="B105" s="123" t="s">
        <v>145</v>
      </c>
      <c r="C105" s="49">
        <f>AVERAGE('26.09 Matugga-Kasangati-24h'!C105,'28.09 Matugga-Kasangati-24h'!C105)</f>
        <v>14</v>
      </c>
      <c r="D105" s="49">
        <f>AVERAGE('26.09 Matugga-Kasangati-24h'!D105,'28.09 Matugga-Kasangati-24h'!D105)</f>
        <v>1.5</v>
      </c>
      <c r="E105" s="49">
        <f>AVERAGE('26.09 Matugga-Kasangati-24h'!E105,'28.09 Matugga-Kasangati-24h'!E105)</f>
        <v>1</v>
      </c>
      <c r="F105" s="49">
        <f>AVERAGE('26.09 Matugga-Kasangati-24h'!F105,'28.09 Matugga-Kasangati-24h'!F105)</f>
        <v>5</v>
      </c>
      <c r="G105" s="49">
        <f>AVERAGE('26.09 Matugga-Kasangati-24h'!G105,'28.09 Matugga-Kasangati-24h'!G105)</f>
        <v>0</v>
      </c>
      <c r="H105" s="49">
        <f>AVERAGE('26.09 Matugga-Kasangati-24h'!H105,'28.09 Matugga-Kasangati-24h'!H105)</f>
        <v>0</v>
      </c>
      <c r="I105" s="49">
        <f>AVERAGE('26.09 Matugga-Kasangati-24h'!I105,'28.09 Matugga-Kasangati-24h'!I105)</f>
        <v>1</v>
      </c>
      <c r="J105" s="49">
        <f>AVERAGE('26.09 Matugga-Kasangati-24h'!J105,'28.09 Matugga-Kasangati-24h'!J105)</f>
        <v>0.5</v>
      </c>
      <c r="K105" s="49">
        <f>AVERAGE('26.09 Matugga-Kasangati-24h'!K105,'28.09 Matugga-Kasangati-24h'!K105)</f>
        <v>0</v>
      </c>
      <c r="L105" s="49">
        <f>AVERAGE('26.09 Matugga-Kasangati-24h'!L105,'28.09 Matugga-Kasangati-24h'!L105)</f>
        <v>0</v>
      </c>
      <c r="M105" s="49">
        <f>AVERAGE('26.09 Matugga-Kasangati-24h'!M105,'28.09 Matugga-Kasangati-24h'!M105)</f>
        <v>26</v>
      </c>
      <c r="N105" s="49">
        <f>AVERAGE('26.09 Matugga-Kasangati-24h'!N105,'28.09 Matugga-Kasangati-24h'!N105)</f>
        <v>0</v>
      </c>
      <c r="O105" s="116">
        <f t="shared" si="35"/>
        <v>23</v>
      </c>
      <c r="P105" s="116">
        <f t="shared" si="36"/>
        <v>49</v>
      </c>
      <c r="R105" s="109"/>
      <c r="S105" s="109"/>
    </row>
    <row r="106" spans="2:20" ht="23.1" customHeight="1" x14ac:dyDescent="0.25">
      <c r="B106" s="126" t="s">
        <v>18</v>
      </c>
      <c r="C106" s="117">
        <f>SUM(C10:C105)</f>
        <v>926.57142857142844</v>
      </c>
      <c r="D106" s="117">
        <f t="shared" ref="D106:P106" si="37">SUM(D10:D105)</f>
        <v>191.42857142857139</v>
      </c>
      <c r="E106" s="117">
        <f t="shared" si="37"/>
        <v>162.35714285714286</v>
      </c>
      <c r="F106" s="117">
        <f t="shared" si="37"/>
        <v>228.49999999999997</v>
      </c>
      <c r="G106" s="117">
        <f t="shared" si="37"/>
        <v>10.214285714285715</v>
      </c>
      <c r="H106" s="117">
        <f t="shared" si="37"/>
        <v>0.71428571428571419</v>
      </c>
      <c r="I106" s="117">
        <f t="shared" si="37"/>
        <v>161.64285714285714</v>
      </c>
      <c r="J106" s="117">
        <f t="shared" si="37"/>
        <v>35.642857142857139</v>
      </c>
      <c r="K106" s="117">
        <f t="shared" si="37"/>
        <v>17.571428571428577</v>
      </c>
      <c r="L106" s="117">
        <f t="shared" si="37"/>
        <v>5.3571428571428559</v>
      </c>
      <c r="M106" s="117">
        <f t="shared" si="37"/>
        <v>2885.8571428571431</v>
      </c>
      <c r="N106" s="117">
        <f t="shared" si="37"/>
        <v>0.42857142857142855</v>
      </c>
      <c r="O106" s="117">
        <f t="shared" si="37"/>
        <v>1740.4285714285716</v>
      </c>
      <c r="P106" s="117">
        <f t="shared" si="37"/>
        <v>4626.2857142857129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0.20028409090909094</v>
      </c>
      <c r="D107" s="43">
        <f t="shared" si="38"/>
        <v>4.1378458498023719E-2</v>
      </c>
      <c r="E107" s="43">
        <f t="shared" si="38"/>
        <v>3.5094491106719382E-2</v>
      </c>
      <c r="F107" s="43">
        <f t="shared" si="38"/>
        <v>4.9391674901185782E-2</v>
      </c>
      <c r="G107" s="43">
        <f t="shared" si="38"/>
        <v>2.2078804347826094E-3</v>
      </c>
      <c r="H107" s="43">
        <f t="shared" si="38"/>
        <v>1.5439723320158106E-4</v>
      </c>
      <c r="I107" s="43">
        <f t="shared" si="38"/>
        <v>3.4940093873517798E-2</v>
      </c>
      <c r="J107" s="43">
        <f t="shared" si="38"/>
        <v>7.7044219367588948E-3</v>
      </c>
      <c r="K107" s="43">
        <f t="shared" si="38"/>
        <v>3.7981719367588956E-3</v>
      </c>
      <c r="L107" s="43">
        <f t="shared" si="38"/>
        <v>1.1579792490118577E-3</v>
      </c>
      <c r="M107" s="43">
        <f t="shared" si="38"/>
        <v>0.62379570158102793</v>
      </c>
      <c r="N107" s="43">
        <f t="shared" si="38"/>
        <v>9.2638339920948637E-5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0.53238118689977831</v>
      </c>
      <c r="D108" s="44">
        <f t="shared" ref="D108:N108" si="39">D106/$O$106</f>
        <v>0.10998932939341703</v>
      </c>
      <c r="E108" s="44">
        <f t="shared" si="39"/>
        <v>9.3285726011655579E-2</v>
      </c>
      <c r="F108" s="44">
        <f t="shared" si="39"/>
        <v>0.13128950176475415</v>
      </c>
      <c r="G108" s="44">
        <f t="shared" si="39"/>
        <v>5.8688336206188952E-3</v>
      </c>
      <c r="H108" s="44">
        <f t="shared" si="39"/>
        <v>4.1040794549782473E-4</v>
      </c>
      <c r="I108" s="44">
        <f t="shared" si="39"/>
        <v>9.2875318066157758E-2</v>
      </c>
      <c r="J108" s="44">
        <f t="shared" si="39"/>
        <v>2.0479356480341455E-2</v>
      </c>
      <c r="K108" s="44">
        <f t="shared" si="39"/>
        <v>1.0096035459246493E-2</v>
      </c>
      <c r="L108" s="44">
        <f t="shared" si="39"/>
        <v>3.0780595912336855E-3</v>
      </c>
      <c r="M108" s="44"/>
      <c r="N108" s="44">
        <f t="shared" si="39"/>
        <v>2.4624476729869486E-4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G34" zoomScale="60" workbookViewId="0">
      <selection activeCell="Z91" sqref="Z9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153" t="s">
        <v>23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</row>
    <row r="2" spans="2:32" ht="20.100000000000001" customHeight="1" x14ac:dyDescent="0.25">
      <c r="B2" s="154" t="s">
        <v>95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</row>
    <row r="3" spans="2:32" ht="20.100000000000001" customHeight="1" x14ac:dyDescent="0.25">
      <c r="B3" s="22" t="s">
        <v>96</v>
      </c>
      <c r="C3" s="155" t="str">
        <f>'29.09 Matugga-Kasangati'!C3:G3</f>
        <v>MCC - C2- STN-68-MATUGA-KASANGATI- ROAD</v>
      </c>
      <c r="D3" s="155"/>
      <c r="E3" s="155"/>
      <c r="F3" s="155"/>
      <c r="G3" s="15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157" t="s">
        <v>163</v>
      </c>
      <c r="E5" s="158"/>
      <c r="F5" s="41" t="s">
        <v>1</v>
      </c>
      <c r="G5" s="150" t="str">
        <f>'Avg Week Matugga-Kasangati'!G5:H5</f>
        <v>Kiiza-besigye road</v>
      </c>
      <c r="H5" s="151"/>
      <c r="I5" s="14"/>
      <c r="J5" s="2" t="s">
        <v>5</v>
      </c>
      <c r="K5" s="150" t="str">
        <f>'Avg Week Matugga-Kasangati'!K5:L5</f>
        <v>Nakiwugwe. Allen</v>
      </c>
      <c r="L5" s="151"/>
      <c r="M5" s="10"/>
      <c r="N5" s="10"/>
      <c r="O5" s="3"/>
      <c r="P5" s="3"/>
    </row>
    <row r="6" spans="2:32" ht="23.25" customHeight="1" x14ac:dyDescent="0.25">
      <c r="C6" s="2" t="s">
        <v>4</v>
      </c>
      <c r="D6" s="159" t="s">
        <v>161</v>
      </c>
      <c r="E6" s="160"/>
      <c r="F6" s="2" t="s">
        <v>2</v>
      </c>
      <c r="G6" s="159" t="s">
        <v>161</v>
      </c>
      <c r="H6" s="160"/>
      <c r="J6" s="2" t="s">
        <v>21</v>
      </c>
      <c r="K6" s="150" t="str">
        <f>'Avg Week Matugga-Kasangati'!K6:L6</f>
        <v>lawrence</v>
      </c>
      <c r="L6" s="15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152" t="s">
        <v>88</v>
      </c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Kaasangati-Matugga'!C10+'Avg Week Matugga-Kasangati'!C10</f>
        <v>34.857142857142861</v>
      </c>
      <c r="D10" s="49">
        <f>'Avg Week Kaasangati-Matugga'!D10+'Avg Week Matugga-Kasangati'!D10</f>
        <v>7</v>
      </c>
      <c r="E10" s="49">
        <f>'Avg Week Kaasangati-Matugga'!E10+'Avg Week Matugga-Kasangati'!E10</f>
        <v>3.7142857142857144</v>
      </c>
      <c r="F10" s="49">
        <f>'Avg Week Kaasangati-Matugga'!F10+'Avg Week Matugga-Kasangati'!F10</f>
        <v>8.5714285714285712</v>
      </c>
      <c r="G10" s="49">
        <f>'Avg Week Kaasangati-Matugga'!G10+'Avg Week Matugga-Kasangati'!G10</f>
        <v>1.1428571428571428</v>
      </c>
      <c r="H10" s="49">
        <f>'Avg Week Kaasangati-Matugga'!H10+'Avg Week Matugga-Kasangati'!H10</f>
        <v>0</v>
      </c>
      <c r="I10" s="49">
        <f>'Avg Week Kaasangati-Matugga'!I10+'Avg Week Matugga-Kasangati'!I10</f>
        <v>3.5714285714285712</v>
      </c>
      <c r="J10" s="49">
        <f>'Avg Week Kaasangati-Matugga'!J10+'Avg Week Matugga-Kasangati'!J10</f>
        <v>0.71428571428571419</v>
      </c>
      <c r="K10" s="49">
        <f>'Avg Week Kaasangati-Matugga'!K10+'Avg Week Matugga-Kasangati'!K10</f>
        <v>0.5714285714285714</v>
      </c>
      <c r="L10" s="49">
        <f>'Avg Week Kaasangati-Matugga'!L10+'Avg Week Matugga-Kasangati'!L10</f>
        <v>0.42857142857142855</v>
      </c>
      <c r="M10" s="49">
        <f>'Avg Week Kaasangati-Matugga'!M10+'Avg Week Matugga-Kasangati'!M10</f>
        <v>88.857142857142861</v>
      </c>
      <c r="N10" s="49">
        <f>'Avg Week Kaasangati-Matugga'!N10+'Avg Week Matugga-Kasangati'!N10</f>
        <v>0</v>
      </c>
      <c r="O10" s="15">
        <f t="shared" ref="O10:O58" si="0">SUM(C10:L10,N10)</f>
        <v>60.571428571428577</v>
      </c>
      <c r="P10" s="15">
        <f t="shared" ref="P10:P58" si="1">SUM(C10:N10)</f>
        <v>149.42857142857144</v>
      </c>
      <c r="R10" s="1" t="s">
        <v>6</v>
      </c>
      <c r="S10" s="17">
        <f t="shared" ref="S10:AF10" si="2">SUM(C10:C13)</f>
        <v>116.57142857142858</v>
      </c>
      <c r="T10" s="17">
        <f t="shared" si="2"/>
        <v>23.428571428571427</v>
      </c>
      <c r="U10" s="17">
        <f t="shared" si="2"/>
        <v>14.285714285714286</v>
      </c>
      <c r="V10" s="17">
        <f t="shared" si="2"/>
        <v>27.857142857142861</v>
      </c>
      <c r="W10" s="17">
        <f t="shared" si="2"/>
        <v>2.2857142857142856</v>
      </c>
      <c r="X10" s="17">
        <f t="shared" si="2"/>
        <v>0</v>
      </c>
      <c r="Y10" s="17">
        <f t="shared" si="2"/>
        <v>12.428571428571429</v>
      </c>
      <c r="Z10" s="17">
        <f t="shared" si="2"/>
        <v>3.5714285714285712</v>
      </c>
      <c r="AA10" s="17">
        <f t="shared" si="2"/>
        <v>1.1428571428571428</v>
      </c>
      <c r="AB10" s="17">
        <f t="shared" si="2"/>
        <v>0.99999999999999989</v>
      </c>
      <c r="AC10" s="17">
        <f t="shared" si="2"/>
        <v>344</v>
      </c>
      <c r="AD10" s="17">
        <f t="shared" si="2"/>
        <v>0</v>
      </c>
      <c r="AE10" s="31">
        <f t="shared" si="2"/>
        <v>202.57142857142861</v>
      </c>
      <c r="AF10" s="31">
        <f t="shared" si="2"/>
        <v>546.57142857142867</v>
      </c>
    </row>
    <row r="11" spans="2:32" s="6" customFormat="1" ht="23.1" customHeight="1" x14ac:dyDescent="0.25">
      <c r="B11" s="23" t="s">
        <v>38</v>
      </c>
      <c r="C11" s="49">
        <f>'Avg Week Kaasangati-Matugga'!C11+'Avg Week Matugga-Kasangati'!C11</f>
        <v>29</v>
      </c>
      <c r="D11" s="49">
        <f>'Avg Week Kaasangati-Matugga'!D11+'Avg Week Matugga-Kasangati'!D11</f>
        <v>4.5714285714285712</v>
      </c>
      <c r="E11" s="49">
        <f>'Avg Week Kaasangati-Matugga'!E11+'Avg Week Matugga-Kasangati'!E11</f>
        <v>3</v>
      </c>
      <c r="F11" s="49">
        <f>'Avg Week Kaasangati-Matugga'!F11+'Avg Week Matugga-Kasangati'!F11</f>
        <v>6.8571428571428577</v>
      </c>
      <c r="G11" s="49">
        <f>'Avg Week Kaasangati-Matugga'!G11+'Avg Week Matugga-Kasangati'!G11</f>
        <v>1</v>
      </c>
      <c r="H11" s="49">
        <f>'Avg Week Kaasangati-Matugga'!H11+'Avg Week Matugga-Kasangati'!H11</f>
        <v>0</v>
      </c>
      <c r="I11" s="49">
        <f>'Avg Week Kaasangati-Matugga'!I11+'Avg Week Matugga-Kasangati'!I11</f>
        <v>3.1428571428571428</v>
      </c>
      <c r="J11" s="49">
        <f>'Avg Week Kaasangati-Matugga'!J11+'Avg Week Matugga-Kasangati'!J11</f>
        <v>1.1428571428571428</v>
      </c>
      <c r="K11" s="49">
        <f>'Avg Week Kaasangati-Matugga'!K11+'Avg Week Matugga-Kasangati'!K11</f>
        <v>0.14285714285714285</v>
      </c>
      <c r="L11" s="49">
        <f>'Avg Week Kaasangati-Matugga'!L11+'Avg Week Matugga-Kasangati'!L11</f>
        <v>0</v>
      </c>
      <c r="M11" s="49">
        <f>'Avg Week Kaasangati-Matugga'!M11+'Avg Week Matugga-Kasangati'!M11</f>
        <v>79.857142857142861</v>
      </c>
      <c r="N11" s="49">
        <f>'Avg Week Kaasangati-Matugga'!N11+'Avg Week Matugga-Kasangati'!N11</f>
        <v>0</v>
      </c>
      <c r="O11" s="15">
        <f t="shared" si="0"/>
        <v>48.857142857142868</v>
      </c>
      <c r="P11" s="15">
        <f t="shared" si="1"/>
        <v>128.71428571428572</v>
      </c>
      <c r="R11" s="1" t="s">
        <v>7</v>
      </c>
      <c r="S11" s="17">
        <f t="shared" ref="S11:AF11" si="3">SUM(C14:C17)</f>
        <v>90.714285714285708</v>
      </c>
      <c r="T11" s="17">
        <f t="shared" si="3"/>
        <v>24</v>
      </c>
      <c r="U11" s="17">
        <f t="shared" si="3"/>
        <v>16.714285714285715</v>
      </c>
      <c r="V11" s="17">
        <f t="shared" si="3"/>
        <v>21.571428571428569</v>
      </c>
      <c r="W11" s="17">
        <f t="shared" si="3"/>
        <v>0.99999999999999989</v>
      </c>
      <c r="X11" s="17">
        <f t="shared" si="3"/>
        <v>0</v>
      </c>
      <c r="Y11" s="17">
        <f t="shared" si="3"/>
        <v>14.857142857142854</v>
      </c>
      <c r="Z11" s="17">
        <f t="shared" si="3"/>
        <v>3</v>
      </c>
      <c r="AA11" s="17">
        <f t="shared" si="3"/>
        <v>1.4285714285714284</v>
      </c>
      <c r="AB11" s="17">
        <f t="shared" si="3"/>
        <v>0.42857142857142855</v>
      </c>
      <c r="AC11" s="17">
        <f t="shared" si="3"/>
        <v>382.57142857142856</v>
      </c>
      <c r="AD11" s="17">
        <f t="shared" si="3"/>
        <v>0.14285714285714285</v>
      </c>
      <c r="AE11" s="31">
        <f t="shared" si="3"/>
        <v>173.85714285714289</v>
      </c>
      <c r="AF11" s="31">
        <f t="shared" si="3"/>
        <v>556.42857142857144</v>
      </c>
    </row>
    <row r="12" spans="2:32" ht="23.1" customHeight="1" x14ac:dyDescent="0.25">
      <c r="B12" s="23" t="s">
        <v>39</v>
      </c>
      <c r="C12" s="49">
        <f>'Avg Week Kaasangati-Matugga'!C12+'Avg Week Matugga-Kasangati'!C12</f>
        <v>30</v>
      </c>
      <c r="D12" s="49">
        <f>'Avg Week Kaasangati-Matugga'!D12+'Avg Week Matugga-Kasangati'!D12</f>
        <v>5.8571428571428568</v>
      </c>
      <c r="E12" s="49">
        <f>'Avg Week Kaasangati-Matugga'!E12+'Avg Week Matugga-Kasangati'!E12</f>
        <v>3.1428571428571432</v>
      </c>
      <c r="F12" s="49">
        <f>'Avg Week Kaasangati-Matugga'!F12+'Avg Week Matugga-Kasangati'!F12</f>
        <v>7.1428571428571432</v>
      </c>
      <c r="G12" s="49">
        <f>'Avg Week Kaasangati-Matugga'!G12+'Avg Week Matugga-Kasangati'!G12</f>
        <v>0.14285714285714285</v>
      </c>
      <c r="H12" s="49">
        <f>'Avg Week Kaasangati-Matugga'!H12+'Avg Week Matugga-Kasangati'!H12</f>
        <v>0</v>
      </c>
      <c r="I12" s="49">
        <f>'Avg Week Kaasangati-Matugga'!I12+'Avg Week Matugga-Kasangati'!I12</f>
        <v>2.8571428571428572</v>
      </c>
      <c r="J12" s="49">
        <f>'Avg Week Kaasangati-Matugga'!J12+'Avg Week Matugga-Kasangati'!J12</f>
        <v>0.5714285714285714</v>
      </c>
      <c r="K12" s="49">
        <f>'Avg Week Kaasangati-Matugga'!K12+'Avg Week Matugga-Kasangati'!K12</f>
        <v>0.42857142857142855</v>
      </c>
      <c r="L12" s="49">
        <f>'Avg Week Kaasangati-Matugga'!L12+'Avg Week Matugga-Kasangati'!L12</f>
        <v>0.2857142857142857</v>
      </c>
      <c r="M12" s="49">
        <f>'Avg Week Kaasangati-Matugga'!M12+'Avg Week Matugga-Kasangati'!M12</f>
        <v>85.714285714285722</v>
      </c>
      <c r="N12" s="49">
        <f>'Avg Week Kaasangati-Matugga'!N12+'Avg Week Matugga-Kasangati'!N12</f>
        <v>0</v>
      </c>
      <c r="O12" s="15">
        <f t="shared" si="0"/>
        <v>50.428571428571431</v>
      </c>
      <c r="P12" s="15">
        <f t="shared" si="1"/>
        <v>136.14285714285717</v>
      </c>
      <c r="R12" s="1" t="s">
        <v>8</v>
      </c>
      <c r="S12" s="17">
        <f t="shared" ref="S12:AF12" si="4">SUM(C18:C21)</f>
        <v>81.857142857142861</v>
      </c>
      <c r="T12" s="17">
        <f t="shared" si="4"/>
        <v>27</v>
      </c>
      <c r="U12" s="17">
        <f t="shared" si="4"/>
        <v>17.285714285714285</v>
      </c>
      <c r="V12" s="17">
        <f t="shared" si="4"/>
        <v>21.571428571428569</v>
      </c>
      <c r="W12" s="17">
        <f t="shared" si="4"/>
        <v>0.85714285714285698</v>
      </c>
      <c r="X12" s="17">
        <f t="shared" si="4"/>
        <v>0.42857142857142855</v>
      </c>
      <c r="Y12" s="17">
        <f t="shared" si="4"/>
        <v>18.857142857142858</v>
      </c>
      <c r="Z12" s="17">
        <f t="shared" si="4"/>
        <v>3.714285714285714</v>
      </c>
      <c r="AA12" s="17">
        <f t="shared" si="4"/>
        <v>1</v>
      </c>
      <c r="AB12" s="17">
        <f t="shared" si="4"/>
        <v>0.5714285714285714</v>
      </c>
      <c r="AC12" s="17">
        <f t="shared" si="4"/>
        <v>356.28571428571428</v>
      </c>
      <c r="AD12" s="17">
        <f t="shared" si="4"/>
        <v>0</v>
      </c>
      <c r="AE12" s="31">
        <f t="shared" si="4"/>
        <v>173.14285714285714</v>
      </c>
      <c r="AF12" s="31">
        <f t="shared" si="4"/>
        <v>529.42857142857144</v>
      </c>
    </row>
    <row r="13" spans="2:32" ht="23.1" customHeight="1" x14ac:dyDescent="0.25">
      <c r="B13" s="23" t="s">
        <v>40</v>
      </c>
      <c r="C13" s="49">
        <f>'Avg Week Kaasangati-Matugga'!C13+'Avg Week Matugga-Kasangati'!C13</f>
        <v>22.714285714285715</v>
      </c>
      <c r="D13" s="49">
        <f>'Avg Week Kaasangati-Matugga'!D13+'Avg Week Matugga-Kasangati'!D13</f>
        <v>6</v>
      </c>
      <c r="E13" s="49">
        <f>'Avg Week Kaasangati-Matugga'!E13+'Avg Week Matugga-Kasangati'!E13</f>
        <v>4.4285714285714288</v>
      </c>
      <c r="F13" s="49">
        <f>'Avg Week Kaasangati-Matugga'!F13+'Avg Week Matugga-Kasangati'!F13</f>
        <v>5.2857142857142865</v>
      </c>
      <c r="G13" s="49">
        <f>'Avg Week Kaasangati-Matugga'!G13+'Avg Week Matugga-Kasangati'!G13</f>
        <v>0</v>
      </c>
      <c r="H13" s="49">
        <f>'Avg Week Kaasangati-Matugga'!H13+'Avg Week Matugga-Kasangati'!H13</f>
        <v>0</v>
      </c>
      <c r="I13" s="49">
        <f>'Avg Week Kaasangati-Matugga'!I13+'Avg Week Matugga-Kasangati'!I13</f>
        <v>2.8571428571428572</v>
      </c>
      <c r="J13" s="49">
        <f>'Avg Week Kaasangati-Matugga'!J13+'Avg Week Matugga-Kasangati'!J13</f>
        <v>1.1428571428571428</v>
      </c>
      <c r="K13" s="49">
        <f>'Avg Week Kaasangati-Matugga'!K13+'Avg Week Matugga-Kasangati'!K13</f>
        <v>0</v>
      </c>
      <c r="L13" s="49">
        <f>'Avg Week Kaasangati-Matugga'!L13+'Avg Week Matugga-Kasangati'!L13</f>
        <v>0.2857142857142857</v>
      </c>
      <c r="M13" s="49">
        <f>'Avg Week Kaasangati-Matugga'!M13+'Avg Week Matugga-Kasangati'!M13</f>
        <v>89.571428571428569</v>
      </c>
      <c r="N13" s="49">
        <f>'Avg Week Kaasangati-Matugga'!N13+'Avg Week Matugga-Kasangati'!N13</f>
        <v>0</v>
      </c>
      <c r="O13" s="15">
        <f t="shared" si="0"/>
        <v>42.714285714285715</v>
      </c>
      <c r="P13" s="15">
        <f t="shared" si="1"/>
        <v>132.28571428571428</v>
      </c>
      <c r="R13" s="1" t="s">
        <v>9</v>
      </c>
      <c r="S13" s="17">
        <f t="shared" ref="S13:AF13" si="5">SUM(C22:C25)</f>
        <v>83</v>
      </c>
      <c r="T13" s="17">
        <f t="shared" si="5"/>
        <v>26.428571428571431</v>
      </c>
      <c r="U13" s="17">
        <f t="shared" si="5"/>
        <v>16.285714285714285</v>
      </c>
      <c r="V13" s="17">
        <f t="shared" si="5"/>
        <v>14.571428571428573</v>
      </c>
      <c r="W13" s="17">
        <f t="shared" si="5"/>
        <v>0.5714285714285714</v>
      </c>
      <c r="X13" s="17">
        <f t="shared" si="5"/>
        <v>0.2857142857142857</v>
      </c>
      <c r="Y13" s="17">
        <f t="shared" si="5"/>
        <v>23.285714285714285</v>
      </c>
      <c r="Z13" s="17">
        <f t="shared" si="5"/>
        <v>6.8571428571428568</v>
      </c>
      <c r="AA13" s="17">
        <f t="shared" si="5"/>
        <v>0.71428571428571419</v>
      </c>
      <c r="AB13" s="17">
        <f t="shared" si="5"/>
        <v>0.71428571428571419</v>
      </c>
      <c r="AC13" s="17">
        <f t="shared" si="5"/>
        <v>311.71428571428572</v>
      </c>
      <c r="AD13" s="17">
        <f t="shared" si="5"/>
        <v>0.14285714285714285</v>
      </c>
      <c r="AE13" s="31">
        <f t="shared" si="5"/>
        <v>172.85714285714286</v>
      </c>
      <c r="AF13" s="31">
        <f t="shared" si="5"/>
        <v>484.57142857142856</v>
      </c>
    </row>
    <row r="14" spans="2:32" ht="23.1" customHeight="1" x14ac:dyDescent="0.25">
      <c r="B14" s="23" t="s">
        <v>41</v>
      </c>
      <c r="C14" s="49">
        <f>'Avg Week Kaasangati-Matugga'!C14+'Avg Week Matugga-Kasangati'!C14</f>
        <v>27.857142857142858</v>
      </c>
      <c r="D14" s="49">
        <f>'Avg Week Kaasangati-Matugga'!D14+'Avg Week Matugga-Kasangati'!D14</f>
        <v>6.2857142857142856</v>
      </c>
      <c r="E14" s="49">
        <f>'Avg Week Kaasangati-Matugga'!E14+'Avg Week Matugga-Kasangati'!E14</f>
        <v>5</v>
      </c>
      <c r="F14" s="49">
        <f>'Avg Week Kaasangati-Matugga'!F14+'Avg Week Matugga-Kasangati'!F14</f>
        <v>5.5714285714285712</v>
      </c>
      <c r="G14" s="49">
        <f>'Avg Week Kaasangati-Matugga'!G14+'Avg Week Matugga-Kasangati'!G14</f>
        <v>0</v>
      </c>
      <c r="H14" s="49">
        <f>'Avg Week Kaasangati-Matugga'!H14+'Avg Week Matugga-Kasangati'!H14</f>
        <v>0</v>
      </c>
      <c r="I14" s="49">
        <f>'Avg Week Kaasangati-Matugga'!I14+'Avg Week Matugga-Kasangati'!I14</f>
        <v>2.1428571428571428</v>
      </c>
      <c r="J14" s="49">
        <f>'Avg Week Kaasangati-Matugga'!J14+'Avg Week Matugga-Kasangati'!J14</f>
        <v>0.42857142857142855</v>
      </c>
      <c r="K14" s="49">
        <f>'Avg Week Kaasangati-Matugga'!K14+'Avg Week Matugga-Kasangati'!K14</f>
        <v>0.42857142857142855</v>
      </c>
      <c r="L14" s="49">
        <f>'Avg Week Kaasangati-Matugga'!L14+'Avg Week Matugga-Kasangati'!L14</f>
        <v>0.14285714285714285</v>
      </c>
      <c r="M14" s="49">
        <f>'Avg Week Kaasangati-Matugga'!M14+'Avg Week Matugga-Kasangati'!M14</f>
        <v>94.857142857142861</v>
      </c>
      <c r="N14" s="49">
        <f>'Avg Week Kaasangati-Matugga'!N14+'Avg Week Matugga-Kasangati'!N14</f>
        <v>0</v>
      </c>
      <c r="O14" s="15">
        <f t="shared" si="0"/>
        <v>47.857142857142868</v>
      </c>
      <c r="P14" s="15">
        <f t="shared" si="1"/>
        <v>142.71428571428572</v>
      </c>
      <c r="R14" s="1" t="s">
        <v>10</v>
      </c>
      <c r="S14" s="17">
        <f t="shared" ref="S14:AF14" si="6">SUM(C26:C29)</f>
        <v>87.714285714285708</v>
      </c>
      <c r="T14" s="17">
        <f t="shared" si="6"/>
        <v>28.714285714285715</v>
      </c>
      <c r="U14" s="17">
        <f t="shared" si="6"/>
        <v>20.142857142857142</v>
      </c>
      <c r="V14" s="17">
        <f t="shared" si="6"/>
        <v>18.571428571428573</v>
      </c>
      <c r="W14" s="17">
        <f t="shared" si="6"/>
        <v>0.99999999999999989</v>
      </c>
      <c r="X14" s="17">
        <f t="shared" si="6"/>
        <v>0</v>
      </c>
      <c r="Y14" s="17">
        <f t="shared" si="6"/>
        <v>18.571428571428573</v>
      </c>
      <c r="Z14" s="17">
        <f t="shared" si="6"/>
        <v>6.1428571428571423</v>
      </c>
      <c r="AA14" s="17">
        <f t="shared" si="6"/>
        <v>3</v>
      </c>
      <c r="AB14" s="17">
        <f t="shared" si="6"/>
        <v>1.5714285714285712</v>
      </c>
      <c r="AC14" s="17">
        <f t="shared" si="6"/>
        <v>311</v>
      </c>
      <c r="AD14" s="17">
        <f t="shared" si="6"/>
        <v>8</v>
      </c>
      <c r="AE14" s="31">
        <f t="shared" si="6"/>
        <v>193.42857142857144</v>
      </c>
      <c r="AF14" s="31">
        <f t="shared" si="6"/>
        <v>504.42857142857139</v>
      </c>
    </row>
    <row r="15" spans="2:32" ht="23.1" customHeight="1" x14ac:dyDescent="0.25">
      <c r="B15" s="23" t="s">
        <v>42</v>
      </c>
      <c r="C15" s="49">
        <f>'Avg Week Kaasangati-Matugga'!C15+'Avg Week Matugga-Kasangati'!C15</f>
        <v>21.714285714285715</v>
      </c>
      <c r="D15" s="49">
        <f>'Avg Week Kaasangati-Matugga'!D15+'Avg Week Matugga-Kasangati'!D15</f>
        <v>5</v>
      </c>
      <c r="E15" s="49">
        <f>'Avg Week Kaasangati-Matugga'!E15+'Avg Week Matugga-Kasangati'!E15</f>
        <v>3.7142857142857144</v>
      </c>
      <c r="F15" s="49">
        <f>'Avg Week Kaasangati-Matugga'!F15+'Avg Week Matugga-Kasangati'!F15</f>
        <v>5.5714285714285712</v>
      </c>
      <c r="G15" s="49">
        <f>'Avg Week Kaasangati-Matugga'!G15+'Avg Week Matugga-Kasangati'!G15</f>
        <v>0.2857142857142857</v>
      </c>
      <c r="H15" s="49">
        <f>'Avg Week Kaasangati-Matugga'!H15+'Avg Week Matugga-Kasangati'!H15</f>
        <v>0</v>
      </c>
      <c r="I15" s="49">
        <f>'Avg Week Kaasangati-Matugga'!I15+'Avg Week Matugga-Kasangati'!I15</f>
        <v>3.5714285714285712</v>
      </c>
      <c r="J15" s="49">
        <f>'Avg Week Kaasangati-Matugga'!J15+'Avg Week Matugga-Kasangati'!J15</f>
        <v>0.8571428571428571</v>
      </c>
      <c r="K15" s="49">
        <f>'Avg Week Kaasangati-Matugga'!K15+'Avg Week Matugga-Kasangati'!K15</f>
        <v>0.8571428571428571</v>
      </c>
      <c r="L15" s="49">
        <f>'Avg Week Kaasangati-Matugga'!L15+'Avg Week Matugga-Kasangati'!L15</f>
        <v>0.2857142857142857</v>
      </c>
      <c r="M15" s="49">
        <f>'Avg Week Kaasangati-Matugga'!M15+'Avg Week Matugga-Kasangati'!M15</f>
        <v>98.142857142857139</v>
      </c>
      <c r="N15" s="49">
        <f>'Avg Week Kaasangati-Matugga'!N15+'Avg Week Matugga-Kasangati'!N15</f>
        <v>0</v>
      </c>
      <c r="O15" s="15">
        <f t="shared" si="0"/>
        <v>41.857142857142847</v>
      </c>
      <c r="P15" s="15">
        <f t="shared" si="1"/>
        <v>140</v>
      </c>
      <c r="R15" s="1" t="s">
        <v>11</v>
      </c>
      <c r="S15" s="17">
        <f t="shared" ref="S15:AF15" si="7">SUM(C30:C33)</f>
        <v>77.857142857142861</v>
      </c>
      <c r="T15" s="17">
        <f t="shared" si="7"/>
        <v>21</v>
      </c>
      <c r="U15" s="17">
        <f t="shared" si="7"/>
        <v>18.428571428571431</v>
      </c>
      <c r="V15" s="17">
        <f t="shared" si="7"/>
        <v>17</v>
      </c>
      <c r="W15" s="17">
        <f t="shared" si="7"/>
        <v>0.99999999999999978</v>
      </c>
      <c r="X15" s="17">
        <f t="shared" si="7"/>
        <v>0</v>
      </c>
      <c r="Y15" s="17">
        <f t="shared" si="7"/>
        <v>24</v>
      </c>
      <c r="Z15" s="17">
        <f t="shared" si="7"/>
        <v>6.4285714285714279</v>
      </c>
      <c r="AA15" s="17">
        <f t="shared" si="7"/>
        <v>2.8571428571428572</v>
      </c>
      <c r="AB15" s="17">
        <f t="shared" si="7"/>
        <v>0.71428571428571419</v>
      </c>
      <c r="AC15" s="17">
        <f t="shared" si="7"/>
        <v>295</v>
      </c>
      <c r="AD15" s="17">
        <f t="shared" si="7"/>
        <v>0</v>
      </c>
      <c r="AE15" s="31">
        <f t="shared" si="7"/>
        <v>169.28571428571428</v>
      </c>
      <c r="AF15" s="31">
        <f t="shared" si="7"/>
        <v>464.28571428571433</v>
      </c>
    </row>
    <row r="16" spans="2:32" ht="23.1" customHeight="1" x14ac:dyDescent="0.25">
      <c r="B16" s="23" t="s">
        <v>43</v>
      </c>
      <c r="C16" s="49">
        <f>'Avg Week Kaasangati-Matugga'!C16+'Avg Week Matugga-Kasangati'!C16</f>
        <v>18.714285714285715</v>
      </c>
      <c r="D16" s="49">
        <f>'Avg Week Kaasangati-Matugga'!D16+'Avg Week Matugga-Kasangati'!D16</f>
        <v>5.8571428571428568</v>
      </c>
      <c r="E16" s="49">
        <f>'Avg Week Kaasangati-Matugga'!E16+'Avg Week Matugga-Kasangati'!E16</f>
        <v>4</v>
      </c>
      <c r="F16" s="49">
        <f>'Avg Week Kaasangati-Matugga'!F16+'Avg Week Matugga-Kasangati'!F16</f>
        <v>5.8571428571428577</v>
      </c>
      <c r="G16" s="49">
        <f>'Avg Week Kaasangati-Matugga'!G16+'Avg Week Matugga-Kasangati'!G16</f>
        <v>0.42857142857142855</v>
      </c>
      <c r="H16" s="49">
        <f>'Avg Week Kaasangati-Matugga'!H16+'Avg Week Matugga-Kasangati'!H16</f>
        <v>0</v>
      </c>
      <c r="I16" s="49">
        <f>'Avg Week Kaasangati-Matugga'!I16+'Avg Week Matugga-Kasangati'!I16</f>
        <v>3.8571428571428568</v>
      </c>
      <c r="J16" s="49">
        <f>'Avg Week Kaasangati-Matugga'!J16+'Avg Week Matugga-Kasangati'!J16</f>
        <v>0.71428571428571419</v>
      </c>
      <c r="K16" s="49">
        <f>'Avg Week Kaasangati-Matugga'!K16+'Avg Week Matugga-Kasangati'!K16</f>
        <v>0</v>
      </c>
      <c r="L16" s="49">
        <f>'Avg Week Kaasangati-Matugga'!L16+'Avg Week Matugga-Kasangati'!L16</f>
        <v>0</v>
      </c>
      <c r="M16" s="49">
        <f>'Avg Week Kaasangati-Matugga'!M16+'Avg Week Matugga-Kasangati'!M16</f>
        <v>98.571428571428569</v>
      </c>
      <c r="N16" s="49">
        <f>'Avg Week Kaasangati-Matugga'!N16+'Avg Week Matugga-Kasangati'!N16</f>
        <v>0.14285714285714285</v>
      </c>
      <c r="O16" s="15">
        <f t="shared" si="0"/>
        <v>39.571428571428577</v>
      </c>
      <c r="P16" s="15">
        <f t="shared" si="1"/>
        <v>138.14285714285714</v>
      </c>
      <c r="R16" s="1" t="s">
        <v>12</v>
      </c>
      <c r="S16" s="17">
        <f t="shared" ref="S16:AF16" si="8">SUM(C34:C37)</f>
        <v>80</v>
      </c>
      <c r="T16" s="17">
        <f t="shared" si="8"/>
        <v>25.571428571428573</v>
      </c>
      <c r="U16" s="17">
        <f t="shared" si="8"/>
        <v>17.428571428571431</v>
      </c>
      <c r="V16" s="17">
        <f t="shared" si="8"/>
        <v>18.857142857142858</v>
      </c>
      <c r="W16" s="17">
        <f t="shared" si="8"/>
        <v>0.5714285714285714</v>
      </c>
      <c r="X16" s="17">
        <f t="shared" si="8"/>
        <v>0</v>
      </c>
      <c r="Y16" s="17">
        <f t="shared" si="8"/>
        <v>20.571428571428569</v>
      </c>
      <c r="Z16" s="17">
        <f t="shared" si="8"/>
        <v>4.1428571428571423</v>
      </c>
      <c r="AA16" s="17">
        <f t="shared" si="8"/>
        <v>2.5714285714285712</v>
      </c>
      <c r="AB16" s="17">
        <f t="shared" si="8"/>
        <v>0.14285714285714285</v>
      </c>
      <c r="AC16" s="17">
        <f t="shared" si="8"/>
        <v>261.57142857142856</v>
      </c>
      <c r="AD16" s="17">
        <f t="shared" si="8"/>
        <v>0</v>
      </c>
      <c r="AE16" s="31">
        <f t="shared" si="8"/>
        <v>169.85714285714286</v>
      </c>
      <c r="AF16" s="31">
        <f t="shared" si="8"/>
        <v>431.42857142857144</v>
      </c>
    </row>
    <row r="17" spans="2:32" ht="23.1" customHeight="1" x14ac:dyDescent="0.25">
      <c r="B17" s="23" t="s">
        <v>44</v>
      </c>
      <c r="C17" s="49">
        <f>'Avg Week Kaasangati-Matugga'!C17+'Avg Week Matugga-Kasangati'!C17</f>
        <v>22.428571428571427</v>
      </c>
      <c r="D17" s="49">
        <f>'Avg Week Kaasangati-Matugga'!D17+'Avg Week Matugga-Kasangati'!D17</f>
        <v>6.8571428571428568</v>
      </c>
      <c r="E17" s="49">
        <f>'Avg Week Kaasangati-Matugga'!E17+'Avg Week Matugga-Kasangati'!E17</f>
        <v>4</v>
      </c>
      <c r="F17" s="49">
        <f>'Avg Week Kaasangati-Matugga'!F17+'Avg Week Matugga-Kasangati'!F17</f>
        <v>4.5714285714285712</v>
      </c>
      <c r="G17" s="49">
        <f>'Avg Week Kaasangati-Matugga'!G17+'Avg Week Matugga-Kasangati'!G17</f>
        <v>0.2857142857142857</v>
      </c>
      <c r="H17" s="49">
        <f>'Avg Week Kaasangati-Matugga'!H17+'Avg Week Matugga-Kasangati'!H17</f>
        <v>0</v>
      </c>
      <c r="I17" s="49">
        <f>'Avg Week Kaasangati-Matugga'!I17+'Avg Week Matugga-Kasangati'!I17</f>
        <v>5.2857142857142856</v>
      </c>
      <c r="J17" s="49">
        <f>'Avg Week Kaasangati-Matugga'!J17+'Avg Week Matugga-Kasangati'!J17</f>
        <v>1</v>
      </c>
      <c r="K17" s="49">
        <f>'Avg Week Kaasangati-Matugga'!K17+'Avg Week Matugga-Kasangati'!K17</f>
        <v>0.14285714285714285</v>
      </c>
      <c r="L17" s="49">
        <f>'Avg Week Kaasangati-Matugga'!L17+'Avg Week Matugga-Kasangati'!L17</f>
        <v>0</v>
      </c>
      <c r="M17" s="49">
        <f>'Avg Week Kaasangati-Matugga'!M17+'Avg Week Matugga-Kasangati'!M17</f>
        <v>91</v>
      </c>
      <c r="N17" s="49">
        <f>'Avg Week Kaasangati-Matugga'!N17+'Avg Week Matugga-Kasangati'!N17</f>
        <v>0</v>
      </c>
      <c r="O17" s="15">
        <f t="shared" si="0"/>
        <v>44.571428571428569</v>
      </c>
      <c r="P17" s="15">
        <f t="shared" si="1"/>
        <v>135.57142857142856</v>
      </c>
      <c r="R17" s="1" t="s">
        <v>13</v>
      </c>
      <c r="S17" s="17">
        <f t="shared" ref="S17:AF17" si="9">SUM(C38:C41)</f>
        <v>74.142857142857139</v>
      </c>
      <c r="T17" s="17">
        <f t="shared" si="9"/>
        <v>22.857142857142854</v>
      </c>
      <c r="U17" s="17">
        <f t="shared" si="9"/>
        <v>16.285714285714285</v>
      </c>
      <c r="V17" s="17">
        <f t="shared" si="9"/>
        <v>17.714285714285715</v>
      </c>
      <c r="W17" s="17">
        <f t="shared" si="9"/>
        <v>0.14285714285714285</v>
      </c>
      <c r="X17" s="17">
        <f t="shared" si="9"/>
        <v>0</v>
      </c>
      <c r="Y17" s="17">
        <f t="shared" si="9"/>
        <v>19.142857142857142</v>
      </c>
      <c r="Z17" s="17">
        <f t="shared" si="9"/>
        <v>4.2857142857142856</v>
      </c>
      <c r="AA17" s="17">
        <f t="shared" si="9"/>
        <v>1.5714285714285714</v>
      </c>
      <c r="AB17" s="17">
        <f t="shared" si="9"/>
        <v>0.5714285714285714</v>
      </c>
      <c r="AC17" s="17">
        <f t="shared" si="9"/>
        <v>242.57142857142861</v>
      </c>
      <c r="AD17" s="17">
        <f t="shared" si="9"/>
        <v>0</v>
      </c>
      <c r="AE17" s="31">
        <f t="shared" si="9"/>
        <v>156.71428571428572</v>
      </c>
      <c r="AF17" s="31">
        <f t="shared" si="9"/>
        <v>399.28571428571433</v>
      </c>
    </row>
    <row r="18" spans="2:32" ht="23.1" customHeight="1" x14ac:dyDescent="0.25">
      <c r="B18" s="23" t="s">
        <v>45</v>
      </c>
      <c r="C18" s="49">
        <f>'Avg Week Kaasangati-Matugga'!C18+'Avg Week Matugga-Kasangati'!C18</f>
        <v>23.285714285714285</v>
      </c>
      <c r="D18" s="49">
        <f>'Avg Week Kaasangati-Matugga'!D18+'Avg Week Matugga-Kasangati'!D18</f>
        <v>8</v>
      </c>
      <c r="E18" s="49">
        <f>'Avg Week Kaasangati-Matugga'!E18+'Avg Week Matugga-Kasangati'!E18</f>
        <v>1.7142857142857142</v>
      </c>
      <c r="F18" s="49">
        <f>'Avg Week Kaasangati-Matugga'!F18+'Avg Week Matugga-Kasangati'!F18</f>
        <v>6.5714285714285712</v>
      </c>
      <c r="G18" s="49">
        <f>'Avg Week Kaasangati-Matugga'!G18+'Avg Week Matugga-Kasangati'!G18</f>
        <v>0.14285714285714285</v>
      </c>
      <c r="H18" s="49">
        <f>'Avg Week Kaasangati-Matugga'!H18+'Avg Week Matugga-Kasangati'!H18</f>
        <v>0</v>
      </c>
      <c r="I18" s="49">
        <f>'Avg Week Kaasangati-Matugga'!I18+'Avg Week Matugga-Kasangati'!I18</f>
        <v>3.8571428571428572</v>
      </c>
      <c r="J18" s="49">
        <f>'Avg Week Kaasangati-Matugga'!J18+'Avg Week Matugga-Kasangati'!J18</f>
        <v>0.2857142857142857</v>
      </c>
      <c r="K18" s="49">
        <f>'Avg Week Kaasangati-Matugga'!K18+'Avg Week Matugga-Kasangati'!K18</f>
        <v>0.2857142857142857</v>
      </c>
      <c r="L18" s="49">
        <f>'Avg Week Kaasangati-Matugga'!L18+'Avg Week Matugga-Kasangati'!L18</f>
        <v>0.2857142857142857</v>
      </c>
      <c r="M18" s="49">
        <f>'Avg Week Kaasangati-Matugga'!M18+'Avg Week Matugga-Kasangati'!M18</f>
        <v>88.571428571428569</v>
      </c>
      <c r="N18" s="49">
        <f>'Avg Week Kaasangati-Matugga'!N18+'Avg Week Matugga-Kasangati'!N18</f>
        <v>0</v>
      </c>
      <c r="O18" s="15">
        <f t="shared" si="0"/>
        <v>44.428571428571423</v>
      </c>
      <c r="P18" s="15">
        <f t="shared" si="1"/>
        <v>133</v>
      </c>
      <c r="R18" s="1" t="s">
        <v>14</v>
      </c>
      <c r="S18" s="17">
        <f t="shared" ref="S18:AF18" si="10">SUM(C42:C45)</f>
        <v>85.142857142857139</v>
      </c>
      <c r="T18" s="17">
        <f t="shared" si="10"/>
        <v>22</v>
      </c>
      <c r="U18" s="17">
        <f t="shared" si="10"/>
        <v>16.714285714285715</v>
      </c>
      <c r="V18" s="17">
        <f t="shared" si="10"/>
        <v>19.142857142857142</v>
      </c>
      <c r="W18" s="17">
        <f t="shared" si="10"/>
        <v>0.14285714285714285</v>
      </c>
      <c r="X18" s="17">
        <f t="shared" si="10"/>
        <v>0.2857142857142857</v>
      </c>
      <c r="Y18" s="17">
        <f t="shared" si="10"/>
        <v>22.142857142857142</v>
      </c>
      <c r="Z18" s="17">
        <f t="shared" si="10"/>
        <v>4.2857142857142856</v>
      </c>
      <c r="AA18" s="17">
        <f t="shared" si="10"/>
        <v>0.71428571428571419</v>
      </c>
      <c r="AB18" s="17">
        <f t="shared" si="10"/>
        <v>0.2857142857142857</v>
      </c>
      <c r="AC18" s="17">
        <f t="shared" si="10"/>
        <v>280.28571428571428</v>
      </c>
      <c r="AD18" s="17">
        <f t="shared" si="10"/>
        <v>0</v>
      </c>
      <c r="AE18" s="31">
        <f t="shared" si="10"/>
        <v>170.85714285714289</v>
      </c>
      <c r="AF18" s="31">
        <f t="shared" si="10"/>
        <v>451.14285714285722</v>
      </c>
    </row>
    <row r="19" spans="2:32" ht="23.1" customHeight="1" x14ac:dyDescent="0.25">
      <c r="B19" s="23" t="s">
        <v>46</v>
      </c>
      <c r="C19" s="49">
        <f>'Avg Week Kaasangati-Matugga'!C19+'Avg Week Matugga-Kasangati'!C19</f>
        <v>21.714285714285715</v>
      </c>
      <c r="D19" s="49">
        <f>'Avg Week Kaasangati-Matugga'!D19+'Avg Week Matugga-Kasangati'!D19</f>
        <v>7.4285714285714288</v>
      </c>
      <c r="E19" s="49">
        <f>'Avg Week Kaasangati-Matugga'!E19+'Avg Week Matugga-Kasangati'!E19</f>
        <v>6.4285714285714288</v>
      </c>
      <c r="F19" s="49">
        <f>'Avg Week Kaasangati-Matugga'!F19+'Avg Week Matugga-Kasangati'!F19</f>
        <v>4.5714285714285712</v>
      </c>
      <c r="G19" s="49">
        <f>'Avg Week Kaasangati-Matugga'!G19+'Avg Week Matugga-Kasangati'!G19</f>
        <v>0.5714285714285714</v>
      </c>
      <c r="H19" s="49">
        <f>'Avg Week Kaasangati-Matugga'!H19+'Avg Week Matugga-Kasangati'!H19</f>
        <v>0.2857142857142857</v>
      </c>
      <c r="I19" s="49">
        <f>'Avg Week Kaasangati-Matugga'!I19+'Avg Week Matugga-Kasangati'!I19</f>
        <v>5.4285714285714288</v>
      </c>
      <c r="J19" s="49">
        <f>'Avg Week Kaasangati-Matugga'!J19+'Avg Week Matugga-Kasangati'!J19</f>
        <v>1.2857142857142856</v>
      </c>
      <c r="K19" s="49">
        <f>'Avg Week Kaasangati-Matugga'!K19+'Avg Week Matugga-Kasangati'!K19</f>
        <v>0</v>
      </c>
      <c r="L19" s="49">
        <f>'Avg Week Kaasangati-Matugga'!L19+'Avg Week Matugga-Kasangati'!L19</f>
        <v>0</v>
      </c>
      <c r="M19" s="49">
        <f>'Avg Week Kaasangati-Matugga'!M19+'Avg Week Matugga-Kasangati'!M19</f>
        <v>97.142857142857139</v>
      </c>
      <c r="N19" s="49">
        <f>'Avg Week Kaasangati-Matugga'!N19+'Avg Week Matugga-Kasangati'!N19</f>
        <v>0</v>
      </c>
      <c r="O19" s="15">
        <f t="shared" si="0"/>
        <v>47.714285714285715</v>
      </c>
      <c r="P19" s="15">
        <f t="shared" si="1"/>
        <v>144.85714285714286</v>
      </c>
      <c r="R19" s="1" t="s">
        <v>15</v>
      </c>
      <c r="S19" s="17">
        <f t="shared" ref="S19:AF19" si="11">SUM(C46:C49)</f>
        <v>106.28571428571429</v>
      </c>
      <c r="T19" s="17">
        <f t="shared" si="11"/>
        <v>30.428571428571431</v>
      </c>
      <c r="U19" s="17">
        <f t="shared" si="11"/>
        <v>18.142857142857142</v>
      </c>
      <c r="V19" s="17">
        <f t="shared" si="11"/>
        <v>24.857142857142858</v>
      </c>
      <c r="W19" s="17">
        <f t="shared" si="11"/>
        <v>1.4285714285714284</v>
      </c>
      <c r="X19" s="17">
        <f t="shared" si="11"/>
        <v>0.2857142857142857</v>
      </c>
      <c r="Y19" s="17">
        <f t="shared" si="11"/>
        <v>19.857142857142854</v>
      </c>
      <c r="Z19" s="17">
        <f t="shared" si="11"/>
        <v>5.8571428571428568</v>
      </c>
      <c r="AA19" s="17">
        <f t="shared" si="11"/>
        <v>1.5714285714285714</v>
      </c>
      <c r="AB19" s="17">
        <f t="shared" si="11"/>
        <v>0.71428571428571419</v>
      </c>
      <c r="AC19" s="17">
        <f t="shared" si="11"/>
        <v>289.57142857142856</v>
      </c>
      <c r="AD19" s="17">
        <f t="shared" si="11"/>
        <v>0.14285714285714285</v>
      </c>
      <c r="AE19" s="31">
        <f t="shared" si="11"/>
        <v>209.57142857142856</v>
      </c>
      <c r="AF19" s="31">
        <f t="shared" si="11"/>
        <v>499.14285714285717</v>
      </c>
    </row>
    <row r="20" spans="2:32" ht="23.1" customHeight="1" x14ac:dyDescent="0.25">
      <c r="B20" s="23" t="s">
        <v>47</v>
      </c>
      <c r="C20" s="49">
        <f>'Avg Week Kaasangati-Matugga'!C20+'Avg Week Matugga-Kasangati'!C20</f>
        <v>18.571428571428569</v>
      </c>
      <c r="D20" s="49">
        <f>'Avg Week Kaasangati-Matugga'!D20+'Avg Week Matugga-Kasangati'!D20</f>
        <v>7.1428571428571423</v>
      </c>
      <c r="E20" s="49">
        <f>'Avg Week Kaasangati-Matugga'!E20+'Avg Week Matugga-Kasangati'!E20</f>
        <v>4.4285714285714288</v>
      </c>
      <c r="F20" s="49">
        <f>'Avg Week Kaasangati-Matugga'!F20+'Avg Week Matugga-Kasangati'!F20</f>
        <v>4.5714285714285712</v>
      </c>
      <c r="G20" s="49">
        <f>'Avg Week Kaasangati-Matugga'!G20+'Avg Week Matugga-Kasangati'!G20</f>
        <v>0</v>
      </c>
      <c r="H20" s="49">
        <f>'Avg Week Kaasangati-Matugga'!H20+'Avg Week Matugga-Kasangati'!H20</f>
        <v>0.14285714285714285</v>
      </c>
      <c r="I20" s="49">
        <f>'Avg Week Kaasangati-Matugga'!I20+'Avg Week Matugga-Kasangati'!I20</f>
        <v>4.5714285714285712</v>
      </c>
      <c r="J20" s="49">
        <f>'Avg Week Kaasangati-Matugga'!J20+'Avg Week Matugga-Kasangati'!J20</f>
        <v>1.2857142857142856</v>
      </c>
      <c r="K20" s="49">
        <f>'Avg Week Kaasangati-Matugga'!K20+'Avg Week Matugga-Kasangati'!K20</f>
        <v>0.2857142857142857</v>
      </c>
      <c r="L20" s="49">
        <f>'Avg Week Kaasangati-Matugga'!L20+'Avg Week Matugga-Kasangati'!L20</f>
        <v>0.14285714285714285</v>
      </c>
      <c r="M20" s="49">
        <f>'Avg Week Kaasangati-Matugga'!M20+'Avg Week Matugga-Kasangati'!M20</f>
        <v>88</v>
      </c>
      <c r="N20" s="49">
        <f>'Avg Week Kaasangati-Matugga'!N20+'Avg Week Matugga-Kasangati'!N20</f>
        <v>0</v>
      </c>
      <c r="O20" s="15">
        <f t="shared" si="0"/>
        <v>41.142857142857139</v>
      </c>
      <c r="P20" s="15">
        <f t="shared" si="1"/>
        <v>129.14285714285714</v>
      </c>
      <c r="R20" s="1" t="s">
        <v>16</v>
      </c>
      <c r="S20" s="17">
        <f t="shared" ref="S20:AF20" si="12">SUM(C50:C53)</f>
        <v>109.28571428571428</v>
      </c>
      <c r="T20" s="17">
        <f t="shared" si="12"/>
        <v>42.142857142857139</v>
      </c>
      <c r="U20" s="17">
        <f t="shared" si="12"/>
        <v>22.857142857142861</v>
      </c>
      <c r="V20" s="17">
        <f t="shared" si="12"/>
        <v>37.285714285714292</v>
      </c>
      <c r="W20" s="17">
        <f t="shared" si="12"/>
        <v>0.71428571428571419</v>
      </c>
      <c r="X20" s="17">
        <f t="shared" si="12"/>
        <v>0.42857142857142855</v>
      </c>
      <c r="Y20" s="17">
        <f t="shared" si="12"/>
        <v>20.285714285714285</v>
      </c>
      <c r="Z20" s="17">
        <f t="shared" si="12"/>
        <v>5.1428571428571423</v>
      </c>
      <c r="AA20" s="17">
        <f t="shared" si="12"/>
        <v>2.2857142857142856</v>
      </c>
      <c r="AB20" s="17">
        <f t="shared" si="12"/>
        <v>0.71428571428571419</v>
      </c>
      <c r="AC20" s="17">
        <f t="shared" si="12"/>
        <v>333.71428571428567</v>
      </c>
      <c r="AD20" s="17">
        <f t="shared" si="12"/>
        <v>0.14285714285714285</v>
      </c>
      <c r="AE20" s="31">
        <f t="shared" si="12"/>
        <v>241.28571428571428</v>
      </c>
      <c r="AF20" s="31">
        <f t="shared" si="12"/>
        <v>575</v>
      </c>
    </row>
    <row r="21" spans="2:32" ht="23.1" customHeight="1" x14ac:dyDescent="0.25">
      <c r="B21" s="23" t="s">
        <v>48</v>
      </c>
      <c r="C21" s="49">
        <f>'Avg Week Kaasangati-Matugga'!C21+'Avg Week Matugga-Kasangati'!C21</f>
        <v>18.285714285714285</v>
      </c>
      <c r="D21" s="49">
        <f>'Avg Week Kaasangati-Matugga'!D21+'Avg Week Matugga-Kasangati'!D21</f>
        <v>4.4285714285714288</v>
      </c>
      <c r="E21" s="49">
        <f>'Avg Week Kaasangati-Matugga'!E21+'Avg Week Matugga-Kasangati'!E21</f>
        <v>4.7142857142857144</v>
      </c>
      <c r="F21" s="49">
        <f>'Avg Week Kaasangati-Matugga'!F21+'Avg Week Matugga-Kasangati'!F21</f>
        <v>5.8571428571428577</v>
      </c>
      <c r="G21" s="49">
        <f>'Avg Week Kaasangati-Matugga'!G21+'Avg Week Matugga-Kasangati'!G21</f>
        <v>0.14285714285714285</v>
      </c>
      <c r="H21" s="49">
        <f>'Avg Week Kaasangati-Matugga'!H21+'Avg Week Matugga-Kasangati'!H21</f>
        <v>0</v>
      </c>
      <c r="I21" s="49">
        <f>'Avg Week Kaasangati-Matugga'!I21+'Avg Week Matugga-Kasangati'!I21</f>
        <v>5</v>
      </c>
      <c r="J21" s="49">
        <f>'Avg Week Kaasangati-Matugga'!J21+'Avg Week Matugga-Kasangati'!J21</f>
        <v>0.8571428571428571</v>
      </c>
      <c r="K21" s="49">
        <f>'Avg Week Kaasangati-Matugga'!K21+'Avg Week Matugga-Kasangati'!K21</f>
        <v>0.42857142857142855</v>
      </c>
      <c r="L21" s="49">
        <f>'Avg Week Kaasangati-Matugga'!L21+'Avg Week Matugga-Kasangati'!L21</f>
        <v>0.14285714285714285</v>
      </c>
      <c r="M21" s="49">
        <f>'Avg Week Kaasangati-Matugga'!M21+'Avg Week Matugga-Kasangati'!M21</f>
        <v>82.571428571428569</v>
      </c>
      <c r="N21" s="49">
        <f>'Avg Week Kaasangati-Matugga'!N21+'Avg Week Matugga-Kasangati'!N21</f>
        <v>0</v>
      </c>
      <c r="O21" s="15">
        <f t="shared" si="0"/>
        <v>39.857142857142868</v>
      </c>
      <c r="P21" s="15">
        <f t="shared" si="1"/>
        <v>122.42857142857144</v>
      </c>
      <c r="R21" s="36" t="s">
        <v>20</v>
      </c>
      <c r="S21" s="34">
        <f t="shared" ref="S21:AF21" si="13">SUM(C54:C57)</f>
        <v>128.57142857142856</v>
      </c>
      <c r="T21" s="17">
        <f t="shared" si="13"/>
        <v>39.285714285714292</v>
      </c>
      <c r="U21" s="17">
        <f t="shared" si="13"/>
        <v>27.714285714285715</v>
      </c>
      <c r="V21" s="17">
        <f t="shared" si="13"/>
        <v>41.714285714285715</v>
      </c>
      <c r="W21" s="17">
        <f t="shared" si="13"/>
        <v>1.857142857142857</v>
      </c>
      <c r="X21" s="17">
        <f t="shared" si="13"/>
        <v>0.5714285714285714</v>
      </c>
      <c r="Y21" s="17">
        <f t="shared" si="13"/>
        <v>18.285714285714285</v>
      </c>
      <c r="Z21" s="17">
        <f t="shared" si="13"/>
        <v>4.8571428571428577</v>
      </c>
      <c r="AA21" s="17">
        <f t="shared" si="13"/>
        <v>1.1428571428571428</v>
      </c>
      <c r="AB21" s="17">
        <f t="shared" si="13"/>
        <v>0.8571428571428571</v>
      </c>
      <c r="AC21" s="17">
        <f t="shared" si="13"/>
        <v>339.28571428571428</v>
      </c>
      <c r="AD21" s="17">
        <f t="shared" si="13"/>
        <v>0.14285714285714285</v>
      </c>
      <c r="AE21" s="31">
        <f t="shared" si="13"/>
        <v>265</v>
      </c>
      <c r="AF21" s="31">
        <f t="shared" si="13"/>
        <v>604.28571428571422</v>
      </c>
    </row>
    <row r="22" spans="2:32" ht="23.1" customHeight="1" x14ac:dyDescent="0.25">
      <c r="B22" s="23" t="s">
        <v>49</v>
      </c>
      <c r="C22" s="49">
        <f>'Avg Week Kaasangati-Matugga'!C22+'Avg Week Matugga-Kasangati'!C22</f>
        <v>24.857142857142854</v>
      </c>
      <c r="D22" s="49">
        <f>'Avg Week Kaasangati-Matugga'!D22+'Avg Week Matugga-Kasangati'!D22</f>
        <v>8.1428571428571423</v>
      </c>
      <c r="E22" s="49">
        <f>'Avg Week Kaasangati-Matugga'!E22+'Avg Week Matugga-Kasangati'!E22</f>
        <v>4.2857142857142856</v>
      </c>
      <c r="F22" s="49">
        <f>'Avg Week Kaasangati-Matugga'!F22+'Avg Week Matugga-Kasangati'!F22</f>
        <v>4</v>
      </c>
      <c r="G22" s="49">
        <f>'Avg Week Kaasangati-Matugga'!G22+'Avg Week Matugga-Kasangati'!G22</f>
        <v>0.14285714285714285</v>
      </c>
      <c r="H22" s="49">
        <f>'Avg Week Kaasangati-Matugga'!H22+'Avg Week Matugga-Kasangati'!H22</f>
        <v>0.14285714285714285</v>
      </c>
      <c r="I22" s="49">
        <f>'Avg Week Kaasangati-Matugga'!I22+'Avg Week Matugga-Kasangati'!I22</f>
        <v>7</v>
      </c>
      <c r="J22" s="49">
        <f>'Avg Week Kaasangati-Matugga'!J22+'Avg Week Matugga-Kasangati'!J22</f>
        <v>1.4285714285714284</v>
      </c>
      <c r="K22" s="49">
        <f>'Avg Week Kaasangati-Matugga'!K22+'Avg Week Matugga-Kasangati'!K22</f>
        <v>0.14285714285714285</v>
      </c>
      <c r="L22" s="49">
        <f>'Avg Week Kaasangati-Matugga'!L22+'Avg Week Matugga-Kasangati'!L22</f>
        <v>0.14285714285714285</v>
      </c>
      <c r="M22" s="49">
        <f>'Avg Week Kaasangati-Matugga'!M22+'Avg Week Matugga-Kasangati'!M22</f>
        <v>85.571428571428569</v>
      </c>
      <c r="N22" s="49">
        <f>'Avg Week Kaasangati-Matugga'!N22+'Avg Week Matugga-Kasangati'!N22</f>
        <v>0</v>
      </c>
      <c r="O22" s="15">
        <f t="shared" si="0"/>
        <v>50.285714285714299</v>
      </c>
      <c r="P22" s="15">
        <f t="shared" si="1"/>
        <v>135.85714285714286</v>
      </c>
      <c r="R22" s="102" t="s">
        <v>146</v>
      </c>
      <c r="S22" s="133">
        <f>SUM(C58:C61)</f>
        <v>126</v>
      </c>
      <c r="T22" s="133">
        <f t="shared" ref="T22:AF22" si="14">SUM(D58:D61)</f>
        <v>26.5</v>
      </c>
      <c r="U22" s="133">
        <f t="shared" si="14"/>
        <v>21</v>
      </c>
      <c r="V22" s="133">
        <f t="shared" si="14"/>
        <v>33</v>
      </c>
      <c r="W22" s="133">
        <f t="shared" si="14"/>
        <v>2.5</v>
      </c>
      <c r="X22" s="133">
        <f t="shared" si="14"/>
        <v>0</v>
      </c>
      <c r="Y22" s="133">
        <f t="shared" si="14"/>
        <v>12</v>
      </c>
      <c r="Z22" s="133">
        <f t="shared" si="14"/>
        <v>2</v>
      </c>
      <c r="AA22" s="133">
        <f t="shared" si="14"/>
        <v>0.5</v>
      </c>
      <c r="AB22" s="133">
        <f t="shared" si="14"/>
        <v>1.5</v>
      </c>
      <c r="AC22" s="133">
        <f t="shared" si="14"/>
        <v>438</v>
      </c>
      <c r="AD22" s="133">
        <f t="shared" si="14"/>
        <v>0</v>
      </c>
      <c r="AE22" s="146">
        <f t="shared" si="14"/>
        <v>225</v>
      </c>
      <c r="AF22" s="146">
        <f t="shared" si="14"/>
        <v>663</v>
      </c>
    </row>
    <row r="23" spans="2:32" ht="23.1" customHeight="1" x14ac:dyDescent="0.25">
      <c r="B23" s="23" t="s">
        <v>50</v>
      </c>
      <c r="C23" s="49">
        <f>'Avg Week Kaasangati-Matugga'!C23+'Avg Week Matugga-Kasangati'!C23</f>
        <v>18</v>
      </c>
      <c r="D23" s="49">
        <f>'Avg Week Kaasangati-Matugga'!D23+'Avg Week Matugga-Kasangati'!D23</f>
        <v>6</v>
      </c>
      <c r="E23" s="49">
        <f>'Avg Week Kaasangati-Matugga'!E23+'Avg Week Matugga-Kasangati'!E23</f>
        <v>4.4285714285714288</v>
      </c>
      <c r="F23" s="49">
        <f>'Avg Week Kaasangati-Matugga'!F23+'Avg Week Matugga-Kasangati'!F23</f>
        <v>3.4285714285714288</v>
      </c>
      <c r="G23" s="49">
        <f>'Avg Week Kaasangati-Matugga'!G23+'Avg Week Matugga-Kasangati'!G23</f>
        <v>0.2857142857142857</v>
      </c>
      <c r="H23" s="49">
        <f>'Avg Week Kaasangati-Matugga'!H23+'Avg Week Matugga-Kasangati'!H23</f>
        <v>0</v>
      </c>
      <c r="I23" s="49">
        <f>'Avg Week Kaasangati-Matugga'!I23+'Avg Week Matugga-Kasangati'!I23</f>
        <v>6.2857142857142865</v>
      </c>
      <c r="J23" s="49">
        <f>'Avg Week Kaasangati-Matugga'!J23+'Avg Week Matugga-Kasangati'!J23</f>
        <v>1.4285714285714286</v>
      </c>
      <c r="K23" s="49">
        <f>'Avg Week Kaasangati-Matugga'!K23+'Avg Week Matugga-Kasangati'!K23</f>
        <v>0.2857142857142857</v>
      </c>
      <c r="L23" s="49">
        <f>'Avg Week Kaasangati-Matugga'!L23+'Avg Week Matugga-Kasangati'!L23</f>
        <v>0.14285714285714285</v>
      </c>
      <c r="M23" s="49">
        <f>'Avg Week Kaasangati-Matugga'!M23+'Avg Week Matugga-Kasangati'!M23</f>
        <v>77.857142857142861</v>
      </c>
      <c r="N23" s="49">
        <f>'Avg Week Kaasangati-Matugga'!N23+'Avg Week Matugga-Kasangati'!N23</f>
        <v>0</v>
      </c>
      <c r="O23" s="15">
        <f t="shared" si="0"/>
        <v>40.285714285714292</v>
      </c>
      <c r="P23" s="15">
        <f t="shared" si="1"/>
        <v>118.14285714285715</v>
      </c>
      <c r="R23" s="102" t="s">
        <v>147</v>
      </c>
      <c r="S23" s="133">
        <f>SUM(C62:C65)</f>
        <v>151.5</v>
      </c>
      <c r="T23" s="133">
        <f t="shared" ref="T23:AF23" si="15">SUM(D62:D65)</f>
        <v>25</v>
      </c>
      <c r="U23" s="133">
        <f t="shared" si="15"/>
        <v>22.5</v>
      </c>
      <c r="V23" s="133">
        <f t="shared" si="15"/>
        <v>32</v>
      </c>
      <c r="W23" s="133">
        <f t="shared" si="15"/>
        <v>0.5</v>
      </c>
      <c r="X23" s="133">
        <f t="shared" si="15"/>
        <v>0.5</v>
      </c>
      <c r="Y23" s="133">
        <f t="shared" si="15"/>
        <v>14.5</v>
      </c>
      <c r="Z23" s="133">
        <f t="shared" si="15"/>
        <v>4.5</v>
      </c>
      <c r="AA23" s="133">
        <f t="shared" si="15"/>
        <v>2.5</v>
      </c>
      <c r="AB23" s="133">
        <f t="shared" si="15"/>
        <v>0.5</v>
      </c>
      <c r="AC23" s="133">
        <f t="shared" si="15"/>
        <v>413.5</v>
      </c>
      <c r="AD23" s="133">
        <f t="shared" si="15"/>
        <v>0</v>
      </c>
      <c r="AE23" s="146">
        <f t="shared" si="15"/>
        <v>254</v>
      </c>
      <c r="AF23" s="146">
        <f t="shared" si="15"/>
        <v>667.5</v>
      </c>
    </row>
    <row r="24" spans="2:32" ht="23.1" customHeight="1" x14ac:dyDescent="0.25">
      <c r="B24" s="23" t="s">
        <v>51</v>
      </c>
      <c r="C24" s="49">
        <f>'Avg Week Kaasangati-Matugga'!C24+'Avg Week Matugga-Kasangati'!C24</f>
        <v>20.142857142857146</v>
      </c>
      <c r="D24" s="49">
        <f>'Avg Week Kaasangati-Matugga'!D24+'Avg Week Matugga-Kasangati'!D24</f>
        <v>5.5714285714285712</v>
      </c>
      <c r="E24" s="49">
        <f>'Avg Week Kaasangati-Matugga'!E24+'Avg Week Matugga-Kasangati'!E24</f>
        <v>4</v>
      </c>
      <c r="F24" s="49">
        <f>'Avg Week Kaasangati-Matugga'!F24+'Avg Week Matugga-Kasangati'!F24</f>
        <v>4.1428571428571432</v>
      </c>
      <c r="G24" s="49">
        <f>'Avg Week Kaasangati-Matugga'!G24+'Avg Week Matugga-Kasangati'!G24</f>
        <v>0</v>
      </c>
      <c r="H24" s="49">
        <f>'Avg Week Kaasangati-Matugga'!H24+'Avg Week Matugga-Kasangati'!H24</f>
        <v>0</v>
      </c>
      <c r="I24" s="49">
        <f>'Avg Week Kaasangati-Matugga'!I24+'Avg Week Matugga-Kasangati'!I24</f>
        <v>5.5714285714285712</v>
      </c>
      <c r="J24" s="49">
        <f>'Avg Week Kaasangati-Matugga'!J24+'Avg Week Matugga-Kasangati'!J24</f>
        <v>2.4285714285714288</v>
      </c>
      <c r="K24" s="49">
        <f>'Avg Week Kaasangati-Matugga'!K24+'Avg Week Matugga-Kasangati'!K24</f>
        <v>0.2857142857142857</v>
      </c>
      <c r="L24" s="49">
        <f>'Avg Week Kaasangati-Matugga'!L24+'Avg Week Matugga-Kasangati'!L24</f>
        <v>0.2857142857142857</v>
      </c>
      <c r="M24" s="49">
        <f>'Avg Week Kaasangati-Matugga'!M24+'Avg Week Matugga-Kasangati'!M24</f>
        <v>75.142857142857139</v>
      </c>
      <c r="N24" s="49">
        <f>'Avg Week Kaasangati-Matugga'!N24+'Avg Week Matugga-Kasangati'!N24</f>
        <v>0</v>
      </c>
      <c r="O24" s="15">
        <f t="shared" si="0"/>
        <v>42.428571428571431</v>
      </c>
      <c r="P24" s="15">
        <f t="shared" si="1"/>
        <v>117.57142857142857</v>
      </c>
      <c r="R24" s="102" t="s">
        <v>148</v>
      </c>
      <c r="S24" s="133">
        <f>SUM(C66:C69)</f>
        <v>135.5</v>
      </c>
      <c r="T24" s="133">
        <f t="shared" ref="T24:AF24" si="16">SUM(D66:D69)</f>
        <v>18</v>
      </c>
      <c r="U24" s="133">
        <f t="shared" si="16"/>
        <v>23</v>
      </c>
      <c r="V24" s="133">
        <f t="shared" si="16"/>
        <v>25.5</v>
      </c>
      <c r="W24" s="133">
        <f t="shared" si="16"/>
        <v>0</v>
      </c>
      <c r="X24" s="133">
        <f t="shared" si="16"/>
        <v>0</v>
      </c>
      <c r="Y24" s="133">
        <f t="shared" si="16"/>
        <v>16.5</v>
      </c>
      <c r="Z24" s="133">
        <f t="shared" si="16"/>
        <v>3.5</v>
      </c>
      <c r="AA24" s="133">
        <f t="shared" si="16"/>
        <v>0</v>
      </c>
      <c r="AB24" s="133">
        <f t="shared" si="16"/>
        <v>0.5</v>
      </c>
      <c r="AC24" s="133">
        <f t="shared" si="16"/>
        <v>362</v>
      </c>
      <c r="AD24" s="133">
        <f t="shared" si="16"/>
        <v>0.5</v>
      </c>
      <c r="AE24" s="146">
        <f t="shared" si="16"/>
        <v>223</v>
      </c>
      <c r="AF24" s="146">
        <f t="shared" si="16"/>
        <v>585</v>
      </c>
    </row>
    <row r="25" spans="2:32" ht="23.1" customHeight="1" x14ac:dyDescent="0.25">
      <c r="B25" s="23" t="s">
        <v>52</v>
      </c>
      <c r="C25" s="49">
        <f>'Avg Week Kaasangati-Matugga'!C25+'Avg Week Matugga-Kasangati'!C25</f>
        <v>20</v>
      </c>
      <c r="D25" s="49">
        <f>'Avg Week Kaasangati-Matugga'!D25+'Avg Week Matugga-Kasangati'!D25</f>
        <v>6.7142857142857144</v>
      </c>
      <c r="E25" s="49">
        <f>'Avg Week Kaasangati-Matugga'!E25+'Avg Week Matugga-Kasangati'!E25</f>
        <v>3.5714285714285712</v>
      </c>
      <c r="F25" s="49">
        <f>'Avg Week Kaasangati-Matugga'!F25+'Avg Week Matugga-Kasangati'!F25</f>
        <v>3</v>
      </c>
      <c r="G25" s="49">
        <f>'Avg Week Kaasangati-Matugga'!G25+'Avg Week Matugga-Kasangati'!G25</f>
        <v>0.14285714285714285</v>
      </c>
      <c r="H25" s="49">
        <f>'Avg Week Kaasangati-Matugga'!H25+'Avg Week Matugga-Kasangati'!H25</f>
        <v>0.14285714285714285</v>
      </c>
      <c r="I25" s="49">
        <f>'Avg Week Kaasangati-Matugga'!I25+'Avg Week Matugga-Kasangati'!I25</f>
        <v>4.4285714285714288</v>
      </c>
      <c r="J25" s="49">
        <f>'Avg Week Kaasangati-Matugga'!J25+'Avg Week Matugga-Kasangati'!J25</f>
        <v>1.5714285714285714</v>
      </c>
      <c r="K25" s="49">
        <f>'Avg Week Kaasangati-Matugga'!K25+'Avg Week Matugga-Kasangati'!K25</f>
        <v>0</v>
      </c>
      <c r="L25" s="49">
        <f>'Avg Week Kaasangati-Matugga'!L25+'Avg Week Matugga-Kasangati'!L25</f>
        <v>0.14285714285714285</v>
      </c>
      <c r="M25" s="49">
        <f>'Avg Week Kaasangati-Matugga'!M25+'Avg Week Matugga-Kasangati'!M25</f>
        <v>73.142857142857139</v>
      </c>
      <c r="N25" s="49">
        <f>'Avg Week Kaasangati-Matugga'!N25+'Avg Week Matugga-Kasangati'!N25</f>
        <v>0.14285714285714285</v>
      </c>
      <c r="O25" s="15">
        <f t="shared" si="0"/>
        <v>39.857142857142868</v>
      </c>
      <c r="P25" s="15">
        <f t="shared" si="1"/>
        <v>113</v>
      </c>
      <c r="R25" s="102" t="s">
        <v>149</v>
      </c>
      <c r="S25" s="133">
        <f>SUM(C70:C73)</f>
        <v>100</v>
      </c>
      <c r="T25" s="133">
        <f t="shared" ref="T25:AF25" si="17">SUM(D70:D73)</f>
        <v>15.5</v>
      </c>
      <c r="U25" s="133">
        <f t="shared" si="17"/>
        <v>13</v>
      </c>
      <c r="V25" s="133">
        <f t="shared" si="17"/>
        <v>19.5</v>
      </c>
      <c r="W25" s="133">
        <f t="shared" si="17"/>
        <v>0.5</v>
      </c>
      <c r="X25" s="133">
        <f t="shared" si="17"/>
        <v>0</v>
      </c>
      <c r="Y25" s="133">
        <f t="shared" si="17"/>
        <v>13.5</v>
      </c>
      <c r="Z25" s="133">
        <f t="shared" si="17"/>
        <v>1.5</v>
      </c>
      <c r="AA25" s="133">
        <f t="shared" si="17"/>
        <v>1.5</v>
      </c>
      <c r="AB25" s="133">
        <f t="shared" si="17"/>
        <v>0</v>
      </c>
      <c r="AC25" s="133">
        <f t="shared" si="17"/>
        <v>307.5</v>
      </c>
      <c r="AD25" s="133">
        <f t="shared" si="17"/>
        <v>0</v>
      </c>
      <c r="AE25" s="146">
        <f t="shared" si="17"/>
        <v>165</v>
      </c>
      <c r="AF25" s="146">
        <f t="shared" si="17"/>
        <v>472.5</v>
      </c>
    </row>
    <row r="26" spans="2:32" ht="23.1" customHeight="1" x14ac:dyDescent="0.25">
      <c r="B26" s="23" t="s">
        <v>53</v>
      </c>
      <c r="C26" s="49">
        <f>'Avg Week Kaasangati-Matugga'!C26+'Avg Week Matugga-Kasangati'!C26</f>
        <v>21.285714285714285</v>
      </c>
      <c r="D26" s="49">
        <f>'Avg Week Kaasangati-Matugga'!D26+'Avg Week Matugga-Kasangati'!D26</f>
        <v>8.8571428571428577</v>
      </c>
      <c r="E26" s="49">
        <f>'Avg Week Kaasangati-Matugga'!E26+'Avg Week Matugga-Kasangati'!E26</f>
        <v>5.5714285714285712</v>
      </c>
      <c r="F26" s="49">
        <f>'Avg Week Kaasangati-Matugga'!F26+'Avg Week Matugga-Kasangati'!F26</f>
        <v>4.8571428571428577</v>
      </c>
      <c r="G26" s="49">
        <f>'Avg Week Kaasangati-Matugga'!G26+'Avg Week Matugga-Kasangati'!G26</f>
        <v>0</v>
      </c>
      <c r="H26" s="49">
        <f>'Avg Week Kaasangati-Matugga'!H26+'Avg Week Matugga-Kasangati'!H26</f>
        <v>0</v>
      </c>
      <c r="I26" s="49">
        <f>'Avg Week Kaasangati-Matugga'!I26+'Avg Week Matugga-Kasangati'!I26</f>
        <v>3.5714285714285712</v>
      </c>
      <c r="J26" s="49">
        <f>'Avg Week Kaasangati-Matugga'!J26+'Avg Week Matugga-Kasangati'!J26</f>
        <v>2.1428571428571428</v>
      </c>
      <c r="K26" s="49">
        <f>'Avg Week Kaasangati-Matugga'!K26+'Avg Week Matugga-Kasangati'!K26</f>
        <v>0.5714285714285714</v>
      </c>
      <c r="L26" s="49">
        <f>'Avg Week Kaasangati-Matugga'!L26+'Avg Week Matugga-Kasangati'!L26</f>
        <v>0.85714285714285721</v>
      </c>
      <c r="M26" s="49">
        <f>'Avg Week Kaasangati-Matugga'!M26+'Avg Week Matugga-Kasangati'!M26</f>
        <v>80.285714285714278</v>
      </c>
      <c r="N26" s="49">
        <f>'Avg Week Kaasangati-Matugga'!N26+'Avg Week Matugga-Kasangati'!N26</f>
        <v>0</v>
      </c>
      <c r="O26" s="15">
        <f t="shared" si="0"/>
        <v>47.714285714285708</v>
      </c>
      <c r="P26" s="15">
        <f t="shared" si="1"/>
        <v>127.99999999999999</v>
      </c>
      <c r="R26" s="102" t="s">
        <v>150</v>
      </c>
      <c r="S26" s="133">
        <f>SUM(C74:C77)</f>
        <v>54.5</v>
      </c>
      <c r="T26" s="133">
        <f t="shared" ref="T26:AF26" si="18">SUM(D74:D77)</f>
        <v>10</v>
      </c>
      <c r="U26" s="133">
        <f t="shared" si="18"/>
        <v>5.5</v>
      </c>
      <c r="V26" s="133">
        <f t="shared" si="18"/>
        <v>7</v>
      </c>
      <c r="W26" s="133">
        <f t="shared" si="18"/>
        <v>0</v>
      </c>
      <c r="X26" s="133">
        <f t="shared" si="18"/>
        <v>0</v>
      </c>
      <c r="Y26" s="133">
        <f t="shared" si="18"/>
        <v>6</v>
      </c>
      <c r="Z26" s="133">
        <f t="shared" si="18"/>
        <v>1</v>
      </c>
      <c r="AA26" s="133">
        <f t="shared" si="18"/>
        <v>1.5</v>
      </c>
      <c r="AB26" s="133">
        <f t="shared" si="18"/>
        <v>0</v>
      </c>
      <c r="AC26" s="133">
        <f t="shared" si="18"/>
        <v>177.5</v>
      </c>
      <c r="AD26" s="133">
        <f t="shared" si="18"/>
        <v>0</v>
      </c>
      <c r="AE26" s="146">
        <f t="shared" si="18"/>
        <v>85.5</v>
      </c>
      <c r="AF26" s="146">
        <f t="shared" si="18"/>
        <v>263</v>
      </c>
    </row>
    <row r="27" spans="2:32" ht="23.1" customHeight="1" x14ac:dyDescent="0.25">
      <c r="B27" s="23" t="s">
        <v>54</v>
      </c>
      <c r="C27" s="49">
        <f>'Avg Week Kaasangati-Matugga'!C27+'Avg Week Matugga-Kasangati'!C27</f>
        <v>23</v>
      </c>
      <c r="D27" s="49">
        <f>'Avg Week Kaasangati-Matugga'!D27+'Avg Week Matugga-Kasangati'!D27</f>
        <v>5.7142857142857144</v>
      </c>
      <c r="E27" s="49">
        <f>'Avg Week Kaasangati-Matugga'!E27+'Avg Week Matugga-Kasangati'!E27</f>
        <v>3.5714285714285712</v>
      </c>
      <c r="F27" s="49">
        <f>'Avg Week Kaasangati-Matugga'!F27+'Avg Week Matugga-Kasangati'!F27</f>
        <v>3.7142857142857144</v>
      </c>
      <c r="G27" s="49">
        <f>'Avg Week Kaasangati-Matugga'!G27+'Avg Week Matugga-Kasangati'!G27</f>
        <v>0.14285714285714285</v>
      </c>
      <c r="H27" s="49">
        <f>'Avg Week Kaasangati-Matugga'!H27+'Avg Week Matugga-Kasangati'!H27</f>
        <v>0</v>
      </c>
      <c r="I27" s="49">
        <f>'Avg Week Kaasangati-Matugga'!I27+'Avg Week Matugga-Kasangati'!I27</f>
        <v>3.7142857142857144</v>
      </c>
      <c r="J27" s="49">
        <f>'Avg Week Kaasangati-Matugga'!J27+'Avg Week Matugga-Kasangati'!J27</f>
        <v>1.8571428571428572</v>
      </c>
      <c r="K27" s="49">
        <f>'Avg Week Kaasangati-Matugga'!K27+'Avg Week Matugga-Kasangati'!K27</f>
        <v>0.8571428571428571</v>
      </c>
      <c r="L27" s="49">
        <f>'Avg Week Kaasangati-Matugga'!L27+'Avg Week Matugga-Kasangati'!L27</f>
        <v>0.2857142857142857</v>
      </c>
      <c r="M27" s="49">
        <f>'Avg Week Kaasangati-Matugga'!M27+'Avg Week Matugga-Kasangati'!M27</f>
        <v>78</v>
      </c>
      <c r="N27" s="49">
        <f>'Avg Week Kaasangati-Matugga'!N27+'Avg Week Matugga-Kasangati'!N27</f>
        <v>8</v>
      </c>
      <c r="O27" s="15">
        <f t="shared" si="0"/>
        <v>50.857142857142854</v>
      </c>
      <c r="P27" s="15">
        <f t="shared" si="1"/>
        <v>128.85714285714286</v>
      </c>
      <c r="R27" s="102" t="s">
        <v>151</v>
      </c>
      <c r="S27" s="133">
        <f>SUM(C78:C81)</f>
        <v>33</v>
      </c>
      <c r="T27" s="133">
        <f t="shared" ref="T27:AF27" si="19">SUM(D78:D81)</f>
        <v>4.5</v>
      </c>
      <c r="U27" s="133">
        <f t="shared" si="19"/>
        <v>4</v>
      </c>
      <c r="V27" s="133">
        <f t="shared" si="19"/>
        <v>2.5</v>
      </c>
      <c r="W27" s="133">
        <f t="shared" si="19"/>
        <v>0</v>
      </c>
      <c r="X27" s="133">
        <f t="shared" si="19"/>
        <v>0</v>
      </c>
      <c r="Y27" s="133">
        <f t="shared" si="19"/>
        <v>2</v>
      </c>
      <c r="Z27" s="133">
        <f t="shared" si="19"/>
        <v>1</v>
      </c>
      <c r="AA27" s="133">
        <f t="shared" si="19"/>
        <v>1</v>
      </c>
      <c r="AB27" s="133">
        <f t="shared" si="19"/>
        <v>0</v>
      </c>
      <c r="AC27" s="133">
        <f t="shared" si="19"/>
        <v>76.5</v>
      </c>
      <c r="AD27" s="133">
        <f t="shared" si="19"/>
        <v>0</v>
      </c>
      <c r="AE27" s="146">
        <f t="shared" si="19"/>
        <v>48</v>
      </c>
      <c r="AF27" s="146">
        <f t="shared" si="19"/>
        <v>124.5</v>
      </c>
    </row>
    <row r="28" spans="2:32" ht="23.1" customHeight="1" x14ac:dyDescent="0.25">
      <c r="B28" s="23" t="s">
        <v>55</v>
      </c>
      <c r="C28" s="49">
        <f>'Avg Week Kaasangati-Matugga'!C28+'Avg Week Matugga-Kasangati'!C28</f>
        <v>22.285714285714285</v>
      </c>
      <c r="D28" s="49">
        <f>'Avg Week Kaasangati-Matugga'!D28+'Avg Week Matugga-Kasangati'!D28</f>
        <v>7.7142857142857144</v>
      </c>
      <c r="E28" s="49">
        <f>'Avg Week Kaasangati-Matugga'!E28+'Avg Week Matugga-Kasangati'!E28</f>
        <v>5.5714285714285712</v>
      </c>
      <c r="F28" s="49">
        <f>'Avg Week Kaasangati-Matugga'!F28+'Avg Week Matugga-Kasangati'!F28</f>
        <v>5.1428571428571432</v>
      </c>
      <c r="G28" s="49">
        <f>'Avg Week Kaasangati-Matugga'!G28+'Avg Week Matugga-Kasangati'!G28</f>
        <v>0.14285714285714285</v>
      </c>
      <c r="H28" s="49">
        <f>'Avg Week Kaasangati-Matugga'!H28+'Avg Week Matugga-Kasangati'!H28</f>
        <v>0</v>
      </c>
      <c r="I28" s="49">
        <f>'Avg Week Kaasangati-Matugga'!I28+'Avg Week Matugga-Kasangati'!I28</f>
        <v>6.4285714285714288</v>
      </c>
      <c r="J28" s="49">
        <f>'Avg Week Kaasangati-Matugga'!J28+'Avg Week Matugga-Kasangati'!J28</f>
        <v>1.2857142857142858</v>
      </c>
      <c r="K28" s="49">
        <f>'Avg Week Kaasangati-Matugga'!K28+'Avg Week Matugga-Kasangati'!K28</f>
        <v>0.5714285714285714</v>
      </c>
      <c r="L28" s="49">
        <f>'Avg Week Kaasangati-Matugga'!L28+'Avg Week Matugga-Kasangati'!L28</f>
        <v>0.2857142857142857</v>
      </c>
      <c r="M28" s="49">
        <f>'Avg Week Kaasangati-Matugga'!M28+'Avg Week Matugga-Kasangati'!M28</f>
        <v>75.571428571428584</v>
      </c>
      <c r="N28" s="49">
        <f>'Avg Week Kaasangati-Matugga'!N28+'Avg Week Matugga-Kasangati'!N28</f>
        <v>0</v>
      </c>
      <c r="O28" s="15">
        <f t="shared" si="0"/>
        <v>49.428571428571431</v>
      </c>
      <c r="P28" s="15">
        <f t="shared" si="1"/>
        <v>125.00000000000001</v>
      </c>
      <c r="R28" s="102" t="s">
        <v>152</v>
      </c>
      <c r="S28" s="133">
        <f>SUM(C82:C85)</f>
        <v>19.5</v>
      </c>
      <c r="T28" s="133">
        <f t="shared" ref="T28:AF28" si="20">SUM(D82:D85)</f>
        <v>3</v>
      </c>
      <c r="U28" s="133">
        <f t="shared" si="20"/>
        <v>2.5</v>
      </c>
      <c r="V28" s="133">
        <f t="shared" si="20"/>
        <v>3</v>
      </c>
      <c r="W28" s="133">
        <f t="shared" si="20"/>
        <v>0</v>
      </c>
      <c r="X28" s="133">
        <f t="shared" si="20"/>
        <v>0</v>
      </c>
      <c r="Y28" s="133">
        <f t="shared" si="20"/>
        <v>1.5</v>
      </c>
      <c r="Z28" s="133">
        <f t="shared" si="20"/>
        <v>1</v>
      </c>
      <c r="AA28" s="133">
        <f t="shared" si="20"/>
        <v>0</v>
      </c>
      <c r="AB28" s="133">
        <f t="shared" si="20"/>
        <v>0</v>
      </c>
      <c r="AC28" s="133">
        <f t="shared" si="20"/>
        <v>65.5</v>
      </c>
      <c r="AD28" s="133">
        <f t="shared" si="20"/>
        <v>0</v>
      </c>
      <c r="AE28" s="146">
        <f t="shared" si="20"/>
        <v>30.5</v>
      </c>
      <c r="AF28" s="146">
        <f t="shared" si="20"/>
        <v>96</v>
      </c>
    </row>
    <row r="29" spans="2:32" ht="23.1" customHeight="1" x14ac:dyDescent="0.25">
      <c r="B29" s="23" t="s">
        <v>56</v>
      </c>
      <c r="C29" s="49">
        <f>'Avg Week Kaasangati-Matugga'!C29+'Avg Week Matugga-Kasangati'!C29</f>
        <v>21.142857142857142</v>
      </c>
      <c r="D29" s="49">
        <f>'Avg Week Kaasangati-Matugga'!D29+'Avg Week Matugga-Kasangati'!D29</f>
        <v>6.4285714285714288</v>
      </c>
      <c r="E29" s="49">
        <f>'Avg Week Kaasangati-Matugga'!E29+'Avg Week Matugga-Kasangati'!E29</f>
        <v>5.4285714285714288</v>
      </c>
      <c r="F29" s="49">
        <f>'Avg Week Kaasangati-Matugga'!F29+'Avg Week Matugga-Kasangati'!F29</f>
        <v>4.8571428571428568</v>
      </c>
      <c r="G29" s="49">
        <f>'Avg Week Kaasangati-Matugga'!G29+'Avg Week Matugga-Kasangati'!G29</f>
        <v>0.71428571428571419</v>
      </c>
      <c r="H29" s="49">
        <f>'Avg Week Kaasangati-Matugga'!H29+'Avg Week Matugga-Kasangati'!H29</f>
        <v>0</v>
      </c>
      <c r="I29" s="49">
        <f>'Avg Week Kaasangati-Matugga'!I29+'Avg Week Matugga-Kasangati'!I29</f>
        <v>4.8571428571428577</v>
      </c>
      <c r="J29" s="49">
        <f>'Avg Week Kaasangati-Matugga'!J29+'Avg Week Matugga-Kasangati'!J29</f>
        <v>0.8571428571428571</v>
      </c>
      <c r="K29" s="49">
        <f>'Avg Week Kaasangati-Matugga'!K29+'Avg Week Matugga-Kasangati'!K29</f>
        <v>1</v>
      </c>
      <c r="L29" s="49">
        <f>'Avg Week Kaasangati-Matugga'!L29+'Avg Week Matugga-Kasangati'!L29</f>
        <v>0.14285714285714285</v>
      </c>
      <c r="M29" s="49">
        <f>'Avg Week Kaasangati-Matugga'!M29+'Avg Week Matugga-Kasangati'!M29</f>
        <v>77.142857142857139</v>
      </c>
      <c r="N29" s="49">
        <f>'Avg Week Kaasangati-Matugga'!N29+'Avg Week Matugga-Kasangati'!N29</f>
        <v>0</v>
      </c>
      <c r="O29" s="15">
        <f t="shared" si="0"/>
        <v>45.428571428571431</v>
      </c>
      <c r="P29" s="15">
        <f t="shared" si="1"/>
        <v>122.57142857142857</v>
      </c>
      <c r="R29" s="102" t="s">
        <v>153</v>
      </c>
      <c r="S29" s="133">
        <f>SUM(C86:C89)</f>
        <v>7.5</v>
      </c>
      <c r="T29" s="133">
        <f t="shared" ref="T29:AF29" si="21">SUM(D86:D89)</f>
        <v>2.5</v>
      </c>
      <c r="U29" s="133">
        <f t="shared" si="21"/>
        <v>2</v>
      </c>
      <c r="V29" s="133">
        <f t="shared" si="21"/>
        <v>0.5</v>
      </c>
      <c r="W29" s="133">
        <f t="shared" si="21"/>
        <v>0</v>
      </c>
      <c r="X29" s="133">
        <f t="shared" si="21"/>
        <v>0</v>
      </c>
      <c r="Y29" s="133">
        <f t="shared" si="21"/>
        <v>2.5</v>
      </c>
      <c r="Z29" s="133">
        <f t="shared" si="21"/>
        <v>0.5</v>
      </c>
      <c r="AA29" s="133">
        <f t="shared" si="21"/>
        <v>0</v>
      </c>
      <c r="AB29" s="133">
        <f t="shared" si="21"/>
        <v>0</v>
      </c>
      <c r="AC29" s="133">
        <f t="shared" si="21"/>
        <v>29</v>
      </c>
      <c r="AD29" s="133">
        <f t="shared" si="21"/>
        <v>0</v>
      </c>
      <c r="AE29" s="146">
        <f t="shared" si="21"/>
        <v>15.5</v>
      </c>
      <c r="AF29" s="146">
        <f t="shared" si="21"/>
        <v>44.5</v>
      </c>
    </row>
    <row r="30" spans="2:32" ht="23.1" customHeight="1" x14ac:dyDescent="0.25">
      <c r="B30" s="23" t="s">
        <v>57</v>
      </c>
      <c r="C30" s="49">
        <f>'Avg Week Kaasangati-Matugga'!C30+'Avg Week Matugga-Kasangati'!C30</f>
        <v>19.857142857142858</v>
      </c>
      <c r="D30" s="49">
        <f>'Avg Week Kaasangati-Matugga'!D30+'Avg Week Matugga-Kasangati'!D30</f>
        <v>6.7142857142857135</v>
      </c>
      <c r="E30" s="49">
        <f>'Avg Week Kaasangati-Matugga'!E30+'Avg Week Matugga-Kasangati'!E30</f>
        <v>5.2857142857142856</v>
      </c>
      <c r="F30" s="49">
        <f>'Avg Week Kaasangati-Matugga'!F30+'Avg Week Matugga-Kasangati'!F30</f>
        <v>5</v>
      </c>
      <c r="G30" s="49">
        <f>'Avg Week Kaasangati-Matugga'!G30+'Avg Week Matugga-Kasangati'!G30</f>
        <v>0.14285714285714285</v>
      </c>
      <c r="H30" s="49">
        <f>'Avg Week Kaasangati-Matugga'!H30+'Avg Week Matugga-Kasangati'!H30</f>
        <v>0</v>
      </c>
      <c r="I30" s="49">
        <f>'Avg Week Kaasangati-Matugga'!I30+'Avg Week Matugga-Kasangati'!I30</f>
        <v>5.7142857142857144</v>
      </c>
      <c r="J30" s="49">
        <f>'Avg Week Kaasangati-Matugga'!J30+'Avg Week Matugga-Kasangati'!J30</f>
        <v>2.2857142857142856</v>
      </c>
      <c r="K30" s="49">
        <f>'Avg Week Kaasangati-Matugga'!K30+'Avg Week Matugga-Kasangati'!K30</f>
        <v>0.5714285714285714</v>
      </c>
      <c r="L30" s="49">
        <f>'Avg Week Kaasangati-Matugga'!L30+'Avg Week Matugga-Kasangati'!L30</f>
        <v>0.2857142857142857</v>
      </c>
      <c r="M30" s="49">
        <f>'Avg Week Kaasangati-Matugga'!M30+'Avg Week Matugga-Kasangati'!M30</f>
        <v>71.142857142857139</v>
      </c>
      <c r="N30" s="49">
        <f>'Avg Week Kaasangati-Matugga'!N30+'Avg Week Matugga-Kasangati'!N30</f>
        <v>0</v>
      </c>
      <c r="O30" s="15">
        <f t="shared" si="0"/>
        <v>45.857142857142854</v>
      </c>
      <c r="P30" s="15">
        <f t="shared" si="1"/>
        <v>117</v>
      </c>
      <c r="R30" s="102" t="s">
        <v>154</v>
      </c>
      <c r="S30" s="133">
        <f>SUM(C90:C93)</f>
        <v>9.5</v>
      </c>
      <c r="T30" s="133">
        <f t="shared" ref="T30:AF30" si="22">SUM(D90:D93)</f>
        <v>1</v>
      </c>
      <c r="U30" s="133">
        <f t="shared" si="22"/>
        <v>1</v>
      </c>
      <c r="V30" s="133">
        <f t="shared" si="22"/>
        <v>1</v>
      </c>
      <c r="W30" s="133">
        <f t="shared" si="22"/>
        <v>0</v>
      </c>
      <c r="X30" s="133">
        <f t="shared" si="22"/>
        <v>0</v>
      </c>
      <c r="Y30" s="133">
        <f t="shared" si="22"/>
        <v>1</v>
      </c>
      <c r="Z30" s="133">
        <f t="shared" si="22"/>
        <v>1</v>
      </c>
      <c r="AA30" s="133">
        <f t="shared" si="22"/>
        <v>0</v>
      </c>
      <c r="AB30" s="133">
        <f t="shared" si="22"/>
        <v>0</v>
      </c>
      <c r="AC30" s="133">
        <f t="shared" si="22"/>
        <v>26</v>
      </c>
      <c r="AD30" s="133">
        <f t="shared" si="22"/>
        <v>0.5</v>
      </c>
      <c r="AE30" s="146">
        <f t="shared" si="22"/>
        <v>15</v>
      </c>
      <c r="AF30" s="146">
        <f t="shared" si="22"/>
        <v>41</v>
      </c>
    </row>
    <row r="31" spans="2:32" ht="23.1" customHeight="1" x14ac:dyDescent="0.25">
      <c r="B31" s="24" t="s">
        <v>58</v>
      </c>
      <c r="C31" s="49">
        <f>'Avg Week Kaasangati-Matugga'!C31+'Avg Week Matugga-Kasangati'!C31</f>
        <v>19.285714285714285</v>
      </c>
      <c r="D31" s="49">
        <f>'Avg Week Kaasangati-Matugga'!D31+'Avg Week Matugga-Kasangati'!D31</f>
        <v>5.2857142857142856</v>
      </c>
      <c r="E31" s="49">
        <f>'Avg Week Kaasangati-Matugga'!E31+'Avg Week Matugga-Kasangati'!E31</f>
        <v>4.4285714285714288</v>
      </c>
      <c r="F31" s="49">
        <f>'Avg Week Kaasangati-Matugga'!F31+'Avg Week Matugga-Kasangati'!F31</f>
        <v>4.2857142857142856</v>
      </c>
      <c r="G31" s="49">
        <f>'Avg Week Kaasangati-Matugga'!G31+'Avg Week Matugga-Kasangati'!G31</f>
        <v>0.5714285714285714</v>
      </c>
      <c r="H31" s="49">
        <f>'Avg Week Kaasangati-Matugga'!H31+'Avg Week Matugga-Kasangati'!H31</f>
        <v>0</v>
      </c>
      <c r="I31" s="49">
        <f>'Avg Week Kaasangati-Matugga'!I31+'Avg Week Matugga-Kasangati'!I31</f>
        <v>6.5714285714285712</v>
      </c>
      <c r="J31" s="49">
        <f>'Avg Week Kaasangati-Matugga'!J31+'Avg Week Matugga-Kasangati'!J31</f>
        <v>1.1428571428571428</v>
      </c>
      <c r="K31" s="49">
        <f>'Avg Week Kaasangati-Matugga'!K31+'Avg Week Matugga-Kasangati'!K31</f>
        <v>0.42857142857142855</v>
      </c>
      <c r="L31" s="49">
        <f>'Avg Week Kaasangati-Matugga'!L31+'Avg Week Matugga-Kasangati'!L31</f>
        <v>0</v>
      </c>
      <c r="M31" s="49">
        <f>'Avg Week Kaasangati-Matugga'!M31+'Avg Week Matugga-Kasangati'!M31</f>
        <v>76</v>
      </c>
      <c r="N31" s="49">
        <f>'Avg Week Kaasangati-Matugga'!N31+'Avg Week Matugga-Kasangati'!N31</f>
        <v>0</v>
      </c>
      <c r="O31" s="15">
        <f t="shared" si="0"/>
        <v>42</v>
      </c>
      <c r="P31" s="15">
        <f t="shared" si="1"/>
        <v>118</v>
      </c>
      <c r="R31" s="102" t="s">
        <v>155</v>
      </c>
      <c r="S31" s="133">
        <f>SUM(C94:C97)</f>
        <v>5.5</v>
      </c>
      <c r="T31" s="133">
        <f t="shared" ref="T31:AF31" si="23">SUM(D94:D97)</f>
        <v>0.5</v>
      </c>
      <c r="U31" s="133">
        <f t="shared" si="23"/>
        <v>1</v>
      </c>
      <c r="V31" s="133">
        <f t="shared" si="23"/>
        <v>2</v>
      </c>
      <c r="W31" s="133">
        <f t="shared" si="23"/>
        <v>0</v>
      </c>
      <c r="X31" s="133">
        <f t="shared" si="23"/>
        <v>0</v>
      </c>
      <c r="Y31" s="133">
        <f t="shared" si="23"/>
        <v>1.5</v>
      </c>
      <c r="Z31" s="133">
        <f t="shared" si="23"/>
        <v>0.5</v>
      </c>
      <c r="AA31" s="133">
        <f t="shared" si="23"/>
        <v>0.5</v>
      </c>
      <c r="AB31" s="133">
        <f t="shared" si="23"/>
        <v>0</v>
      </c>
      <c r="AC31" s="133">
        <f t="shared" si="23"/>
        <v>25.5</v>
      </c>
      <c r="AD31" s="133">
        <f t="shared" si="23"/>
        <v>0</v>
      </c>
      <c r="AE31" s="146">
        <f t="shared" si="23"/>
        <v>11.5</v>
      </c>
      <c r="AF31" s="146">
        <f t="shared" si="23"/>
        <v>37</v>
      </c>
    </row>
    <row r="32" spans="2:32" ht="23.1" customHeight="1" x14ac:dyDescent="0.25">
      <c r="B32" s="24" t="s">
        <v>59</v>
      </c>
      <c r="C32" s="49">
        <f>'Avg Week Kaasangati-Matugga'!C32+'Avg Week Matugga-Kasangati'!C32</f>
        <v>17.857142857142858</v>
      </c>
      <c r="D32" s="49">
        <f>'Avg Week Kaasangati-Matugga'!D32+'Avg Week Matugga-Kasangati'!D32</f>
        <v>5.5714285714285712</v>
      </c>
      <c r="E32" s="49">
        <f>'Avg Week Kaasangati-Matugga'!E32+'Avg Week Matugga-Kasangati'!E32</f>
        <v>4</v>
      </c>
      <c r="F32" s="49">
        <f>'Avg Week Kaasangati-Matugga'!F32+'Avg Week Matugga-Kasangati'!F32</f>
        <v>4.1428571428571432</v>
      </c>
      <c r="G32" s="49">
        <f>'Avg Week Kaasangati-Matugga'!G32+'Avg Week Matugga-Kasangati'!G32</f>
        <v>0.14285714285714285</v>
      </c>
      <c r="H32" s="49">
        <f>'Avg Week Kaasangati-Matugga'!H32+'Avg Week Matugga-Kasangati'!H32</f>
        <v>0</v>
      </c>
      <c r="I32" s="49">
        <f>'Avg Week Kaasangati-Matugga'!I32+'Avg Week Matugga-Kasangati'!I32</f>
        <v>6.1428571428571423</v>
      </c>
      <c r="J32" s="49">
        <f>'Avg Week Kaasangati-Matugga'!J32+'Avg Week Matugga-Kasangati'!J32</f>
        <v>1.4285714285714286</v>
      </c>
      <c r="K32" s="49">
        <f>'Avg Week Kaasangati-Matugga'!K32+'Avg Week Matugga-Kasangati'!K32</f>
        <v>0.42857142857142855</v>
      </c>
      <c r="L32" s="49">
        <f>'Avg Week Kaasangati-Matugga'!L32+'Avg Week Matugga-Kasangati'!L32</f>
        <v>0.42857142857142855</v>
      </c>
      <c r="M32" s="49">
        <f>'Avg Week Kaasangati-Matugga'!M32+'Avg Week Matugga-Kasangati'!M32</f>
        <v>76</v>
      </c>
      <c r="N32" s="49">
        <f>'Avg Week Kaasangati-Matugga'!N32+'Avg Week Matugga-Kasangati'!N32</f>
        <v>0</v>
      </c>
      <c r="O32" s="15">
        <f t="shared" si="0"/>
        <v>40.142857142857153</v>
      </c>
      <c r="P32" s="15">
        <f t="shared" si="1"/>
        <v>116.14285714285715</v>
      </c>
      <c r="R32" s="102" t="s">
        <v>156</v>
      </c>
      <c r="S32" s="133">
        <f>SUM(C98:C101)</f>
        <v>19</v>
      </c>
      <c r="T32" s="133">
        <f t="shared" ref="T32:AF32" si="24">SUM(D98:D101)</f>
        <v>2.5</v>
      </c>
      <c r="U32" s="133">
        <f t="shared" si="24"/>
        <v>4.5</v>
      </c>
      <c r="V32" s="133">
        <f t="shared" si="24"/>
        <v>11.5</v>
      </c>
      <c r="W32" s="133">
        <f t="shared" si="24"/>
        <v>1</v>
      </c>
      <c r="X32" s="133">
        <f t="shared" si="24"/>
        <v>0</v>
      </c>
      <c r="Y32" s="133">
        <f t="shared" si="24"/>
        <v>2</v>
      </c>
      <c r="Z32" s="133">
        <f t="shared" si="24"/>
        <v>2.5</v>
      </c>
      <c r="AA32" s="133">
        <f t="shared" si="24"/>
        <v>0</v>
      </c>
      <c r="AB32" s="133">
        <f t="shared" si="24"/>
        <v>0</v>
      </c>
      <c r="AC32" s="133">
        <f t="shared" si="24"/>
        <v>41.5</v>
      </c>
      <c r="AD32" s="133">
        <f t="shared" si="24"/>
        <v>0</v>
      </c>
      <c r="AE32" s="146">
        <f t="shared" si="24"/>
        <v>43</v>
      </c>
      <c r="AF32" s="146">
        <f t="shared" si="24"/>
        <v>84.5</v>
      </c>
    </row>
    <row r="33" spans="2:32" ht="23.1" customHeight="1" x14ac:dyDescent="0.25">
      <c r="B33" s="23" t="s">
        <v>60</v>
      </c>
      <c r="C33" s="49">
        <f>'Avg Week Kaasangati-Matugga'!C33+'Avg Week Matugga-Kasangati'!C33</f>
        <v>20.857142857142858</v>
      </c>
      <c r="D33" s="49">
        <f>'Avg Week Kaasangati-Matugga'!D33+'Avg Week Matugga-Kasangati'!D33</f>
        <v>3.4285714285714288</v>
      </c>
      <c r="E33" s="49">
        <f>'Avg Week Kaasangati-Matugga'!E33+'Avg Week Matugga-Kasangati'!E33</f>
        <v>4.7142857142857135</v>
      </c>
      <c r="F33" s="49">
        <f>'Avg Week Kaasangati-Matugga'!F33+'Avg Week Matugga-Kasangati'!F33</f>
        <v>3.5714285714285712</v>
      </c>
      <c r="G33" s="49">
        <f>'Avg Week Kaasangati-Matugga'!G33+'Avg Week Matugga-Kasangati'!G33</f>
        <v>0.14285714285714285</v>
      </c>
      <c r="H33" s="49">
        <f>'Avg Week Kaasangati-Matugga'!H33+'Avg Week Matugga-Kasangati'!H33</f>
        <v>0</v>
      </c>
      <c r="I33" s="49">
        <f>'Avg Week Kaasangati-Matugga'!I33+'Avg Week Matugga-Kasangati'!I33</f>
        <v>5.5714285714285712</v>
      </c>
      <c r="J33" s="49">
        <f>'Avg Week Kaasangati-Matugga'!J33+'Avg Week Matugga-Kasangati'!J33</f>
        <v>1.5714285714285714</v>
      </c>
      <c r="K33" s="49">
        <f>'Avg Week Kaasangati-Matugga'!K33+'Avg Week Matugga-Kasangati'!K33</f>
        <v>1.4285714285714286</v>
      </c>
      <c r="L33" s="49">
        <f>'Avg Week Kaasangati-Matugga'!L33+'Avg Week Matugga-Kasangati'!L33</f>
        <v>0</v>
      </c>
      <c r="M33" s="49">
        <f>'Avg Week Kaasangati-Matugga'!M33+'Avg Week Matugga-Kasangati'!M33</f>
        <v>71.857142857142861</v>
      </c>
      <c r="N33" s="49">
        <f>'Avg Week Kaasangati-Matugga'!N33+'Avg Week Matugga-Kasangati'!N33</f>
        <v>0</v>
      </c>
      <c r="O33" s="15">
        <f t="shared" si="0"/>
        <v>41.285714285714285</v>
      </c>
      <c r="P33" s="15">
        <f t="shared" si="1"/>
        <v>113.14285714285714</v>
      </c>
      <c r="R33" s="102" t="s">
        <v>157</v>
      </c>
      <c r="S33" s="133">
        <f>SUM(C102:C105)</f>
        <v>83</v>
      </c>
      <c r="T33" s="133">
        <f t="shared" ref="T33:AF33" si="25">SUM(D102:D105)</f>
        <v>15.5</v>
      </c>
      <c r="U33" s="133">
        <f t="shared" si="25"/>
        <v>9</v>
      </c>
      <c r="V33" s="133">
        <f t="shared" si="25"/>
        <v>24</v>
      </c>
      <c r="W33" s="133">
        <f t="shared" si="25"/>
        <v>2.5</v>
      </c>
      <c r="X33" s="133">
        <f t="shared" si="25"/>
        <v>0</v>
      </c>
      <c r="Y33" s="133">
        <f t="shared" si="25"/>
        <v>10.5</v>
      </c>
      <c r="Z33" s="133">
        <f t="shared" si="25"/>
        <v>1.5</v>
      </c>
      <c r="AA33" s="133">
        <f t="shared" si="25"/>
        <v>0.5</v>
      </c>
      <c r="AB33" s="133">
        <f t="shared" si="25"/>
        <v>0.5</v>
      </c>
      <c r="AC33" s="133">
        <f t="shared" si="25"/>
        <v>137</v>
      </c>
      <c r="AD33" s="133">
        <f t="shared" si="25"/>
        <v>0</v>
      </c>
      <c r="AE33" s="146">
        <f t="shared" si="25"/>
        <v>147</v>
      </c>
      <c r="AF33" s="146">
        <f t="shared" si="25"/>
        <v>284</v>
      </c>
    </row>
    <row r="34" spans="2:32" ht="23.1" customHeight="1" x14ac:dyDescent="0.25">
      <c r="B34" s="24" t="s">
        <v>61</v>
      </c>
      <c r="C34" s="49">
        <f>'Avg Week Kaasangati-Matugga'!C34+'Avg Week Matugga-Kasangati'!C34</f>
        <v>18.142857142857142</v>
      </c>
      <c r="D34" s="49">
        <f>'Avg Week Kaasangati-Matugga'!D34+'Avg Week Matugga-Kasangati'!D34</f>
        <v>6.7142857142857144</v>
      </c>
      <c r="E34" s="49">
        <f>'Avg Week Kaasangati-Matugga'!E34+'Avg Week Matugga-Kasangati'!E34</f>
        <v>4.8571428571428577</v>
      </c>
      <c r="F34" s="49">
        <f>'Avg Week Kaasangati-Matugga'!F34+'Avg Week Matugga-Kasangati'!F34</f>
        <v>5</v>
      </c>
      <c r="G34" s="49">
        <f>'Avg Week Kaasangati-Matugga'!G34+'Avg Week Matugga-Kasangati'!G34</f>
        <v>0.42857142857142855</v>
      </c>
      <c r="H34" s="49">
        <f>'Avg Week Kaasangati-Matugga'!H34+'Avg Week Matugga-Kasangati'!H34</f>
        <v>0</v>
      </c>
      <c r="I34" s="49">
        <f>'Avg Week Kaasangati-Matugga'!I34+'Avg Week Matugga-Kasangati'!I34</f>
        <v>5.7142857142857144</v>
      </c>
      <c r="J34" s="49">
        <f>'Avg Week Kaasangati-Matugga'!J34+'Avg Week Matugga-Kasangati'!J34</f>
        <v>1.2857142857142856</v>
      </c>
      <c r="K34" s="49">
        <f>'Avg Week Kaasangati-Matugga'!K34+'Avg Week Matugga-Kasangati'!K34</f>
        <v>1</v>
      </c>
      <c r="L34" s="49">
        <f>'Avg Week Kaasangati-Matugga'!L34+'Avg Week Matugga-Kasangati'!L34</f>
        <v>0.14285714285714285</v>
      </c>
      <c r="M34" s="49">
        <f>'Avg Week Kaasangati-Matugga'!M34+'Avg Week Matugga-Kasangati'!M34</f>
        <v>66.571428571428569</v>
      </c>
      <c r="N34" s="49">
        <f>'Avg Week Kaasangati-Matugga'!N34+'Avg Week Matugga-Kasangati'!N34</f>
        <v>0</v>
      </c>
      <c r="O34" s="15">
        <f t="shared" si="0"/>
        <v>43.285714285714292</v>
      </c>
      <c r="P34" s="15">
        <f t="shared" si="1"/>
        <v>109.85714285714286</v>
      </c>
      <c r="R34" s="38" t="s">
        <v>90</v>
      </c>
      <c r="S34" s="39">
        <f t="shared" ref="S34:AF34" si="26">MAX(S10:S12)</f>
        <v>116.57142857142858</v>
      </c>
      <c r="T34" s="39">
        <f t="shared" si="26"/>
        <v>27</v>
      </c>
      <c r="U34" s="39">
        <f t="shared" si="26"/>
        <v>17.285714285714285</v>
      </c>
      <c r="V34" s="39">
        <f t="shared" si="26"/>
        <v>27.857142857142861</v>
      </c>
      <c r="W34" s="39">
        <f t="shared" si="26"/>
        <v>2.2857142857142856</v>
      </c>
      <c r="X34" s="39">
        <f t="shared" si="26"/>
        <v>0.42857142857142855</v>
      </c>
      <c r="Y34" s="39">
        <f t="shared" si="26"/>
        <v>18.857142857142858</v>
      </c>
      <c r="Z34" s="39">
        <f t="shared" si="26"/>
        <v>3.714285714285714</v>
      </c>
      <c r="AA34" s="39">
        <f t="shared" si="26"/>
        <v>1.4285714285714284</v>
      </c>
      <c r="AB34" s="39">
        <f t="shared" si="26"/>
        <v>0.99999999999999989</v>
      </c>
      <c r="AC34" s="39">
        <f t="shared" si="26"/>
        <v>382.57142857142856</v>
      </c>
      <c r="AD34" s="39">
        <f t="shared" si="26"/>
        <v>0.14285714285714285</v>
      </c>
      <c r="AE34" s="40">
        <f t="shared" si="26"/>
        <v>202.57142857142861</v>
      </c>
      <c r="AF34" s="40">
        <f t="shared" si="26"/>
        <v>556.42857142857144</v>
      </c>
    </row>
    <row r="35" spans="2:32" ht="23.1" customHeight="1" x14ac:dyDescent="0.25">
      <c r="B35" s="24" t="s">
        <v>62</v>
      </c>
      <c r="C35" s="49">
        <f>'Avg Week Kaasangati-Matugga'!C35+'Avg Week Matugga-Kasangati'!C35</f>
        <v>17.428571428571431</v>
      </c>
      <c r="D35" s="49">
        <f>'Avg Week Kaasangati-Matugga'!D35+'Avg Week Matugga-Kasangati'!D35</f>
        <v>5</v>
      </c>
      <c r="E35" s="49">
        <f>'Avg Week Kaasangati-Matugga'!E35+'Avg Week Matugga-Kasangati'!E35</f>
        <v>3.5714285714285712</v>
      </c>
      <c r="F35" s="49">
        <f>'Avg Week Kaasangati-Matugga'!F35+'Avg Week Matugga-Kasangati'!F35</f>
        <v>4.4285714285714288</v>
      </c>
      <c r="G35" s="49">
        <f>'Avg Week Kaasangati-Matugga'!G35+'Avg Week Matugga-Kasangati'!G35</f>
        <v>0</v>
      </c>
      <c r="H35" s="49">
        <f>'Avg Week Kaasangati-Matugga'!H35+'Avg Week Matugga-Kasangati'!H35</f>
        <v>0</v>
      </c>
      <c r="I35" s="49">
        <f>'Avg Week Kaasangati-Matugga'!I35+'Avg Week Matugga-Kasangati'!I35</f>
        <v>3.8571428571428568</v>
      </c>
      <c r="J35" s="49">
        <f>'Avg Week Kaasangati-Matugga'!J35+'Avg Week Matugga-Kasangati'!J35</f>
        <v>1.2857142857142856</v>
      </c>
      <c r="K35" s="49">
        <f>'Avg Week Kaasangati-Matugga'!K35+'Avg Week Matugga-Kasangati'!K35</f>
        <v>0.42857142857142855</v>
      </c>
      <c r="L35" s="49">
        <f>'Avg Week Kaasangati-Matugga'!L35+'Avg Week Matugga-Kasangati'!L35</f>
        <v>0</v>
      </c>
      <c r="M35" s="49">
        <f>'Avg Week Kaasangati-Matugga'!M35+'Avg Week Matugga-Kasangati'!M35</f>
        <v>67.142857142857139</v>
      </c>
      <c r="N35" s="49">
        <f>'Avg Week Kaasangati-Matugga'!N35+'Avg Week Matugga-Kasangati'!N35</f>
        <v>0</v>
      </c>
      <c r="O35" s="15">
        <f t="shared" si="0"/>
        <v>36</v>
      </c>
      <c r="P35" s="15">
        <f t="shared" si="1"/>
        <v>103.14285714285714</v>
      </c>
      <c r="R35" s="38" t="s">
        <v>91</v>
      </c>
      <c r="S35" s="39">
        <f t="shared" ref="S35:AF35" si="27">MAX(S13:S18)</f>
        <v>87.714285714285708</v>
      </c>
      <c r="T35" s="39">
        <f t="shared" si="27"/>
        <v>28.714285714285715</v>
      </c>
      <c r="U35" s="39">
        <f t="shared" si="27"/>
        <v>20.142857142857142</v>
      </c>
      <c r="V35" s="39">
        <f t="shared" si="27"/>
        <v>19.142857142857142</v>
      </c>
      <c r="W35" s="39">
        <f t="shared" si="27"/>
        <v>0.99999999999999989</v>
      </c>
      <c r="X35" s="39">
        <f t="shared" si="27"/>
        <v>0.2857142857142857</v>
      </c>
      <c r="Y35" s="39">
        <f t="shared" si="27"/>
        <v>24</v>
      </c>
      <c r="Z35" s="39">
        <f t="shared" si="27"/>
        <v>6.8571428571428568</v>
      </c>
      <c r="AA35" s="39">
        <f t="shared" si="27"/>
        <v>3</v>
      </c>
      <c r="AB35" s="39">
        <f t="shared" si="27"/>
        <v>1.5714285714285712</v>
      </c>
      <c r="AC35" s="39">
        <f t="shared" si="27"/>
        <v>311.71428571428572</v>
      </c>
      <c r="AD35" s="39">
        <f t="shared" si="27"/>
        <v>8</v>
      </c>
      <c r="AE35" s="40">
        <f t="shared" si="27"/>
        <v>193.42857142857144</v>
      </c>
      <c r="AF35" s="40">
        <f t="shared" si="27"/>
        <v>504.42857142857139</v>
      </c>
    </row>
    <row r="36" spans="2:32" ht="23.1" customHeight="1" x14ac:dyDescent="0.25">
      <c r="B36" s="24" t="s">
        <v>63</v>
      </c>
      <c r="C36" s="49">
        <f>'Avg Week Kaasangati-Matugga'!C36+'Avg Week Matugga-Kasangati'!C36</f>
        <v>25</v>
      </c>
      <c r="D36" s="49">
        <f>'Avg Week Kaasangati-Matugga'!D36+'Avg Week Matugga-Kasangati'!D36</f>
        <v>6</v>
      </c>
      <c r="E36" s="49">
        <f>'Avg Week Kaasangati-Matugga'!E36+'Avg Week Matugga-Kasangati'!E36</f>
        <v>4.4285714285714288</v>
      </c>
      <c r="F36" s="49">
        <f>'Avg Week Kaasangati-Matugga'!F36+'Avg Week Matugga-Kasangati'!F36</f>
        <v>4.2857142857142856</v>
      </c>
      <c r="G36" s="49">
        <f>'Avg Week Kaasangati-Matugga'!G36+'Avg Week Matugga-Kasangati'!G36</f>
        <v>0</v>
      </c>
      <c r="H36" s="49">
        <f>'Avg Week Kaasangati-Matugga'!H36+'Avg Week Matugga-Kasangati'!H36</f>
        <v>0</v>
      </c>
      <c r="I36" s="49">
        <f>'Avg Week Kaasangati-Matugga'!I36+'Avg Week Matugga-Kasangati'!I36</f>
        <v>5</v>
      </c>
      <c r="J36" s="49">
        <f>'Avg Week Kaasangati-Matugga'!J36+'Avg Week Matugga-Kasangati'!J36</f>
        <v>0.8571428571428571</v>
      </c>
      <c r="K36" s="49">
        <f>'Avg Week Kaasangati-Matugga'!K36+'Avg Week Matugga-Kasangati'!K36</f>
        <v>0.5714285714285714</v>
      </c>
      <c r="L36" s="49">
        <f>'Avg Week Kaasangati-Matugga'!L36+'Avg Week Matugga-Kasangati'!L36</f>
        <v>0</v>
      </c>
      <c r="M36" s="49">
        <f>'Avg Week Kaasangati-Matugga'!M36+'Avg Week Matugga-Kasangati'!M36</f>
        <v>63.571428571428569</v>
      </c>
      <c r="N36" s="49">
        <f>'Avg Week Kaasangati-Matugga'!N36+'Avg Week Matugga-Kasangati'!N36</f>
        <v>0</v>
      </c>
      <c r="O36" s="15">
        <f t="shared" si="0"/>
        <v>46.142857142857139</v>
      </c>
      <c r="P36" s="15">
        <f t="shared" si="1"/>
        <v>109.71428571428571</v>
      </c>
      <c r="R36" s="38" t="s">
        <v>92</v>
      </c>
      <c r="S36" s="39">
        <f t="shared" ref="S36:AF36" si="28">MAX(S19:S21)</f>
        <v>128.57142857142856</v>
      </c>
      <c r="T36" s="39">
        <f t="shared" si="28"/>
        <v>42.142857142857139</v>
      </c>
      <c r="U36" s="39">
        <f t="shared" si="28"/>
        <v>27.714285714285715</v>
      </c>
      <c r="V36" s="39">
        <f t="shared" si="28"/>
        <v>41.714285714285715</v>
      </c>
      <c r="W36" s="39">
        <f t="shared" si="28"/>
        <v>1.857142857142857</v>
      </c>
      <c r="X36" s="39">
        <f t="shared" si="28"/>
        <v>0.5714285714285714</v>
      </c>
      <c r="Y36" s="39">
        <f t="shared" si="28"/>
        <v>20.285714285714285</v>
      </c>
      <c r="Z36" s="39">
        <f t="shared" si="28"/>
        <v>5.8571428571428568</v>
      </c>
      <c r="AA36" s="39">
        <f t="shared" si="28"/>
        <v>2.2857142857142856</v>
      </c>
      <c r="AB36" s="39">
        <f t="shared" si="28"/>
        <v>0.8571428571428571</v>
      </c>
      <c r="AC36" s="39">
        <f t="shared" si="28"/>
        <v>339.28571428571428</v>
      </c>
      <c r="AD36" s="39">
        <f t="shared" si="28"/>
        <v>0.14285714285714285</v>
      </c>
      <c r="AE36" s="40">
        <f t="shared" si="28"/>
        <v>265</v>
      </c>
      <c r="AF36" s="40">
        <f t="shared" si="28"/>
        <v>604.28571428571422</v>
      </c>
    </row>
    <row r="37" spans="2:32" ht="23.1" customHeight="1" x14ac:dyDescent="0.25">
      <c r="B37" s="23" t="s">
        <v>64</v>
      </c>
      <c r="C37" s="49">
        <f>'Avg Week Kaasangati-Matugga'!C37+'Avg Week Matugga-Kasangati'!C37</f>
        <v>19.428571428571431</v>
      </c>
      <c r="D37" s="49">
        <f>'Avg Week Kaasangati-Matugga'!D37+'Avg Week Matugga-Kasangati'!D37</f>
        <v>7.8571428571428568</v>
      </c>
      <c r="E37" s="49">
        <f>'Avg Week Kaasangati-Matugga'!E37+'Avg Week Matugga-Kasangati'!E37</f>
        <v>4.5714285714285712</v>
      </c>
      <c r="F37" s="49">
        <f>'Avg Week Kaasangati-Matugga'!F37+'Avg Week Matugga-Kasangati'!F37</f>
        <v>5.1428571428571432</v>
      </c>
      <c r="G37" s="49">
        <f>'Avg Week Kaasangati-Matugga'!G37+'Avg Week Matugga-Kasangati'!G37</f>
        <v>0.14285714285714285</v>
      </c>
      <c r="H37" s="49">
        <f>'Avg Week Kaasangati-Matugga'!H37+'Avg Week Matugga-Kasangati'!H37</f>
        <v>0</v>
      </c>
      <c r="I37" s="49">
        <f>'Avg Week Kaasangati-Matugga'!I37+'Avg Week Matugga-Kasangati'!I37</f>
        <v>6</v>
      </c>
      <c r="J37" s="49">
        <f>'Avg Week Kaasangati-Matugga'!J37+'Avg Week Matugga-Kasangati'!J37</f>
        <v>0.71428571428571419</v>
      </c>
      <c r="K37" s="49">
        <f>'Avg Week Kaasangati-Matugga'!K37+'Avg Week Matugga-Kasangati'!K37</f>
        <v>0.5714285714285714</v>
      </c>
      <c r="L37" s="49">
        <f>'Avg Week Kaasangati-Matugga'!L37+'Avg Week Matugga-Kasangati'!L37</f>
        <v>0</v>
      </c>
      <c r="M37" s="49">
        <f>'Avg Week Kaasangati-Matugga'!M37+'Avg Week Matugga-Kasangati'!M37</f>
        <v>64.285714285714292</v>
      </c>
      <c r="N37" s="49">
        <f>'Avg Week Kaasangati-Matugga'!N37+'Avg Week Matugga-Kasangati'!N37</f>
        <v>0</v>
      </c>
      <c r="O37" s="15">
        <f t="shared" si="0"/>
        <v>44.428571428571438</v>
      </c>
      <c r="P37" s="15">
        <f t="shared" si="1"/>
        <v>108.71428571428572</v>
      </c>
      <c r="R37" s="37" t="s">
        <v>85</v>
      </c>
      <c r="S37" s="35">
        <f t="shared" ref="S37:AF37" si="29">SUM(S10:S12)</f>
        <v>289.14285714285711</v>
      </c>
      <c r="T37" s="16">
        <f t="shared" si="29"/>
        <v>74.428571428571431</v>
      </c>
      <c r="U37" s="16">
        <f t="shared" si="29"/>
        <v>48.285714285714285</v>
      </c>
      <c r="V37" s="16">
        <f t="shared" si="29"/>
        <v>71</v>
      </c>
      <c r="W37" s="16">
        <f t="shared" si="29"/>
        <v>4.1428571428571423</v>
      </c>
      <c r="X37" s="16">
        <f t="shared" si="29"/>
        <v>0.42857142857142855</v>
      </c>
      <c r="Y37" s="16">
        <f t="shared" si="29"/>
        <v>46.142857142857139</v>
      </c>
      <c r="Z37" s="16">
        <f t="shared" si="29"/>
        <v>10.285714285714285</v>
      </c>
      <c r="AA37" s="16">
        <f t="shared" si="29"/>
        <v>3.5714285714285712</v>
      </c>
      <c r="AB37" s="16">
        <f t="shared" si="29"/>
        <v>1.9999999999999998</v>
      </c>
      <c r="AC37" s="16">
        <f t="shared" si="29"/>
        <v>1082.8571428571429</v>
      </c>
      <c r="AD37" s="16">
        <f t="shared" si="29"/>
        <v>0.14285714285714285</v>
      </c>
      <c r="AE37" s="32">
        <f t="shared" si="29"/>
        <v>549.57142857142867</v>
      </c>
      <c r="AF37" s="32">
        <f t="shared" si="29"/>
        <v>1632.4285714285716</v>
      </c>
    </row>
    <row r="38" spans="2:32" ht="23.1" customHeight="1" x14ac:dyDescent="0.25">
      <c r="B38" s="24" t="s">
        <v>65</v>
      </c>
      <c r="C38" s="49">
        <f>'Avg Week Kaasangati-Matugga'!C38+'Avg Week Matugga-Kasangati'!C38</f>
        <v>19</v>
      </c>
      <c r="D38" s="49">
        <f>'Avg Week Kaasangati-Matugga'!D38+'Avg Week Matugga-Kasangati'!D38</f>
        <v>6.7142857142857144</v>
      </c>
      <c r="E38" s="49">
        <f>'Avg Week Kaasangati-Matugga'!E38+'Avg Week Matugga-Kasangati'!E38</f>
        <v>4.7142857142857135</v>
      </c>
      <c r="F38" s="49">
        <f>'Avg Week Kaasangati-Matugga'!F38+'Avg Week Matugga-Kasangati'!F38</f>
        <v>4.7142857142857144</v>
      </c>
      <c r="G38" s="49">
        <f>'Avg Week Kaasangati-Matugga'!G38+'Avg Week Matugga-Kasangati'!G38</f>
        <v>0</v>
      </c>
      <c r="H38" s="49">
        <f>'Avg Week Kaasangati-Matugga'!H38+'Avg Week Matugga-Kasangati'!H38</f>
        <v>0</v>
      </c>
      <c r="I38" s="49">
        <f>'Avg Week Kaasangati-Matugga'!I38+'Avg Week Matugga-Kasangati'!I38</f>
        <v>4.8571428571428577</v>
      </c>
      <c r="J38" s="49">
        <f>'Avg Week Kaasangati-Matugga'!J38+'Avg Week Matugga-Kasangati'!J38</f>
        <v>0.71428571428571419</v>
      </c>
      <c r="K38" s="49">
        <f>'Avg Week Kaasangati-Matugga'!K38+'Avg Week Matugga-Kasangati'!K38</f>
        <v>0.2857142857142857</v>
      </c>
      <c r="L38" s="49">
        <f>'Avg Week Kaasangati-Matugga'!L38+'Avg Week Matugga-Kasangati'!L38</f>
        <v>0.14285714285714285</v>
      </c>
      <c r="M38" s="49">
        <f>'Avg Week Kaasangati-Matugga'!M38+'Avg Week Matugga-Kasangati'!M38</f>
        <v>57.428571428571431</v>
      </c>
      <c r="N38" s="49">
        <f>'Avg Week Kaasangati-Matugga'!N38+'Avg Week Matugga-Kasangati'!N38</f>
        <v>0</v>
      </c>
      <c r="O38" s="15">
        <f t="shared" si="0"/>
        <v>41.142857142857146</v>
      </c>
      <c r="P38" s="15">
        <f t="shared" si="1"/>
        <v>98.571428571428584</v>
      </c>
      <c r="R38" s="28" t="s">
        <v>86</v>
      </c>
      <c r="S38" s="16">
        <f t="shared" ref="S38:AF38" si="30">SUM(S13:S18)</f>
        <v>487.85714285714278</v>
      </c>
      <c r="T38" s="16">
        <f t="shared" si="30"/>
        <v>146.57142857142856</v>
      </c>
      <c r="U38" s="16">
        <f t="shared" si="30"/>
        <v>105.28571428571431</v>
      </c>
      <c r="V38" s="16">
        <f t="shared" si="30"/>
        <v>105.85714285714286</v>
      </c>
      <c r="W38" s="16">
        <f t="shared" si="30"/>
        <v>3.4285714285714279</v>
      </c>
      <c r="X38" s="16">
        <f t="shared" si="30"/>
        <v>0.5714285714285714</v>
      </c>
      <c r="Y38" s="16">
        <f t="shared" si="30"/>
        <v>127.71428571428571</v>
      </c>
      <c r="Z38" s="16">
        <f t="shared" si="30"/>
        <v>32.142857142857139</v>
      </c>
      <c r="AA38" s="16">
        <f t="shared" si="30"/>
        <v>11.428571428571427</v>
      </c>
      <c r="AB38" s="16">
        <f t="shared" si="30"/>
        <v>4</v>
      </c>
      <c r="AC38" s="16">
        <f t="shared" si="30"/>
        <v>1702.1428571428571</v>
      </c>
      <c r="AD38" s="16">
        <f t="shared" si="30"/>
        <v>8.1428571428571423</v>
      </c>
      <c r="AE38" s="32">
        <f t="shared" si="30"/>
        <v>1033.0000000000002</v>
      </c>
      <c r="AF38" s="32">
        <f t="shared" si="30"/>
        <v>2735.1428571428573</v>
      </c>
    </row>
    <row r="39" spans="2:32" ht="23.1" customHeight="1" x14ac:dyDescent="0.25">
      <c r="B39" s="24" t="s">
        <v>66</v>
      </c>
      <c r="C39" s="49">
        <f>'Avg Week Kaasangati-Matugga'!C39+'Avg Week Matugga-Kasangati'!C39</f>
        <v>16.142857142857142</v>
      </c>
      <c r="D39" s="49">
        <f>'Avg Week Kaasangati-Matugga'!D39+'Avg Week Matugga-Kasangati'!D39</f>
        <v>4.5714285714285712</v>
      </c>
      <c r="E39" s="49">
        <f>'Avg Week Kaasangati-Matugga'!E39+'Avg Week Matugga-Kasangati'!E39</f>
        <v>3</v>
      </c>
      <c r="F39" s="49">
        <f>'Avg Week Kaasangati-Matugga'!F39+'Avg Week Matugga-Kasangati'!F39</f>
        <v>4.5714285714285712</v>
      </c>
      <c r="G39" s="49">
        <f>'Avg Week Kaasangati-Matugga'!G39+'Avg Week Matugga-Kasangati'!G39</f>
        <v>0</v>
      </c>
      <c r="H39" s="49">
        <f>'Avg Week Kaasangati-Matugga'!H39+'Avg Week Matugga-Kasangati'!H39</f>
        <v>0</v>
      </c>
      <c r="I39" s="49">
        <f>'Avg Week Kaasangati-Matugga'!I39+'Avg Week Matugga-Kasangati'!I39</f>
        <v>5.1428571428571423</v>
      </c>
      <c r="J39" s="49">
        <f>'Avg Week Kaasangati-Matugga'!J39+'Avg Week Matugga-Kasangati'!J39</f>
        <v>1</v>
      </c>
      <c r="K39" s="49">
        <f>'Avg Week Kaasangati-Matugga'!K39+'Avg Week Matugga-Kasangati'!K39</f>
        <v>0.5714285714285714</v>
      </c>
      <c r="L39" s="49">
        <f>'Avg Week Kaasangati-Matugga'!L39+'Avg Week Matugga-Kasangati'!L39</f>
        <v>0</v>
      </c>
      <c r="M39" s="49">
        <f>'Avg Week Kaasangati-Matugga'!M39+'Avg Week Matugga-Kasangati'!M39</f>
        <v>57.142857142857146</v>
      </c>
      <c r="N39" s="49">
        <f>'Avg Week Kaasangati-Matugga'!N39+'Avg Week Matugga-Kasangati'!N39</f>
        <v>0</v>
      </c>
      <c r="O39" s="15">
        <f t="shared" si="0"/>
        <v>35</v>
      </c>
      <c r="P39" s="15">
        <f t="shared" si="1"/>
        <v>92.142857142857139</v>
      </c>
      <c r="R39" s="29" t="s">
        <v>87</v>
      </c>
      <c r="S39" s="16">
        <f t="shared" ref="S39:AF39" si="31">SUM(S19:S21)</f>
        <v>344.14285714285711</v>
      </c>
      <c r="T39" s="16">
        <f t="shared" si="31"/>
        <v>111.85714285714286</v>
      </c>
      <c r="U39" s="16">
        <f t="shared" si="31"/>
        <v>68.714285714285722</v>
      </c>
      <c r="V39" s="16">
        <f t="shared" si="31"/>
        <v>103.85714285714286</v>
      </c>
      <c r="W39" s="16">
        <f t="shared" si="31"/>
        <v>3.9999999999999991</v>
      </c>
      <c r="X39" s="16">
        <f t="shared" si="31"/>
        <v>1.2857142857142856</v>
      </c>
      <c r="Y39" s="16">
        <f t="shared" si="31"/>
        <v>58.428571428571423</v>
      </c>
      <c r="Z39" s="16">
        <f t="shared" si="31"/>
        <v>15.857142857142858</v>
      </c>
      <c r="AA39" s="16">
        <f t="shared" si="31"/>
        <v>5</v>
      </c>
      <c r="AB39" s="16">
        <f t="shared" si="31"/>
        <v>2.2857142857142856</v>
      </c>
      <c r="AC39" s="16">
        <f t="shared" si="31"/>
        <v>962.57142857142844</v>
      </c>
      <c r="AD39" s="16">
        <f t="shared" si="31"/>
        <v>0.42857142857142855</v>
      </c>
      <c r="AE39" s="32">
        <f t="shared" si="31"/>
        <v>715.85714285714289</v>
      </c>
      <c r="AF39" s="32">
        <f t="shared" si="31"/>
        <v>1678.4285714285713</v>
      </c>
    </row>
    <row r="40" spans="2:32" ht="23.1" customHeight="1" x14ac:dyDescent="0.25">
      <c r="B40" s="24" t="s">
        <v>67</v>
      </c>
      <c r="C40" s="49">
        <f>'Avg Week Kaasangati-Matugga'!C40+'Avg Week Matugga-Kasangati'!C40</f>
        <v>19.285714285714285</v>
      </c>
      <c r="D40" s="49">
        <f>'Avg Week Kaasangati-Matugga'!D40+'Avg Week Matugga-Kasangati'!D40</f>
        <v>5.2857142857142865</v>
      </c>
      <c r="E40" s="49">
        <f>'Avg Week Kaasangati-Matugga'!E40+'Avg Week Matugga-Kasangati'!E40</f>
        <v>4.4285714285714288</v>
      </c>
      <c r="F40" s="49">
        <f>'Avg Week Kaasangati-Matugga'!F40+'Avg Week Matugga-Kasangati'!F40</f>
        <v>4.8571428571428577</v>
      </c>
      <c r="G40" s="49">
        <f>'Avg Week Kaasangati-Matugga'!G40+'Avg Week Matugga-Kasangati'!G40</f>
        <v>0</v>
      </c>
      <c r="H40" s="49">
        <f>'Avg Week Kaasangati-Matugga'!H40+'Avg Week Matugga-Kasangati'!H40</f>
        <v>0</v>
      </c>
      <c r="I40" s="49">
        <f>'Avg Week Kaasangati-Matugga'!I40+'Avg Week Matugga-Kasangati'!I40</f>
        <v>4.4285714285714288</v>
      </c>
      <c r="J40" s="49">
        <f>'Avg Week Kaasangati-Matugga'!J40+'Avg Week Matugga-Kasangati'!J40</f>
        <v>1</v>
      </c>
      <c r="K40" s="49">
        <f>'Avg Week Kaasangati-Matugga'!K40+'Avg Week Matugga-Kasangati'!K40</f>
        <v>0.2857142857142857</v>
      </c>
      <c r="L40" s="49">
        <f>'Avg Week Kaasangati-Matugga'!L40+'Avg Week Matugga-Kasangati'!L40</f>
        <v>0.2857142857142857</v>
      </c>
      <c r="M40" s="49">
        <f>'Avg Week Kaasangati-Matugga'!M40+'Avg Week Matugga-Kasangati'!M40</f>
        <v>64.571428571428569</v>
      </c>
      <c r="N40" s="49">
        <f>'Avg Week Kaasangati-Matugga'!N40+'Avg Week Matugga-Kasangati'!N40</f>
        <v>0</v>
      </c>
      <c r="O40" s="15">
        <f t="shared" si="0"/>
        <v>39.857142857142861</v>
      </c>
      <c r="P40" s="15">
        <f t="shared" si="1"/>
        <v>104.42857142857143</v>
      </c>
      <c r="R40" s="5" t="s">
        <v>17</v>
      </c>
      <c r="S40" s="16">
        <f t="shared" ref="S40:AF40" si="32">SUM(S10:S21)</f>
        <v>1121.1428571428569</v>
      </c>
      <c r="T40" s="16">
        <f t="shared" si="32"/>
        <v>332.85714285714283</v>
      </c>
      <c r="U40" s="16">
        <f t="shared" si="32"/>
        <v>222.28571428571431</v>
      </c>
      <c r="V40" s="16">
        <f t="shared" si="32"/>
        <v>280.71428571428572</v>
      </c>
      <c r="W40" s="16">
        <f t="shared" si="32"/>
        <v>11.571428571428571</v>
      </c>
      <c r="X40" s="16">
        <f t="shared" si="32"/>
        <v>2.2857142857142856</v>
      </c>
      <c r="Y40" s="16">
        <f t="shared" si="32"/>
        <v>232.28571428571425</v>
      </c>
      <c r="Z40" s="16">
        <f t="shared" si="32"/>
        <v>58.285714285714278</v>
      </c>
      <c r="AA40" s="16">
        <f t="shared" si="32"/>
        <v>19.999999999999996</v>
      </c>
      <c r="AB40" s="16">
        <f t="shared" si="32"/>
        <v>8.2857142857142847</v>
      </c>
      <c r="AC40" s="16">
        <f t="shared" si="32"/>
        <v>3747.5714285714284</v>
      </c>
      <c r="AD40" s="16">
        <f t="shared" si="32"/>
        <v>8.7142857142857135</v>
      </c>
      <c r="AE40" s="32">
        <f t="shared" si="32"/>
        <v>2298.4285714285716</v>
      </c>
      <c r="AF40" s="32">
        <f t="shared" si="32"/>
        <v>6046</v>
      </c>
    </row>
    <row r="41" spans="2:32" ht="23.1" customHeight="1" x14ac:dyDescent="0.25">
      <c r="B41" s="23" t="s">
        <v>68</v>
      </c>
      <c r="C41" s="49">
        <f>'Avg Week Kaasangati-Matugga'!C41+'Avg Week Matugga-Kasangati'!C41</f>
        <v>19.714285714285715</v>
      </c>
      <c r="D41" s="49">
        <f>'Avg Week Kaasangati-Matugga'!D41+'Avg Week Matugga-Kasangati'!D41</f>
        <v>6.2857142857142865</v>
      </c>
      <c r="E41" s="49">
        <f>'Avg Week Kaasangati-Matugga'!E41+'Avg Week Matugga-Kasangati'!E41</f>
        <v>4.1428571428571423</v>
      </c>
      <c r="F41" s="49">
        <f>'Avg Week Kaasangati-Matugga'!F41+'Avg Week Matugga-Kasangati'!F41</f>
        <v>3.5714285714285712</v>
      </c>
      <c r="G41" s="49">
        <f>'Avg Week Kaasangati-Matugga'!G41+'Avg Week Matugga-Kasangati'!G41</f>
        <v>0.14285714285714285</v>
      </c>
      <c r="H41" s="49">
        <f>'Avg Week Kaasangati-Matugga'!H41+'Avg Week Matugga-Kasangati'!H41</f>
        <v>0</v>
      </c>
      <c r="I41" s="49">
        <f>'Avg Week Kaasangati-Matugga'!I41+'Avg Week Matugga-Kasangati'!I41</f>
        <v>4.7142857142857144</v>
      </c>
      <c r="J41" s="49">
        <f>'Avg Week Kaasangati-Matugga'!J41+'Avg Week Matugga-Kasangati'!J41</f>
        <v>1.5714285714285714</v>
      </c>
      <c r="K41" s="49">
        <f>'Avg Week Kaasangati-Matugga'!K41+'Avg Week Matugga-Kasangati'!K41</f>
        <v>0.42857142857142855</v>
      </c>
      <c r="L41" s="49">
        <f>'Avg Week Kaasangati-Matugga'!L41+'Avg Week Matugga-Kasangati'!L41</f>
        <v>0.14285714285714285</v>
      </c>
      <c r="M41" s="49">
        <f>'Avg Week Kaasangati-Matugga'!M41+'Avg Week Matugga-Kasangati'!M41</f>
        <v>63.428571428571431</v>
      </c>
      <c r="N41" s="49">
        <f>'Avg Week Kaasangati-Matugga'!N41+'Avg Week Matugga-Kasangati'!N41</f>
        <v>0</v>
      </c>
      <c r="O41" s="15">
        <f t="shared" si="0"/>
        <v>40.714285714285722</v>
      </c>
      <c r="P41" s="15">
        <f t="shared" si="1"/>
        <v>104.14285714285715</v>
      </c>
      <c r="R41" s="106" t="s">
        <v>180</v>
      </c>
      <c r="S41" s="148">
        <f>SUM(S10:S33)</f>
        <v>1865.6428571428569</v>
      </c>
      <c r="T41" s="148">
        <f t="shared" ref="T41:AD41" si="33">SUM(T10:T33)</f>
        <v>457.35714285714283</v>
      </c>
      <c r="U41" s="148">
        <f t="shared" si="33"/>
        <v>331.28571428571433</v>
      </c>
      <c r="V41" s="148">
        <f t="shared" si="33"/>
        <v>442.21428571428572</v>
      </c>
      <c r="W41" s="148">
        <f t="shared" si="33"/>
        <v>18.571428571428569</v>
      </c>
      <c r="X41" s="148">
        <f t="shared" si="33"/>
        <v>2.7857142857142856</v>
      </c>
      <c r="Y41" s="148">
        <f t="shared" si="33"/>
        <v>315.78571428571422</v>
      </c>
      <c r="Z41" s="148">
        <f t="shared" si="33"/>
        <v>78.785714285714278</v>
      </c>
      <c r="AA41" s="148">
        <f t="shared" si="33"/>
        <v>27.999999999999996</v>
      </c>
      <c r="AB41" s="148">
        <f t="shared" si="33"/>
        <v>11.285714285714285</v>
      </c>
      <c r="AC41" s="148">
        <f t="shared" si="33"/>
        <v>5847.0714285714284</v>
      </c>
      <c r="AD41" s="148">
        <f t="shared" si="33"/>
        <v>9.7142857142857135</v>
      </c>
      <c r="AE41" s="149">
        <f>SUM(AE10:AE33)</f>
        <v>3561.4285714285716</v>
      </c>
      <c r="AF41" s="149">
        <f>SUM(AF10:AF33)</f>
        <v>9408.5</v>
      </c>
    </row>
    <row r="42" spans="2:32" ht="23.1" customHeight="1" x14ac:dyDescent="0.25">
      <c r="B42" s="24" t="s">
        <v>69</v>
      </c>
      <c r="C42" s="49">
        <f>'Avg Week Kaasangati-Matugga'!C42+'Avg Week Matugga-Kasangati'!C42</f>
        <v>21.571428571428569</v>
      </c>
      <c r="D42" s="49">
        <f>'Avg Week Kaasangati-Matugga'!D42+'Avg Week Matugga-Kasangati'!D42</f>
        <v>4.1428571428571423</v>
      </c>
      <c r="E42" s="49">
        <f>'Avg Week Kaasangati-Matugga'!E42+'Avg Week Matugga-Kasangati'!E42</f>
        <v>3.4285714285714288</v>
      </c>
      <c r="F42" s="49">
        <f>'Avg Week Kaasangati-Matugga'!F42+'Avg Week Matugga-Kasangati'!F42</f>
        <v>4.8571428571428577</v>
      </c>
      <c r="G42" s="49">
        <f>'Avg Week Kaasangati-Matugga'!G42+'Avg Week Matugga-Kasangati'!G42</f>
        <v>0</v>
      </c>
      <c r="H42" s="49">
        <f>'Avg Week Kaasangati-Matugga'!H42+'Avg Week Matugga-Kasangati'!H42</f>
        <v>0.14285714285714285</v>
      </c>
      <c r="I42" s="49">
        <f>'Avg Week Kaasangati-Matugga'!I42+'Avg Week Matugga-Kasangati'!I42</f>
        <v>5.5714285714285712</v>
      </c>
      <c r="J42" s="49">
        <f>'Avg Week Kaasangati-Matugga'!J42+'Avg Week Matugga-Kasangati'!J42</f>
        <v>1</v>
      </c>
      <c r="K42" s="49">
        <f>'Avg Week Kaasangati-Matugga'!K42+'Avg Week Matugga-Kasangati'!K42</f>
        <v>0.14285714285714285</v>
      </c>
      <c r="L42" s="49">
        <f>'Avg Week Kaasangati-Matugga'!L42+'Avg Week Matugga-Kasangati'!L42</f>
        <v>0</v>
      </c>
      <c r="M42" s="49">
        <f>'Avg Week Kaasangati-Matugga'!M42+'Avg Week Matugga-Kasangati'!M42</f>
        <v>64.857142857142861</v>
      </c>
      <c r="N42" s="49">
        <f>'Avg Week Kaasangati-Matugga'!N42+'Avg Week Matugga-Kasangati'!N42</f>
        <v>0</v>
      </c>
      <c r="O42" s="15">
        <f t="shared" si="0"/>
        <v>40.857142857142861</v>
      </c>
      <c r="P42" s="15">
        <f t="shared" si="1"/>
        <v>105.71428571428572</v>
      </c>
      <c r="R42" s="106" t="s">
        <v>160</v>
      </c>
      <c r="S42" s="99">
        <f>S41/S40</f>
        <v>1.6640545361875638</v>
      </c>
      <c r="T42" s="99">
        <f t="shared" ref="T42:AF42" si="34">T41/T40</f>
        <v>1.3740343347639485</v>
      </c>
      <c r="U42" s="99">
        <f t="shared" si="34"/>
        <v>1.4903598971722365</v>
      </c>
      <c r="V42" s="99">
        <f t="shared" si="34"/>
        <v>1.5753180661577608</v>
      </c>
      <c r="W42" s="99">
        <f t="shared" si="34"/>
        <v>1.6049382716049381</v>
      </c>
      <c r="X42" s="99">
        <f t="shared" si="34"/>
        <v>1.21875</v>
      </c>
      <c r="Y42" s="99">
        <f t="shared" si="34"/>
        <v>1.359471094710947</v>
      </c>
      <c r="Z42" s="99">
        <f t="shared" si="34"/>
        <v>1.3517156862745099</v>
      </c>
      <c r="AA42" s="99">
        <f t="shared" si="34"/>
        <v>1.4000000000000001</v>
      </c>
      <c r="AB42" s="99">
        <f t="shared" si="34"/>
        <v>1.3620689655172413</v>
      </c>
      <c r="AC42" s="99">
        <f t="shared" si="34"/>
        <v>1.5602294819502154</v>
      </c>
      <c r="AD42" s="99">
        <f t="shared" si="34"/>
        <v>1.1147540983606556</v>
      </c>
      <c r="AE42" s="147">
        <f t="shared" si="34"/>
        <v>1.549505873578221</v>
      </c>
      <c r="AF42" s="147">
        <f t="shared" si="34"/>
        <v>1.5561528283162422</v>
      </c>
    </row>
    <row r="43" spans="2:32" ht="23.1" customHeight="1" x14ac:dyDescent="0.25">
      <c r="B43" s="23" t="s">
        <v>70</v>
      </c>
      <c r="C43" s="49">
        <f>'Avg Week Kaasangati-Matugga'!C43+'Avg Week Matugga-Kasangati'!C43</f>
        <v>20.285714285714285</v>
      </c>
      <c r="D43" s="49">
        <f>'Avg Week Kaasangati-Matugga'!D43+'Avg Week Matugga-Kasangati'!D43</f>
        <v>5</v>
      </c>
      <c r="E43" s="49">
        <f>'Avg Week Kaasangati-Matugga'!E43+'Avg Week Matugga-Kasangati'!E43</f>
        <v>4.8571428571428577</v>
      </c>
      <c r="F43" s="49">
        <f>'Avg Week Kaasangati-Matugga'!F43+'Avg Week Matugga-Kasangati'!F43</f>
        <v>4.2857142857142856</v>
      </c>
      <c r="G43" s="49">
        <f>'Avg Week Kaasangati-Matugga'!G43+'Avg Week Matugga-Kasangati'!G43</f>
        <v>0</v>
      </c>
      <c r="H43" s="49">
        <f>'Avg Week Kaasangati-Matugga'!H43+'Avg Week Matugga-Kasangati'!H43</f>
        <v>0</v>
      </c>
      <c r="I43" s="49">
        <f>'Avg Week Kaasangati-Matugga'!I43+'Avg Week Matugga-Kasangati'!I43</f>
        <v>4</v>
      </c>
      <c r="J43" s="49">
        <f>'Avg Week Kaasangati-Matugga'!J43+'Avg Week Matugga-Kasangati'!J43</f>
        <v>1</v>
      </c>
      <c r="K43" s="49">
        <f>'Avg Week Kaasangati-Matugga'!K43+'Avg Week Matugga-Kasangati'!K43</f>
        <v>0</v>
      </c>
      <c r="L43" s="49">
        <f>'Avg Week Kaasangati-Matugga'!L43+'Avg Week Matugga-Kasangati'!L43</f>
        <v>0.14285714285714285</v>
      </c>
      <c r="M43" s="49">
        <f>'Avg Week Kaasangati-Matugga'!M43+'Avg Week Matugga-Kasangati'!M43</f>
        <v>68.142857142857139</v>
      </c>
      <c r="N43" s="49">
        <f>'Avg Week Kaasangati-Matugga'!N43+'Avg Week Matugga-Kasangati'!N43</f>
        <v>0</v>
      </c>
      <c r="O43" s="15">
        <f t="shared" si="0"/>
        <v>39.571428571428577</v>
      </c>
      <c r="P43" s="15">
        <f t="shared" si="1"/>
        <v>107.71428571428572</v>
      </c>
    </row>
    <row r="44" spans="2:32" ht="23.1" customHeight="1" x14ac:dyDescent="0.25">
      <c r="B44" s="25" t="s">
        <v>71</v>
      </c>
      <c r="C44" s="49">
        <f>'Avg Week Kaasangati-Matugga'!C44+'Avg Week Matugga-Kasangati'!C44</f>
        <v>20.857142857142854</v>
      </c>
      <c r="D44" s="49">
        <f>'Avg Week Kaasangati-Matugga'!D44+'Avg Week Matugga-Kasangati'!D44</f>
        <v>5.4285714285714288</v>
      </c>
      <c r="E44" s="49">
        <f>'Avg Week Kaasangati-Matugga'!E44+'Avg Week Matugga-Kasangati'!E44</f>
        <v>4.1428571428571423</v>
      </c>
      <c r="F44" s="49">
        <f>'Avg Week Kaasangati-Matugga'!F44+'Avg Week Matugga-Kasangati'!F44</f>
        <v>4.4285714285714288</v>
      </c>
      <c r="G44" s="49">
        <f>'Avg Week Kaasangati-Matugga'!G44+'Avg Week Matugga-Kasangati'!G44</f>
        <v>0.14285714285714285</v>
      </c>
      <c r="H44" s="49">
        <f>'Avg Week Kaasangati-Matugga'!H44+'Avg Week Matugga-Kasangati'!H44</f>
        <v>0</v>
      </c>
      <c r="I44" s="49">
        <f>'Avg Week Kaasangati-Matugga'!I44+'Avg Week Matugga-Kasangati'!I44</f>
        <v>5.7142857142857144</v>
      </c>
      <c r="J44" s="49">
        <f>'Avg Week Kaasangati-Matugga'!J44+'Avg Week Matugga-Kasangati'!J44</f>
        <v>1.2857142857142856</v>
      </c>
      <c r="K44" s="49">
        <f>'Avg Week Kaasangati-Matugga'!K44+'Avg Week Matugga-Kasangati'!K44</f>
        <v>0.14285714285714285</v>
      </c>
      <c r="L44" s="49">
        <f>'Avg Week Kaasangati-Matugga'!L44+'Avg Week Matugga-Kasangati'!L44</f>
        <v>0</v>
      </c>
      <c r="M44" s="49">
        <f>'Avg Week Kaasangati-Matugga'!M44+'Avg Week Matugga-Kasangati'!M44</f>
        <v>76.714285714285722</v>
      </c>
      <c r="N44" s="49">
        <f>'Avg Week Kaasangati-Matugga'!N44+'Avg Week Matugga-Kasangati'!N44</f>
        <v>0</v>
      </c>
      <c r="O44" s="15">
        <f t="shared" si="0"/>
        <v>42.142857142857146</v>
      </c>
      <c r="P44" s="15">
        <f t="shared" si="1"/>
        <v>118.85714285714286</v>
      </c>
    </row>
    <row r="45" spans="2:32" ht="23.1" customHeight="1" x14ac:dyDescent="0.25">
      <c r="B45" s="23" t="s">
        <v>72</v>
      </c>
      <c r="C45" s="49">
        <f>'Avg Week Kaasangati-Matugga'!C45+'Avg Week Matugga-Kasangati'!C45</f>
        <v>22.428571428571431</v>
      </c>
      <c r="D45" s="49">
        <f>'Avg Week Kaasangati-Matugga'!D45+'Avg Week Matugga-Kasangati'!D45</f>
        <v>7.4285714285714288</v>
      </c>
      <c r="E45" s="49">
        <f>'Avg Week Kaasangati-Matugga'!E45+'Avg Week Matugga-Kasangati'!E45</f>
        <v>4.2857142857142856</v>
      </c>
      <c r="F45" s="49">
        <f>'Avg Week Kaasangati-Matugga'!F45+'Avg Week Matugga-Kasangati'!F45</f>
        <v>5.5714285714285712</v>
      </c>
      <c r="G45" s="49">
        <f>'Avg Week Kaasangati-Matugga'!G45+'Avg Week Matugga-Kasangati'!G45</f>
        <v>0</v>
      </c>
      <c r="H45" s="49">
        <f>'Avg Week Kaasangati-Matugga'!H45+'Avg Week Matugga-Kasangati'!H45</f>
        <v>0.14285714285714285</v>
      </c>
      <c r="I45" s="49">
        <f>'Avg Week Kaasangati-Matugga'!I45+'Avg Week Matugga-Kasangati'!I45</f>
        <v>6.8571428571428577</v>
      </c>
      <c r="J45" s="49">
        <f>'Avg Week Kaasangati-Matugga'!J45+'Avg Week Matugga-Kasangati'!J45</f>
        <v>1</v>
      </c>
      <c r="K45" s="49">
        <f>'Avg Week Kaasangati-Matugga'!K45+'Avg Week Matugga-Kasangati'!K45</f>
        <v>0.42857142857142855</v>
      </c>
      <c r="L45" s="49">
        <f>'Avg Week Kaasangati-Matugga'!L45+'Avg Week Matugga-Kasangati'!L45</f>
        <v>0.14285714285714285</v>
      </c>
      <c r="M45" s="49">
        <f>'Avg Week Kaasangati-Matugga'!M45+'Avg Week Matugga-Kasangati'!M45</f>
        <v>70.571428571428569</v>
      </c>
      <c r="N45" s="49">
        <f>'Avg Week Kaasangati-Matugga'!N45+'Avg Week Matugga-Kasangati'!N45</f>
        <v>0</v>
      </c>
      <c r="O45" s="15">
        <f t="shared" si="0"/>
        <v>48.285714285714299</v>
      </c>
      <c r="P45" s="15">
        <f t="shared" si="1"/>
        <v>118.85714285714286</v>
      </c>
    </row>
    <row r="46" spans="2:32" ht="23.1" customHeight="1" x14ac:dyDescent="0.25">
      <c r="B46" s="24" t="s">
        <v>73</v>
      </c>
      <c r="C46" s="49">
        <f>'Avg Week Kaasangati-Matugga'!C46+'Avg Week Matugga-Kasangati'!C46</f>
        <v>24</v>
      </c>
      <c r="D46" s="49">
        <f>'Avg Week Kaasangati-Matugga'!D46+'Avg Week Matugga-Kasangati'!D46</f>
        <v>7.1428571428571432</v>
      </c>
      <c r="E46" s="49">
        <f>'Avg Week Kaasangati-Matugga'!E46+'Avg Week Matugga-Kasangati'!E46</f>
        <v>4.4285714285714288</v>
      </c>
      <c r="F46" s="49">
        <f>'Avg Week Kaasangati-Matugga'!F46+'Avg Week Matugga-Kasangati'!F46</f>
        <v>5.8571428571428568</v>
      </c>
      <c r="G46" s="49">
        <f>'Avg Week Kaasangati-Matugga'!G46+'Avg Week Matugga-Kasangati'!G46</f>
        <v>0.14285714285714285</v>
      </c>
      <c r="H46" s="49">
        <f>'Avg Week Kaasangati-Matugga'!H46+'Avg Week Matugga-Kasangati'!H46</f>
        <v>0</v>
      </c>
      <c r="I46" s="49">
        <f>'Avg Week Kaasangati-Matugga'!I46+'Avg Week Matugga-Kasangati'!I46</f>
        <v>4</v>
      </c>
      <c r="J46" s="49">
        <f>'Avg Week Kaasangati-Matugga'!J46+'Avg Week Matugga-Kasangati'!J46</f>
        <v>1.7142857142857142</v>
      </c>
      <c r="K46" s="49">
        <f>'Avg Week Kaasangati-Matugga'!K46+'Avg Week Matugga-Kasangati'!K46</f>
        <v>0.2857142857142857</v>
      </c>
      <c r="L46" s="49">
        <f>'Avg Week Kaasangati-Matugga'!L46+'Avg Week Matugga-Kasangati'!L46</f>
        <v>0.14285714285714285</v>
      </c>
      <c r="M46" s="49">
        <f>'Avg Week Kaasangati-Matugga'!M46+'Avg Week Matugga-Kasangati'!M46</f>
        <v>69.428571428571431</v>
      </c>
      <c r="N46" s="49">
        <f>'Avg Week Kaasangati-Matugga'!N46+'Avg Week Matugga-Kasangati'!N46</f>
        <v>0.14285714285714285</v>
      </c>
      <c r="O46" s="15">
        <f t="shared" si="0"/>
        <v>47.857142857142861</v>
      </c>
      <c r="P46" s="15">
        <f t="shared" si="1"/>
        <v>117.28571428571428</v>
      </c>
      <c r="R46" s="8"/>
      <c r="T46"/>
    </row>
    <row r="47" spans="2:32" ht="23.1" customHeight="1" x14ac:dyDescent="0.25">
      <c r="B47" s="24" t="s">
        <v>74</v>
      </c>
      <c r="C47" s="49">
        <f>'Avg Week Kaasangati-Matugga'!C47+'Avg Week Matugga-Kasangati'!C47</f>
        <v>25.285714285714285</v>
      </c>
      <c r="D47" s="49">
        <f>'Avg Week Kaasangati-Matugga'!D47+'Avg Week Matugga-Kasangati'!D47</f>
        <v>6.2857142857142856</v>
      </c>
      <c r="E47" s="49">
        <f>'Avg Week Kaasangati-Matugga'!E47+'Avg Week Matugga-Kasangati'!E47</f>
        <v>4.1428571428571423</v>
      </c>
      <c r="F47" s="49">
        <f>'Avg Week Kaasangati-Matugga'!F47+'Avg Week Matugga-Kasangati'!F47</f>
        <v>5.8571428571428568</v>
      </c>
      <c r="G47" s="49">
        <f>'Avg Week Kaasangati-Matugga'!G47+'Avg Week Matugga-Kasangati'!G47</f>
        <v>0.2857142857142857</v>
      </c>
      <c r="H47" s="49">
        <f>'Avg Week Kaasangati-Matugga'!H47+'Avg Week Matugga-Kasangati'!H47</f>
        <v>0</v>
      </c>
      <c r="I47" s="49">
        <f>'Avg Week Kaasangati-Matugga'!I47+'Avg Week Matugga-Kasangati'!I47</f>
        <v>5.2857142857142856</v>
      </c>
      <c r="J47" s="49">
        <f>'Avg Week Kaasangati-Matugga'!J47+'Avg Week Matugga-Kasangati'!J47</f>
        <v>1.8571428571428572</v>
      </c>
      <c r="K47" s="49">
        <f>'Avg Week Kaasangati-Matugga'!K47+'Avg Week Matugga-Kasangati'!K47</f>
        <v>0.85714285714285721</v>
      </c>
      <c r="L47" s="49">
        <f>'Avg Week Kaasangati-Matugga'!L47+'Avg Week Matugga-Kasangati'!L47</f>
        <v>0.14285714285714285</v>
      </c>
      <c r="M47" s="49">
        <f>'Avg Week Kaasangati-Matugga'!M47+'Avg Week Matugga-Kasangati'!M47</f>
        <v>74.285714285714278</v>
      </c>
      <c r="N47" s="49">
        <f>'Avg Week Kaasangati-Matugga'!N47+'Avg Week Matugga-Kasangati'!N47</f>
        <v>0</v>
      </c>
      <c r="O47" s="15">
        <f t="shared" si="0"/>
        <v>49.999999999999986</v>
      </c>
      <c r="P47" s="15">
        <f t="shared" si="1"/>
        <v>124.28571428571426</v>
      </c>
      <c r="R47" s="8"/>
      <c r="T47"/>
    </row>
    <row r="48" spans="2:32" ht="23.1" customHeight="1" x14ac:dyDescent="0.25">
      <c r="B48" s="24" t="s">
        <v>75</v>
      </c>
      <c r="C48" s="49">
        <f>'Avg Week Kaasangati-Matugga'!C48+'Avg Week Matugga-Kasangati'!C48</f>
        <v>26.571428571428569</v>
      </c>
      <c r="D48" s="49">
        <f>'Avg Week Kaasangati-Matugga'!D48+'Avg Week Matugga-Kasangati'!D48</f>
        <v>9.2857142857142865</v>
      </c>
      <c r="E48" s="49">
        <f>'Avg Week Kaasangati-Matugga'!E48+'Avg Week Matugga-Kasangati'!E48</f>
        <v>5.5714285714285712</v>
      </c>
      <c r="F48" s="49">
        <f>'Avg Week Kaasangati-Matugga'!F48+'Avg Week Matugga-Kasangati'!F48</f>
        <v>7</v>
      </c>
      <c r="G48" s="49">
        <f>'Avg Week Kaasangati-Matugga'!G48+'Avg Week Matugga-Kasangati'!G48</f>
        <v>0.71428571428571419</v>
      </c>
      <c r="H48" s="49">
        <f>'Avg Week Kaasangati-Matugga'!H48+'Avg Week Matugga-Kasangati'!H48</f>
        <v>0</v>
      </c>
      <c r="I48" s="49">
        <f>'Avg Week Kaasangati-Matugga'!I48+'Avg Week Matugga-Kasangati'!I48</f>
        <v>6</v>
      </c>
      <c r="J48" s="49">
        <f>'Avg Week Kaasangati-Matugga'!J48+'Avg Week Matugga-Kasangati'!J48</f>
        <v>1.5714285714285714</v>
      </c>
      <c r="K48" s="49">
        <f>'Avg Week Kaasangati-Matugga'!K48+'Avg Week Matugga-Kasangati'!K48</f>
        <v>0.42857142857142855</v>
      </c>
      <c r="L48" s="49">
        <f>'Avg Week Kaasangati-Matugga'!L48+'Avg Week Matugga-Kasangati'!L48</f>
        <v>0.14285714285714285</v>
      </c>
      <c r="M48" s="49">
        <f>'Avg Week Kaasangati-Matugga'!M48+'Avg Week Matugga-Kasangati'!M48</f>
        <v>70.142857142857139</v>
      </c>
      <c r="N48" s="49">
        <f>'Avg Week Kaasangati-Matugga'!N48+'Avg Week Matugga-Kasangati'!N48</f>
        <v>0</v>
      </c>
      <c r="O48" s="15">
        <f t="shared" si="0"/>
        <v>57.285714285714285</v>
      </c>
      <c r="P48" s="15">
        <f t="shared" si="1"/>
        <v>127.42857142857142</v>
      </c>
      <c r="R48" s="8"/>
      <c r="T48"/>
    </row>
    <row r="49" spans="2:20" ht="23.1" customHeight="1" x14ac:dyDescent="0.25">
      <c r="B49" s="23" t="s">
        <v>76</v>
      </c>
      <c r="C49" s="49">
        <f>'Avg Week Kaasangati-Matugga'!C49+'Avg Week Matugga-Kasangati'!C49</f>
        <v>30.428571428571431</v>
      </c>
      <c r="D49" s="49">
        <f>'Avg Week Kaasangati-Matugga'!D49+'Avg Week Matugga-Kasangati'!D49</f>
        <v>7.7142857142857144</v>
      </c>
      <c r="E49" s="49">
        <f>'Avg Week Kaasangati-Matugga'!E49+'Avg Week Matugga-Kasangati'!E49</f>
        <v>4</v>
      </c>
      <c r="F49" s="49">
        <f>'Avg Week Kaasangati-Matugga'!F49+'Avg Week Matugga-Kasangati'!F49</f>
        <v>6.1428571428571423</v>
      </c>
      <c r="G49" s="49">
        <f>'Avg Week Kaasangati-Matugga'!G49+'Avg Week Matugga-Kasangati'!G49</f>
        <v>0.2857142857142857</v>
      </c>
      <c r="H49" s="49">
        <f>'Avg Week Kaasangati-Matugga'!H49+'Avg Week Matugga-Kasangati'!H49</f>
        <v>0.2857142857142857</v>
      </c>
      <c r="I49" s="49">
        <f>'Avg Week Kaasangati-Matugga'!I49+'Avg Week Matugga-Kasangati'!I49</f>
        <v>4.5714285714285712</v>
      </c>
      <c r="J49" s="49">
        <f>'Avg Week Kaasangati-Matugga'!J49+'Avg Week Matugga-Kasangati'!J49</f>
        <v>0.71428571428571419</v>
      </c>
      <c r="K49" s="49">
        <f>'Avg Week Kaasangati-Matugga'!K49+'Avg Week Matugga-Kasangati'!K49</f>
        <v>0</v>
      </c>
      <c r="L49" s="49">
        <f>'Avg Week Kaasangati-Matugga'!L49+'Avg Week Matugga-Kasangati'!L49</f>
        <v>0.2857142857142857</v>
      </c>
      <c r="M49" s="49">
        <f>'Avg Week Kaasangati-Matugga'!M49+'Avg Week Matugga-Kasangati'!M49</f>
        <v>75.714285714285722</v>
      </c>
      <c r="N49" s="49">
        <f>'Avg Week Kaasangati-Matugga'!N49+'Avg Week Matugga-Kasangati'!N49</f>
        <v>0</v>
      </c>
      <c r="O49" s="15">
        <f t="shared" si="0"/>
        <v>54.428571428571431</v>
      </c>
      <c r="P49" s="15">
        <f t="shared" si="1"/>
        <v>130.14285714285717</v>
      </c>
      <c r="R49" s="8"/>
      <c r="T49"/>
    </row>
    <row r="50" spans="2:20" ht="23.1" customHeight="1" x14ac:dyDescent="0.25">
      <c r="B50" s="24" t="s">
        <v>77</v>
      </c>
      <c r="C50" s="49">
        <f>'Avg Week Kaasangati-Matugga'!C50+'Avg Week Matugga-Kasangati'!C50</f>
        <v>27.571428571428569</v>
      </c>
      <c r="D50" s="49">
        <f>'Avg Week Kaasangati-Matugga'!D50+'Avg Week Matugga-Kasangati'!D50</f>
        <v>9.7142857142857135</v>
      </c>
      <c r="E50" s="49">
        <f>'Avg Week Kaasangati-Matugga'!E50+'Avg Week Matugga-Kasangati'!E50</f>
        <v>6.4285714285714288</v>
      </c>
      <c r="F50" s="49">
        <f>'Avg Week Kaasangati-Matugga'!F50+'Avg Week Matugga-Kasangati'!F50</f>
        <v>8.8571428571428577</v>
      </c>
      <c r="G50" s="49">
        <f>'Avg Week Kaasangati-Matugga'!G50+'Avg Week Matugga-Kasangati'!G50</f>
        <v>0.2857142857142857</v>
      </c>
      <c r="H50" s="49">
        <f>'Avg Week Kaasangati-Matugga'!H50+'Avg Week Matugga-Kasangati'!H50</f>
        <v>0</v>
      </c>
      <c r="I50" s="49">
        <f>'Avg Week Kaasangati-Matugga'!I50+'Avg Week Matugga-Kasangati'!I50</f>
        <v>5.1428571428571423</v>
      </c>
      <c r="J50" s="49">
        <f>'Avg Week Kaasangati-Matugga'!J50+'Avg Week Matugga-Kasangati'!J50</f>
        <v>1.8571428571428572</v>
      </c>
      <c r="K50" s="49">
        <f>'Avg Week Kaasangati-Matugga'!K50+'Avg Week Matugga-Kasangati'!K50</f>
        <v>1.1428571428571428</v>
      </c>
      <c r="L50" s="49">
        <f>'Avg Week Kaasangati-Matugga'!L50+'Avg Week Matugga-Kasangati'!L50</f>
        <v>0.2857142857142857</v>
      </c>
      <c r="M50" s="49">
        <f>'Avg Week Kaasangati-Matugga'!M50+'Avg Week Matugga-Kasangati'!M50</f>
        <v>81.428571428571416</v>
      </c>
      <c r="N50" s="49">
        <f>'Avg Week Kaasangati-Matugga'!N50+'Avg Week Matugga-Kasangati'!N50</f>
        <v>0</v>
      </c>
      <c r="O50" s="15">
        <f t="shared" si="0"/>
        <v>61.285714285714285</v>
      </c>
      <c r="P50" s="15">
        <f t="shared" si="1"/>
        <v>142.71428571428569</v>
      </c>
      <c r="R50" s="8"/>
      <c r="T50"/>
    </row>
    <row r="51" spans="2:20" ht="23.1" customHeight="1" x14ac:dyDescent="0.25">
      <c r="B51" s="24" t="s">
        <v>78</v>
      </c>
      <c r="C51" s="49">
        <f>'Avg Week Kaasangati-Matugga'!C51+'Avg Week Matugga-Kasangati'!C51</f>
        <v>26.857142857142858</v>
      </c>
      <c r="D51" s="49">
        <f>'Avg Week Kaasangati-Matugga'!D51+'Avg Week Matugga-Kasangati'!D51</f>
        <v>11.857142857142858</v>
      </c>
      <c r="E51" s="49">
        <f>'Avg Week Kaasangati-Matugga'!E51+'Avg Week Matugga-Kasangati'!E51</f>
        <v>4.2857142857142856</v>
      </c>
      <c r="F51" s="49">
        <f>'Avg Week Kaasangati-Matugga'!F51+'Avg Week Matugga-Kasangati'!F51</f>
        <v>8.7142857142857153</v>
      </c>
      <c r="G51" s="49">
        <f>'Avg Week Kaasangati-Matugga'!G51+'Avg Week Matugga-Kasangati'!G51</f>
        <v>0.14285714285714285</v>
      </c>
      <c r="H51" s="49">
        <f>'Avg Week Kaasangati-Matugga'!H51+'Avg Week Matugga-Kasangati'!H51</f>
        <v>0</v>
      </c>
      <c r="I51" s="49">
        <f>'Avg Week Kaasangati-Matugga'!I51+'Avg Week Matugga-Kasangati'!I51</f>
        <v>5.1428571428571423</v>
      </c>
      <c r="J51" s="49">
        <f>'Avg Week Kaasangati-Matugga'!J51+'Avg Week Matugga-Kasangati'!J51</f>
        <v>1.2857142857142856</v>
      </c>
      <c r="K51" s="49">
        <f>'Avg Week Kaasangati-Matugga'!K51+'Avg Week Matugga-Kasangati'!K51</f>
        <v>0.2857142857142857</v>
      </c>
      <c r="L51" s="49">
        <f>'Avg Week Kaasangati-Matugga'!L51+'Avg Week Matugga-Kasangati'!L51</f>
        <v>0</v>
      </c>
      <c r="M51" s="49">
        <f>'Avg Week Kaasangati-Matugga'!M51+'Avg Week Matugga-Kasangati'!M51</f>
        <v>87.428571428571431</v>
      </c>
      <c r="N51" s="49">
        <f>'Avg Week Kaasangati-Matugga'!N51+'Avg Week Matugga-Kasangati'!N51</f>
        <v>0.14285714285714285</v>
      </c>
      <c r="O51" s="15">
        <f t="shared" si="0"/>
        <v>58.714285714285715</v>
      </c>
      <c r="P51" s="15">
        <f t="shared" si="1"/>
        <v>146.14285714285714</v>
      </c>
      <c r="R51" s="8"/>
      <c r="T51"/>
    </row>
    <row r="52" spans="2:20" ht="23.1" customHeight="1" x14ac:dyDescent="0.25">
      <c r="B52" s="24" t="s">
        <v>79</v>
      </c>
      <c r="C52" s="49">
        <f>'Avg Week Kaasangati-Matugga'!C52+'Avg Week Matugga-Kasangati'!C52</f>
        <v>29.571428571428569</v>
      </c>
      <c r="D52" s="49">
        <f>'Avg Week Kaasangati-Matugga'!D52+'Avg Week Matugga-Kasangati'!D52</f>
        <v>11.285714285714286</v>
      </c>
      <c r="E52" s="49">
        <f>'Avg Week Kaasangati-Matugga'!E52+'Avg Week Matugga-Kasangati'!E52</f>
        <v>7.4285714285714288</v>
      </c>
      <c r="F52" s="49">
        <f>'Avg Week Kaasangati-Matugga'!F52+'Avg Week Matugga-Kasangati'!F52</f>
        <v>9.7142857142857153</v>
      </c>
      <c r="G52" s="49">
        <f>'Avg Week Kaasangati-Matugga'!G52+'Avg Week Matugga-Kasangati'!G52</f>
        <v>0</v>
      </c>
      <c r="H52" s="49">
        <f>'Avg Week Kaasangati-Matugga'!H52+'Avg Week Matugga-Kasangati'!H52</f>
        <v>0.14285714285714285</v>
      </c>
      <c r="I52" s="49">
        <f>'Avg Week Kaasangati-Matugga'!I52+'Avg Week Matugga-Kasangati'!I52</f>
        <v>5.2857142857142856</v>
      </c>
      <c r="J52" s="49">
        <f>'Avg Week Kaasangati-Matugga'!J52+'Avg Week Matugga-Kasangati'!J52</f>
        <v>0.85714285714285721</v>
      </c>
      <c r="K52" s="49">
        <f>'Avg Week Kaasangati-Matugga'!K52+'Avg Week Matugga-Kasangati'!K52</f>
        <v>0.42857142857142855</v>
      </c>
      <c r="L52" s="49">
        <f>'Avg Week Kaasangati-Matugga'!L52+'Avg Week Matugga-Kasangati'!L52</f>
        <v>0.2857142857142857</v>
      </c>
      <c r="M52" s="49">
        <f>'Avg Week Kaasangati-Matugga'!M52+'Avg Week Matugga-Kasangati'!M52</f>
        <v>85.142857142857139</v>
      </c>
      <c r="N52" s="49">
        <f>'Avg Week Kaasangati-Matugga'!N52+'Avg Week Matugga-Kasangati'!N52</f>
        <v>0</v>
      </c>
      <c r="O52" s="15">
        <f t="shared" si="0"/>
        <v>65.000000000000014</v>
      </c>
      <c r="P52" s="15">
        <f t="shared" si="1"/>
        <v>150.14285714285717</v>
      </c>
      <c r="R52" s="8"/>
      <c r="T52"/>
    </row>
    <row r="53" spans="2:20" ht="23.1" customHeight="1" x14ac:dyDescent="0.25">
      <c r="B53" s="23" t="s">
        <v>80</v>
      </c>
      <c r="C53" s="49">
        <f>'Avg Week Kaasangati-Matugga'!C53+'Avg Week Matugga-Kasangati'!C53</f>
        <v>25.285714285714285</v>
      </c>
      <c r="D53" s="49">
        <f>'Avg Week Kaasangati-Matugga'!D53+'Avg Week Matugga-Kasangati'!D53</f>
        <v>9.2857142857142847</v>
      </c>
      <c r="E53" s="49">
        <f>'Avg Week Kaasangati-Matugga'!E53+'Avg Week Matugga-Kasangati'!E53</f>
        <v>4.7142857142857144</v>
      </c>
      <c r="F53" s="49">
        <f>'Avg Week Kaasangati-Matugga'!F53+'Avg Week Matugga-Kasangati'!F53</f>
        <v>10</v>
      </c>
      <c r="G53" s="49">
        <f>'Avg Week Kaasangati-Matugga'!G53+'Avg Week Matugga-Kasangati'!G53</f>
        <v>0.2857142857142857</v>
      </c>
      <c r="H53" s="49">
        <f>'Avg Week Kaasangati-Matugga'!H53+'Avg Week Matugga-Kasangati'!H53</f>
        <v>0.2857142857142857</v>
      </c>
      <c r="I53" s="49">
        <f>'Avg Week Kaasangati-Matugga'!I53+'Avg Week Matugga-Kasangati'!I53</f>
        <v>4.7142857142857144</v>
      </c>
      <c r="J53" s="49">
        <f>'Avg Week Kaasangati-Matugga'!J53+'Avg Week Matugga-Kasangati'!J53</f>
        <v>1.1428571428571428</v>
      </c>
      <c r="K53" s="49">
        <f>'Avg Week Kaasangati-Matugga'!K53+'Avg Week Matugga-Kasangati'!K53</f>
        <v>0.42857142857142855</v>
      </c>
      <c r="L53" s="49">
        <f>'Avg Week Kaasangati-Matugga'!L53+'Avg Week Matugga-Kasangati'!L53</f>
        <v>0.14285714285714285</v>
      </c>
      <c r="M53" s="49">
        <f>'Avg Week Kaasangati-Matugga'!M53+'Avg Week Matugga-Kasangati'!M53</f>
        <v>79.714285714285722</v>
      </c>
      <c r="N53" s="49">
        <f>'Avg Week Kaasangati-Matugga'!N53+'Avg Week Matugga-Kasangati'!N53</f>
        <v>0</v>
      </c>
      <c r="O53" s="15">
        <f t="shared" si="0"/>
        <v>56.285714285714292</v>
      </c>
      <c r="P53" s="15">
        <f t="shared" si="1"/>
        <v>136</v>
      </c>
      <c r="R53" s="8"/>
      <c r="T53"/>
    </row>
    <row r="54" spans="2:20" ht="23.1" customHeight="1" x14ac:dyDescent="0.25">
      <c r="B54" s="23" t="s">
        <v>81</v>
      </c>
      <c r="C54" s="49">
        <f>'Avg Week Kaasangati-Matugga'!C54+'Avg Week Matugga-Kasangati'!C54</f>
        <v>37.285714285714285</v>
      </c>
      <c r="D54" s="49">
        <f>'Avg Week Kaasangati-Matugga'!D54+'Avg Week Matugga-Kasangati'!D54</f>
        <v>6.5714285714285712</v>
      </c>
      <c r="E54" s="49">
        <f>'Avg Week Kaasangati-Matugga'!E54+'Avg Week Matugga-Kasangati'!E54</f>
        <v>7.5714285714285712</v>
      </c>
      <c r="F54" s="49">
        <f>'Avg Week Kaasangati-Matugga'!F54+'Avg Week Matugga-Kasangati'!F54</f>
        <v>12</v>
      </c>
      <c r="G54" s="49">
        <f>'Avg Week Kaasangati-Matugga'!G54+'Avg Week Matugga-Kasangati'!G54</f>
        <v>0.42857142857142855</v>
      </c>
      <c r="H54" s="49">
        <f>'Avg Week Kaasangati-Matugga'!H54+'Avg Week Matugga-Kasangati'!H54</f>
        <v>0</v>
      </c>
      <c r="I54" s="49">
        <f>'Avg Week Kaasangati-Matugga'!I54+'Avg Week Matugga-Kasangati'!I54</f>
        <v>5.5714285714285712</v>
      </c>
      <c r="J54" s="49">
        <f>'Avg Week Kaasangati-Matugga'!J54+'Avg Week Matugga-Kasangati'!J54</f>
        <v>1.1428571428571428</v>
      </c>
      <c r="K54" s="49">
        <f>'Avg Week Kaasangati-Matugga'!K54+'Avg Week Matugga-Kasangati'!K54</f>
        <v>0</v>
      </c>
      <c r="L54" s="49">
        <f>'Avg Week Kaasangati-Matugga'!L54+'Avg Week Matugga-Kasangati'!L54</f>
        <v>0.2857142857142857</v>
      </c>
      <c r="M54" s="49">
        <f>'Avg Week Kaasangati-Matugga'!M54+'Avg Week Matugga-Kasangati'!M54</f>
        <v>88.428571428571416</v>
      </c>
      <c r="N54" s="49">
        <f>'Avg Week Kaasangati-Matugga'!N54+'Avg Week Matugga-Kasangati'!N54</f>
        <v>0.14285714285714285</v>
      </c>
      <c r="O54" s="15">
        <f t="shared" si="0"/>
        <v>71</v>
      </c>
      <c r="P54" s="15">
        <f t="shared" si="1"/>
        <v>159.42857142857142</v>
      </c>
      <c r="R54" s="8"/>
      <c r="T54"/>
    </row>
    <row r="55" spans="2:20" ht="23.1" customHeight="1" x14ac:dyDescent="0.25">
      <c r="B55" s="23" t="s">
        <v>82</v>
      </c>
      <c r="C55" s="49">
        <f>'Avg Week Kaasangati-Matugga'!C55+'Avg Week Matugga-Kasangati'!C55</f>
        <v>33.285714285714285</v>
      </c>
      <c r="D55" s="49">
        <f>'Avg Week Kaasangati-Matugga'!D55+'Avg Week Matugga-Kasangati'!D55</f>
        <v>10.285714285714286</v>
      </c>
      <c r="E55" s="49">
        <f>'Avg Week Kaasangati-Matugga'!E55+'Avg Week Matugga-Kasangati'!E55</f>
        <v>6</v>
      </c>
      <c r="F55" s="49">
        <f>'Avg Week Kaasangati-Matugga'!F55+'Avg Week Matugga-Kasangati'!F55</f>
        <v>11</v>
      </c>
      <c r="G55" s="49">
        <f>'Avg Week Kaasangati-Matugga'!G55+'Avg Week Matugga-Kasangati'!G55</f>
        <v>0.42857142857142855</v>
      </c>
      <c r="H55" s="49">
        <f>'Avg Week Kaasangati-Matugga'!H55+'Avg Week Matugga-Kasangati'!H55</f>
        <v>0.5714285714285714</v>
      </c>
      <c r="I55" s="49">
        <f>'Avg Week Kaasangati-Matugga'!I55+'Avg Week Matugga-Kasangati'!I55</f>
        <v>4.7142857142857144</v>
      </c>
      <c r="J55" s="49">
        <f>'Avg Week Kaasangati-Matugga'!J55+'Avg Week Matugga-Kasangati'!J55</f>
        <v>0.5714285714285714</v>
      </c>
      <c r="K55" s="49">
        <f>'Avg Week Kaasangati-Matugga'!K55+'Avg Week Matugga-Kasangati'!K55</f>
        <v>0.2857142857142857</v>
      </c>
      <c r="L55" s="49">
        <f>'Avg Week Kaasangati-Matugga'!L55+'Avg Week Matugga-Kasangati'!L55</f>
        <v>0</v>
      </c>
      <c r="M55" s="49">
        <f>'Avg Week Kaasangati-Matugga'!M55+'Avg Week Matugga-Kasangati'!M55</f>
        <v>87.571428571428569</v>
      </c>
      <c r="N55" s="49">
        <f>'Avg Week Kaasangati-Matugga'!N55+'Avg Week Matugga-Kasangati'!N55</f>
        <v>0</v>
      </c>
      <c r="O55" s="15">
        <f t="shared" si="0"/>
        <v>67.142857142857139</v>
      </c>
      <c r="P55" s="15">
        <f t="shared" si="1"/>
        <v>154.71428571428572</v>
      </c>
      <c r="R55" s="8"/>
      <c r="T55"/>
    </row>
    <row r="56" spans="2:20" ht="23.1" customHeight="1" x14ac:dyDescent="0.25">
      <c r="B56" s="23" t="s">
        <v>83</v>
      </c>
      <c r="C56" s="49">
        <f>'Avg Week Kaasangati-Matugga'!C56+'Avg Week Matugga-Kasangati'!C56</f>
        <v>31</v>
      </c>
      <c r="D56" s="49">
        <f>'Avg Week Kaasangati-Matugga'!D56+'Avg Week Matugga-Kasangati'!D56</f>
        <v>13.571428571428571</v>
      </c>
      <c r="E56" s="49">
        <f>'Avg Week Kaasangati-Matugga'!E56+'Avg Week Matugga-Kasangati'!E56</f>
        <v>6.7142857142857135</v>
      </c>
      <c r="F56" s="49">
        <f>'Avg Week Kaasangati-Matugga'!F56+'Avg Week Matugga-Kasangati'!F56</f>
        <v>10.285714285714285</v>
      </c>
      <c r="G56" s="49">
        <f>'Avg Week Kaasangati-Matugga'!G56+'Avg Week Matugga-Kasangati'!G56</f>
        <v>0.42857142857142855</v>
      </c>
      <c r="H56" s="49">
        <f>'Avg Week Kaasangati-Matugga'!H56+'Avg Week Matugga-Kasangati'!H56</f>
        <v>0</v>
      </c>
      <c r="I56" s="49">
        <f>'Avg Week Kaasangati-Matugga'!I56+'Avg Week Matugga-Kasangati'!I56</f>
        <v>4.2857142857142856</v>
      </c>
      <c r="J56" s="49">
        <f>'Avg Week Kaasangati-Matugga'!J56+'Avg Week Matugga-Kasangati'!J56</f>
        <v>1.2857142857142856</v>
      </c>
      <c r="K56" s="49">
        <f>'Avg Week Kaasangati-Matugga'!K56+'Avg Week Matugga-Kasangati'!K56</f>
        <v>0.14285714285714285</v>
      </c>
      <c r="L56" s="49">
        <f>'Avg Week Kaasangati-Matugga'!L56+'Avg Week Matugga-Kasangati'!L56</f>
        <v>0.2857142857142857</v>
      </c>
      <c r="M56" s="49">
        <f>'Avg Week Kaasangati-Matugga'!M56+'Avg Week Matugga-Kasangati'!M56</f>
        <v>79.428571428571416</v>
      </c>
      <c r="N56" s="49">
        <f>'Avg Week Kaasangati-Matugga'!N56+'Avg Week Matugga-Kasangati'!N56</f>
        <v>0</v>
      </c>
      <c r="O56" s="15">
        <f t="shared" si="0"/>
        <v>68.000000000000014</v>
      </c>
      <c r="P56" s="15">
        <f t="shared" si="1"/>
        <v>147.42857142857144</v>
      </c>
      <c r="R56" s="8"/>
      <c r="T56"/>
    </row>
    <row r="57" spans="2:20" ht="23.1" customHeight="1" x14ac:dyDescent="0.25">
      <c r="B57" s="23" t="s">
        <v>84</v>
      </c>
      <c r="C57" s="49">
        <f>'Avg Week Kaasangati-Matugga'!C57+'Avg Week Matugga-Kasangati'!C57</f>
        <v>27</v>
      </c>
      <c r="D57" s="49">
        <f>'Avg Week Kaasangati-Matugga'!D57+'Avg Week Matugga-Kasangati'!D57</f>
        <v>8.8571428571428577</v>
      </c>
      <c r="E57" s="49">
        <f>'Avg Week Kaasangati-Matugga'!E57+'Avg Week Matugga-Kasangati'!E57</f>
        <v>7.4285714285714288</v>
      </c>
      <c r="F57" s="49">
        <f>'Avg Week Kaasangati-Matugga'!F57+'Avg Week Matugga-Kasangati'!F57</f>
        <v>8.4285714285714288</v>
      </c>
      <c r="G57" s="49">
        <f>'Avg Week Kaasangati-Matugga'!G57+'Avg Week Matugga-Kasangati'!G57</f>
        <v>0.5714285714285714</v>
      </c>
      <c r="H57" s="49">
        <f>'Avg Week Kaasangati-Matugga'!H57+'Avg Week Matugga-Kasangati'!H57</f>
        <v>0</v>
      </c>
      <c r="I57" s="49">
        <f>'Avg Week Kaasangati-Matugga'!I57+'Avg Week Matugga-Kasangati'!I57</f>
        <v>3.7142857142857144</v>
      </c>
      <c r="J57" s="49">
        <f>'Avg Week Kaasangati-Matugga'!J57+'Avg Week Matugga-Kasangati'!J57</f>
        <v>1.8571428571428572</v>
      </c>
      <c r="K57" s="49">
        <f>'Avg Week Kaasangati-Matugga'!K57+'Avg Week Matugga-Kasangati'!K57</f>
        <v>0.71428571428571419</v>
      </c>
      <c r="L57" s="49">
        <f>'Avg Week Kaasangati-Matugga'!L57+'Avg Week Matugga-Kasangati'!L57</f>
        <v>0.2857142857142857</v>
      </c>
      <c r="M57" s="49">
        <f>'Avg Week Kaasangati-Matugga'!M57+'Avg Week Matugga-Kasangati'!M57</f>
        <v>83.857142857142861</v>
      </c>
      <c r="N57" s="49">
        <f>'Avg Week Kaasangati-Matugga'!N57+'Avg Week Matugga-Kasangati'!N57</f>
        <v>0</v>
      </c>
      <c r="O57" s="15">
        <f t="shared" si="0"/>
        <v>58.857142857142861</v>
      </c>
      <c r="P57" s="15">
        <f t="shared" si="1"/>
        <v>142.71428571428572</v>
      </c>
      <c r="R57" s="8"/>
      <c r="T57"/>
    </row>
    <row r="58" spans="2:20" s="101" customFormat="1" ht="23.1" customHeight="1" x14ac:dyDescent="0.25">
      <c r="B58" s="123" t="s">
        <v>99</v>
      </c>
      <c r="C58" s="49">
        <f>'Avg Week Kaasangati-Matugga'!C58+'Avg Week Matugga-Kasangati'!C58</f>
        <v>24.5</v>
      </c>
      <c r="D58" s="49">
        <f>'Avg Week Kaasangati-Matugga'!D58+'Avg Week Matugga-Kasangati'!D58</f>
        <v>5.5</v>
      </c>
      <c r="E58" s="49">
        <f>'Avg Week Kaasangati-Matugga'!E58+'Avg Week Matugga-Kasangati'!E58</f>
        <v>5</v>
      </c>
      <c r="F58" s="49">
        <f>'Avg Week Kaasangati-Matugga'!F58+'Avg Week Matugga-Kasangati'!F58</f>
        <v>10.5</v>
      </c>
      <c r="G58" s="49">
        <f>'Avg Week Kaasangati-Matugga'!G58+'Avg Week Matugga-Kasangati'!G58</f>
        <v>0.5</v>
      </c>
      <c r="H58" s="49">
        <f>'Avg Week Kaasangati-Matugga'!H58+'Avg Week Matugga-Kasangati'!H58</f>
        <v>0</v>
      </c>
      <c r="I58" s="49">
        <f>'Avg Week Kaasangati-Matugga'!I58+'Avg Week Matugga-Kasangati'!I58</f>
        <v>3</v>
      </c>
      <c r="J58" s="49">
        <f>'Avg Week Kaasangati-Matugga'!J58+'Avg Week Matugga-Kasangati'!J58</f>
        <v>0.5</v>
      </c>
      <c r="K58" s="49">
        <f>'Avg Week Kaasangati-Matugga'!K58+'Avg Week Matugga-Kasangati'!K58</f>
        <v>0</v>
      </c>
      <c r="L58" s="49">
        <f>'Avg Week Kaasangati-Matugga'!L58+'Avg Week Matugga-Kasangati'!L58</f>
        <v>0.5</v>
      </c>
      <c r="M58" s="49">
        <f>'Avg Week Kaasangati-Matugga'!M58+'Avg Week Matugga-Kasangati'!M58</f>
        <v>89</v>
      </c>
      <c r="N58" s="49">
        <f>'Avg Week Kaasangati-Matugga'!N58+'Avg Week Matugga-Kasangati'!N58</f>
        <v>0</v>
      </c>
      <c r="O58" s="116">
        <f t="shared" si="0"/>
        <v>50</v>
      </c>
      <c r="P58" s="116">
        <f t="shared" si="1"/>
        <v>139</v>
      </c>
      <c r="R58" s="109"/>
      <c r="S58" s="109"/>
    </row>
    <row r="59" spans="2:20" s="101" customFormat="1" ht="23.1" customHeight="1" x14ac:dyDescent="0.25">
      <c r="B59" s="123" t="s">
        <v>100</v>
      </c>
      <c r="C59" s="49">
        <f>'Avg Week Kaasangati-Matugga'!C59+'Avg Week Matugga-Kasangati'!C59</f>
        <v>27</v>
      </c>
      <c r="D59" s="49">
        <f>'Avg Week Kaasangati-Matugga'!D59+'Avg Week Matugga-Kasangati'!D59</f>
        <v>7.5</v>
      </c>
      <c r="E59" s="49">
        <f>'Avg Week Kaasangati-Matugga'!E59+'Avg Week Matugga-Kasangati'!E59</f>
        <v>4.5</v>
      </c>
      <c r="F59" s="49">
        <f>'Avg Week Kaasangati-Matugga'!F59+'Avg Week Matugga-Kasangati'!F59</f>
        <v>7</v>
      </c>
      <c r="G59" s="49">
        <f>'Avg Week Kaasangati-Matugga'!G59+'Avg Week Matugga-Kasangati'!G59</f>
        <v>0</v>
      </c>
      <c r="H59" s="49">
        <f>'Avg Week Kaasangati-Matugga'!H59+'Avg Week Matugga-Kasangati'!H59</f>
        <v>0</v>
      </c>
      <c r="I59" s="49">
        <f>'Avg Week Kaasangati-Matugga'!I59+'Avg Week Matugga-Kasangati'!I59</f>
        <v>1.5</v>
      </c>
      <c r="J59" s="49">
        <f>'Avg Week Kaasangati-Matugga'!J59+'Avg Week Matugga-Kasangati'!J59</f>
        <v>0</v>
      </c>
      <c r="K59" s="49">
        <f>'Avg Week Kaasangati-Matugga'!K59+'Avg Week Matugga-Kasangati'!K59</f>
        <v>0</v>
      </c>
      <c r="L59" s="49">
        <f>'Avg Week Kaasangati-Matugga'!L59+'Avg Week Matugga-Kasangati'!L59</f>
        <v>0</v>
      </c>
      <c r="M59" s="49">
        <f>'Avg Week Kaasangati-Matugga'!M59+'Avg Week Matugga-Kasangati'!M59</f>
        <v>110</v>
      </c>
      <c r="N59" s="49">
        <f>'Avg Week Kaasangati-Matugga'!N59+'Avg Week Matugga-Kasangati'!N59</f>
        <v>0</v>
      </c>
      <c r="O59" s="116">
        <f t="shared" ref="O59:O105" si="35">SUM(C59:L59,N59)</f>
        <v>47.5</v>
      </c>
      <c r="P59" s="116">
        <f t="shared" ref="P59:P105" si="36">SUM(C59:N59)</f>
        <v>157.5</v>
      </c>
      <c r="R59" s="109"/>
      <c r="S59" s="109"/>
    </row>
    <row r="60" spans="2:20" s="101" customFormat="1" ht="23.1" customHeight="1" x14ac:dyDescent="0.25">
      <c r="B60" s="123" t="s">
        <v>101</v>
      </c>
      <c r="C60" s="49">
        <f>'Avg Week Kaasangati-Matugga'!C60+'Avg Week Matugga-Kasangati'!C60</f>
        <v>40.5</v>
      </c>
      <c r="D60" s="49">
        <f>'Avg Week Kaasangati-Matugga'!D60+'Avg Week Matugga-Kasangati'!D60</f>
        <v>8</v>
      </c>
      <c r="E60" s="49">
        <f>'Avg Week Kaasangati-Matugga'!E60+'Avg Week Matugga-Kasangati'!E60</f>
        <v>7</v>
      </c>
      <c r="F60" s="49">
        <f>'Avg Week Kaasangati-Matugga'!F60+'Avg Week Matugga-Kasangati'!F60</f>
        <v>9</v>
      </c>
      <c r="G60" s="49">
        <f>'Avg Week Kaasangati-Matugga'!G60+'Avg Week Matugga-Kasangati'!G60</f>
        <v>0.5</v>
      </c>
      <c r="H60" s="49">
        <f>'Avg Week Kaasangati-Matugga'!H60+'Avg Week Matugga-Kasangati'!H60</f>
        <v>0</v>
      </c>
      <c r="I60" s="49">
        <f>'Avg Week Kaasangati-Matugga'!I60+'Avg Week Matugga-Kasangati'!I60</f>
        <v>2</v>
      </c>
      <c r="J60" s="49">
        <f>'Avg Week Kaasangati-Matugga'!J60+'Avg Week Matugga-Kasangati'!J60</f>
        <v>0.5</v>
      </c>
      <c r="K60" s="49">
        <f>'Avg Week Kaasangati-Matugga'!K60+'Avg Week Matugga-Kasangati'!K60</f>
        <v>0</v>
      </c>
      <c r="L60" s="49">
        <f>'Avg Week Kaasangati-Matugga'!L60+'Avg Week Matugga-Kasangati'!L60</f>
        <v>0</v>
      </c>
      <c r="M60" s="49">
        <f>'Avg Week Kaasangati-Matugga'!M60+'Avg Week Matugga-Kasangati'!M60</f>
        <v>119.5</v>
      </c>
      <c r="N60" s="49">
        <f>'Avg Week Kaasangati-Matugga'!N60+'Avg Week Matugga-Kasangati'!N60</f>
        <v>0</v>
      </c>
      <c r="O60" s="116">
        <f t="shared" si="35"/>
        <v>67.5</v>
      </c>
      <c r="P60" s="116">
        <f t="shared" si="36"/>
        <v>187</v>
      </c>
      <c r="R60" s="109"/>
      <c r="S60" s="109"/>
    </row>
    <row r="61" spans="2:20" s="101" customFormat="1" ht="23.1" customHeight="1" x14ac:dyDescent="0.25">
      <c r="B61" s="123" t="s">
        <v>102</v>
      </c>
      <c r="C61" s="49">
        <f>'Avg Week Kaasangati-Matugga'!C61+'Avg Week Matugga-Kasangati'!C61</f>
        <v>34</v>
      </c>
      <c r="D61" s="49">
        <f>'Avg Week Kaasangati-Matugga'!D61+'Avg Week Matugga-Kasangati'!D61</f>
        <v>5.5</v>
      </c>
      <c r="E61" s="49">
        <f>'Avg Week Kaasangati-Matugga'!E61+'Avg Week Matugga-Kasangati'!E61</f>
        <v>4.5</v>
      </c>
      <c r="F61" s="49">
        <f>'Avg Week Kaasangati-Matugga'!F61+'Avg Week Matugga-Kasangati'!F61</f>
        <v>6.5</v>
      </c>
      <c r="G61" s="49">
        <f>'Avg Week Kaasangati-Matugga'!G61+'Avg Week Matugga-Kasangati'!G61</f>
        <v>1.5</v>
      </c>
      <c r="H61" s="49">
        <f>'Avg Week Kaasangati-Matugga'!H61+'Avg Week Matugga-Kasangati'!H61</f>
        <v>0</v>
      </c>
      <c r="I61" s="49">
        <f>'Avg Week Kaasangati-Matugga'!I61+'Avg Week Matugga-Kasangati'!I61</f>
        <v>5.5</v>
      </c>
      <c r="J61" s="49">
        <f>'Avg Week Kaasangati-Matugga'!J61+'Avg Week Matugga-Kasangati'!J61</f>
        <v>1</v>
      </c>
      <c r="K61" s="49">
        <f>'Avg Week Kaasangati-Matugga'!K61+'Avg Week Matugga-Kasangati'!K61</f>
        <v>0.5</v>
      </c>
      <c r="L61" s="49">
        <f>'Avg Week Kaasangati-Matugga'!L61+'Avg Week Matugga-Kasangati'!L61</f>
        <v>1</v>
      </c>
      <c r="M61" s="49">
        <f>'Avg Week Kaasangati-Matugga'!M61+'Avg Week Matugga-Kasangati'!M61</f>
        <v>119.5</v>
      </c>
      <c r="N61" s="49">
        <f>'Avg Week Kaasangati-Matugga'!N61+'Avg Week Matugga-Kasangati'!N61</f>
        <v>0</v>
      </c>
      <c r="O61" s="116">
        <f t="shared" si="35"/>
        <v>60</v>
      </c>
      <c r="P61" s="116">
        <f t="shared" si="36"/>
        <v>179.5</v>
      </c>
      <c r="R61" s="109"/>
      <c r="S61" s="109"/>
    </row>
    <row r="62" spans="2:20" s="101" customFormat="1" ht="23.1" customHeight="1" x14ac:dyDescent="0.25">
      <c r="B62" s="123" t="s">
        <v>107</v>
      </c>
      <c r="C62" s="49">
        <f>'Avg Week Kaasangati-Matugga'!C62+'Avg Week Matugga-Kasangati'!C62</f>
        <v>39</v>
      </c>
      <c r="D62" s="49">
        <f>'Avg Week Kaasangati-Matugga'!D62+'Avg Week Matugga-Kasangati'!D62</f>
        <v>5.5</v>
      </c>
      <c r="E62" s="49">
        <f>'Avg Week Kaasangati-Matugga'!E62+'Avg Week Matugga-Kasangati'!E62</f>
        <v>2</v>
      </c>
      <c r="F62" s="49">
        <f>'Avg Week Kaasangati-Matugga'!F62+'Avg Week Matugga-Kasangati'!F62</f>
        <v>12</v>
      </c>
      <c r="G62" s="49">
        <f>'Avg Week Kaasangati-Matugga'!G62+'Avg Week Matugga-Kasangati'!G62</f>
        <v>0.5</v>
      </c>
      <c r="H62" s="49">
        <f>'Avg Week Kaasangati-Matugga'!H62+'Avg Week Matugga-Kasangati'!H62</f>
        <v>0</v>
      </c>
      <c r="I62" s="49">
        <f>'Avg Week Kaasangati-Matugga'!I62+'Avg Week Matugga-Kasangati'!I62</f>
        <v>4</v>
      </c>
      <c r="J62" s="49">
        <f>'Avg Week Kaasangati-Matugga'!J62+'Avg Week Matugga-Kasangati'!J62</f>
        <v>0.5</v>
      </c>
      <c r="K62" s="49">
        <f>'Avg Week Kaasangati-Matugga'!K62+'Avg Week Matugga-Kasangati'!K62</f>
        <v>1.5</v>
      </c>
      <c r="L62" s="49">
        <f>'Avg Week Kaasangati-Matugga'!L62+'Avg Week Matugga-Kasangati'!L62</f>
        <v>0</v>
      </c>
      <c r="M62" s="49">
        <f>'Avg Week Kaasangati-Matugga'!M62+'Avg Week Matugga-Kasangati'!M62</f>
        <v>100</v>
      </c>
      <c r="N62" s="49">
        <f>'Avg Week Kaasangati-Matugga'!N62+'Avg Week Matugga-Kasangati'!N62</f>
        <v>0</v>
      </c>
      <c r="O62" s="116">
        <f t="shared" si="35"/>
        <v>65</v>
      </c>
      <c r="P62" s="116">
        <f t="shared" si="36"/>
        <v>165</v>
      </c>
      <c r="R62" s="109"/>
      <c r="S62" s="109"/>
    </row>
    <row r="63" spans="2:20" s="101" customFormat="1" ht="23.1" customHeight="1" x14ac:dyDescent="0.25">
      <c r="B63" s="123" t="s">
        <v>108</v>
      </c>
      <c r="C63" s="49">
        <f>'Avg Week Kaasangati-Matugga'!C63+'Avg Week Matugga-Kasangati'!C63</f>
        <v>41.5</v>
      </c>
      <c r="D63" s="49">
        <f>'Avg Week Kaasangati-Matugga'!D63+'Avg Week Matugga-Kasangati'!D63</f>
        <v>4</v>
      </c>
      <c r="E63" s="49">
        <f>'Avg Week Kaasangati-Matugga'!E63+'Avg Week Matugga-Kasangati'!E63</f>
        <v>5</v>
      </c>
      <c r="F63" s="49">
        <f>'Avg Week Kaasangati-Matugga'!F63+'Avg Week Matugga-Kasangati'!F63</f>
        <v>8.5</v>
      </c>
      <c r="G63" s="49">
        <f>'Avg Week Kaasangati-Matugga'!G63+'Avg Week Matugga-Kasangati'!G63</f>
        <v>0</v>
      </c>
      <c r="H63" s="49">
        <f>'Avg Week Kaasangati-Matugga'!H63+'Avg Week Matugga-Kasangati'!H63</f>
        <v>0</v>
      </c>
      <c r="I63" s="49">
        <f>'Avg Week Kaasangati-Matugga'!I63+'Avg Week Matugga-Kasangati'!I63</f>
        <v>3.5</v>
      </c>
      <c r="J63" s="49">
        <f>'Avg Week Kaasangati-Matugga'!J63+'Avg Week Matugga-Kasangati'!J63</f>
        <v>1</v>
      </c>
      <c r="K63" s="49">
        <f>'Avg Week Kaasangati-Matugga'!K63+'Avg Week Matugga-Kasangati'!K63</f>
        <v>0</v>
      </c>
      <c r="L63" s="49">
        <f>'Avg Week Kaasangati-Matugga'!L63+'Avg Week Matugga-Kasangati'!L63</f>
        <v>0</v>
      </c>
      <c r="M63" s="49">
        <f>'Avg Week Kaasangati-Matugga'!M63+'Avg Week Matugga-Kasangati'!M63</f>
        <v>98</v>
      </c>
      <c r="N63" s="49">
        <f>'Avg Week Kaasangati-Matugga'!N63+'Avg Week Matugga-Kasangati'!N63</f>
        <v>0</v>
      </c>
      <c r="O63" s="116">
        <f t="shared" si="35"/>
        <v>63.5</v>
      </c>
      <c r="P63" s="116">
        <f t="shared" si="36"/>
        <v>161.5</v>
      </c>
      <c r="R63" s="109"/>
      <c r="S63" s="109"/>
    </row>
    <row r="64" spans="2:20" s="101" customFormat="1" ht="23.1" customHeight="1" x14ac:dyDescent="0.25">
      <c r="B64" s="123" t="s">
        <v>109</v>
      </c>
      <c r="C64" s="49">
        <f>'Avg Week Kaasangati-Matugga'!C64+'Avg Week Matugga-Kasangati'!C64</f>
        <v>39.5</v>
      </c>
      <c r="D64" s="49">
        <f>'Avg Week Kaasangati-Matugga'!D64+'Avg Week Matugga-Kasangati'!D64</f>
        <v>10.5</v>
      </c>
      <c r="E64" s="49">
        <f>'Avg Week Kaasangati-Matugga'!E64+'Avg Week Matugga-Kasangati'!E64</f>
        <v>8.5</v>
      </c>
      <c r="F64" s="49">
        <f>'Avg Week Kaasangati-Matugga'!F64+'Avg Week Matugga-Kasangati'!F64</f>
        <v>6.5</v>
      </c>
      <c r="G64" s="49">
        <f>'Avg Week Kaasangati-Matugga'!G64+'Avg Week Matugga-Kasangati'!G64</f>
        <v>0</v>
      </c>
      <c r="H64" s="49">
        <f>'Avg Week Kaasangati-Matugga'!H64+'Avg Week Matugga-Kasangati'!H64</f>
        <v>0</v>
      </c>
      <c r="I64" s="49">
        <f>'Avg Week Kaasangati-Matugga'!I64+'Avg Week Matugga-Kasangati'!I64</f>
        <v>3.5</v>
      </c>
      <c r="J64" s="49">
        <f>'Avg Week Kaasangati-Matugga'!J64+'Avg Week Matugga-Kasangati'!J64</f>
        <v>0.5</v>
      </c>
      <c r="K64" s="49">
        <f>'Avg Week Kaasangati-Matugga'!K64+'Avg Week Matugga-Kasangati'!K64</f>
        <v>1</v>
      </c>
      <c r="L64" s="49">
        <f>'Avg Week Kaasangati-Matugga'!L64+'Avg Week Matugga-Kasangati'!L64</f>
        <v>0.5</v>
      </c>
      <c r="M64" s="49">
        <f>'Avg Week Kaasangati-Matugga'!M64+'Avg Week Matugga-Kasangati'!M64</f>
        <v>116</v>
      </c>
      <c r="N64" s="49">
        <f>'Avg Week Kaasangati-Matugga'!N64+'Avg Week Matugga-Kasangati'!N64</f>
        <v>0</v>
      </c>
      <c r="O64" s="116">
        <f t="shared" si="35"/>
        <v>70.5</v>
      </c>
      <c r="P64" s="116">
        <f t="shared" si="36"/>
        <v>186.5</v>
      </c>
      <c r="R64" s="109"/>
      <c r="S64" s="109"/>
    </row>
    <row r="65" spans="2:19" s="101" customFormat="1" ht="23.1" customHeight="1" x14ac:dyDescent="0.25">
      <c r="B65" s="123" t="s">
        <v>158</v>
      </c>
      <c r="C65" s="49">
        <f>'Avg Week Kaasangati-Matugga'!C65+'Avg Week Matugga-Kasangati'!C65</f>
        <v>31.5</v>
      </c>
      <c r="D65" s="49">
        <f>'Avg Week Kaasangati-Matugga'!D65+'Avg Week Matugga-Kasangati'!D65</f>
        <v>5</v>
      </c>
      <c r="E65" s="49">
        <f>'Avg Week Kaasangati-Matugga'!E65+'Avg Week Matugga-Kasangati'!E65</f>
        <v>7</v>
      </c>
      <c r="F65" s="49">
        <f>'Avg Week Kaasangati-Matugga'!F65+'Avg Week Matugga-Kasangati'!F65</f>
        <v>5</v>
      </c>
      <c r="G65" s="49">
        <f>'Avg Week Kaasangati-Matugga'!G65+'Avg Week Matugga-Kasangati'!G65</f>
        <v>0</v>
      </c>
      <c r="H65" s="49">
        <f>'Avg Week Kaasangati-Matugga'!H65+'Avg Week Matugga-Kasangati'!H65</f>
        <v>0.5</v>
      </c>
      <c r="I65" s="49">
        <f>'Avg Week Kaasangati-Matugga'!I65+'Avg Week Matugga-Kasangati'!I65</f>
        <v>3.5</v>
      </c>
      <c r="J65" s="49">
        <f>'Avg Week Kaasangati-Matugga'!J65+'Avg Week Matugga-Kasangati'!J65</f>
        <v>2.5</v>
      </c>
      <c r="K65" s="49">
        <f>'Avg Week Kaasangati-Matugga'!K65+'Avg Week Matugga-Kasangati'!K65</f>
        <v>0</v>
      </c>
      <c r="L65" s="49">
        <f>'Avg Week Kaasangati-Matugga'!L65+'Avg Week Matugga-Kasangati'!L65</f>
        <v>0</v>
      </c>
      <c r="M65" s="49">
        <f>'Avg Week Kaasangati-Matugga'!M65+'Avg Week Matugga-Kasangati'!M65</f>
        <v>99.5</v>
      </c>
      <c r="N65" s="49">
        <f>'Avg Week Kaasangati-Matugga'!N65+'Avg Week Matugga-Kasangati'!N65</f>
        <v>0</v>
      </c>
      <c r="O65" s="116">
        <f t="shared" si="35"/>
        <v>55</v>
      </c>
      <c r="P65" s="116">
        <f t="shared" si="36"/>
        <v>154.5</v>
      </c>
      <c r="R65" s="109"/>
      <c r="S65" s="109"/>
    </row>
    <row r="66" spans="2:19" s="101" customFormat="1" ht="23.1" customHeight="1" x14ac:dyDescent="0.25">
      <c r="B66" s="123" t="s">
        <v>103</v>
      </c>
      <c r="C66" s="49">
        <f>'Avg Week Kaasangati-Matugga'!C66+'Avg Week Matugga-Kasangati'!C66</f>
        <v>37</v>
      </c>
      <c r="D66" s="49">
        <f>'Avg Week Kaasangati-Matugga'!D66+'Avg Week Matugga-Kasangati'!D66</f>
        <v>6</v>
      </c>
      <c r="E66" s="49">
        <f>'Avg Week Kaasangati-Matugga'!E66+'Avg Week Matugga-Kasangati'!E66</f>
        <v>4.5</v>
      </c>
      <c r="F66" s="49">
        <f>'Avg Week Kaasangati-Matugga'!F66+'Avg Week Matugga-Kasangati'!F66</f>
        <v>9</v>
      </c>
      <c r="G66" s="49">
        <f>'Avg Week Kaasangati-Matugga'!G66+'Avg Week Matugga-Kasangati'!G66</f>
        <v>0</v>
      </c>
      <c r="H66" s="49">
        <f>'Avg Week Kaasangati-Matugga'!H66+'Avg Week Matugga-Kasangati'!H66</f>
        <v>0</v>
      </c>
      <c r="I66" s="49">
        <f>'Avg Week Kaasangati-Matugga'!I66+'Avg Week Matugga-Kasangati'!I66</f>
        <v>4.5</v>
      </c>
      <c r="J66" s="49">
        <f>'Avg Week Kaasangati-Matugga'!J66+'Avg Week Matugga-Kasangati'!J66</f>
        <v>1.5</v>
      </c>
      <c r="K66" s="49">
        <f>'Avg Week Kaasangati-Matugga'!K66+'Avg Week Matugga-Kasangati'!K66</f>
        <v>0</v>
      </c>
      <c r="L66" s="49">
        <f>'Avg Week Kaasangati-Matugga'!L66+'Avg Week Matugga-Kasangati'!L66</f>
        <v>0.5</v>
      </c>
      <c r="M66" s="49">
        <f>'Avg Week Kaasangati-Matugga'!M66+'Avg Week Matugga-Kasangati'!M66</f>
        <v>98.5</v>
      </c>
      <c r="N66" s="49">
        <f>'Avg Week Kaasangati-Matugga'!N66+'Avg Week Matugga-Kasangati'!N66</f>
        <v>0</v>
      </c>
      <c r="O66" s="116">
        <f t="shared" si="35"/>
        <v>63</v>
      </c>
      <c r="P66" s="116">
        <f t="shared" si="36"/>
        <v>161.5</v>
      </c>
      <c r="R66" s="109"/>
      <c r="S66" s="109"/>
    </row>
    <row r="67" spans="2:19" s="101" customFormat="1" ht="23.1" customHeight="1" x14ac:dyDescent="0.25">
      <c r="B67" s="123" t="s">
        <v>104</v>
      </c>
      <c r="C67" s="49">
        <f>'Avg Week Kaasangati-Matugga'!C67+'Avg Week Matugga-Kasangati'!C67</f>
        <v>38</v>
      </c>
      <c r="D67" s="49">
        <f>'Avg Week Kaasangati-Matugga'!D67+'Avg Week Matugga-Kasangati'!D67</f>
        <v>6.5</v>
      </c>
      <c r="E67" s="49">
        <f>'Avg Week Kaasangati-Matugga'!E67+'Avg Week Matugga-Kasangati'!E67</f>
        <v>6</v>
      </c>
      <c r="F67" s="49">
        <f>'Avg Week Kaasangati-Matugga'!F67+'Avg Week Matugga-Kasangati'!F67</f>
        <v>6.5</v>
      </c>
      <c r="G67" s="49">
        <f>'Avg Week Kaasangati-Matugga'!G67+'Avg Week Matugga-Kasangati'!G67</f>
        <v>0</v>
      </c>
      <c r="H67" s="49">
        <f>'Avg Week Kaasangati-Matugga'!H67+'Avg Week Matugga-Kasangati'!H67</f>
        <v>0</v>
      </c>
      <c r="I67" s="49">
        <f>'Avg Week Kaasangati-Matugga'!I67+'Avg Week Matugga-Kasangati'!I67</f>
        <v>3.5</v>
      </c>
      <c r="J67" s="49">
        <f>'Avg Week Kaasangati-Matugga'!J67+'Avg Week Matugga-Kasangati'!J67</f>
        <v>1</v>
      </c>
      <c r="K67" s="49">
        <f>'Avg Week Kaasangati-Matugga'!K67+'Avg Week Matugga-Kasangati'!K67</f>
        <v>0</v>
      </c>
      <c r="L67" s="49">
        <f>'Avg Week Kaasangati-Matugga'!L67+'Avg Week Matugga-Kasangati'!L67</f>
        <v>0</v>
      </c>
      <c r="M67" s="49">
        <f>'Avg Week Kaasangati-Matugga'!M67+'Avg Week Matugga-Kasangati'!M67</f>
        <v>99</v>
      </c>
      <c r="N67" s="49">
        <f>'Avg Week Kaasangati-Matugga'!N67+'Avg Week Matugga-Kasangati'!N67</f>
        <v>0</v>
      </c>
      <c r="O67" s="116">
        <f t="shared" si="35"/>
        <v>61.5</v>
      </c>
      <c r="P67" s="116">
        <f t="shared" si="36"/>
        <v>160.5</v>
      </c>
      <c r="R67" s="109"/>
      <c r="S67" s="109"/>
    </row>
    <row r="68" spans="2:19" s="101" customFormat="1" ht="23.1" customHeight="1" x14ac:dyDescent="0.25">
      <c r="B68" s="123" t="s">
        <v>105</v>
      </c>
      <c r="C68" s="49">
        <f>'Avg Week Kaasangati-Matugga'!C68+'Avg Week Matugga-Kasangati'!C68</f>
        <v>27</v>
      </c>
      <c r="D68" s="49">
        <f>'Avg Week Kaasangati-Matugga'!D68+'Avg Week Matugga-Kasangati'!D68</f>
        <v>3</v>
      </c>
      <c r="E68" s="49">
        <f>'Avg Week Kaasangati-Matugga'!E68+'Avg Week Matugga-Kasangati'!E68</f>
        <v>8.5</v>
      </c>
      <c r="F68" s="49">
        <f>'Avg Week Kaasangati-Matugga'!F68+'Avg Week Matugga-Kasangati'!F68</f>
        <v>5</v>
      </c>
      <c r="G68" s="49">
        <f>'Avg Week Kaasangati-Matugga'!G68+'Avg Week Matugga-Kasangati'!G68</f>
        <v>0</v>
      </c>
      <c r="H68" s="49">
        <f>'Avg Week Kaasangati-Matugga'!H68+'Avg Week Matugga-Kasangati'!H68</f>
        <v>0</v>
      </c>
      <c r="I68" s="49">
        <f>'Avg Week Kaasangati-Matugga'!I68+'Avg Week Matugga-Kasangati'!I68</f>
        <v>5</v>
      </c>
      <c r="J68" s="49">
        <f>'Avg Week Kaasangati-Matugga'!J68+'Avg Week Matugga-Kasangati'!J68</f>
        <v>0</v>
      </c>
      <c r="K68" s="49">
        <f>'Avg Week Kaasangati-Matugga'!K68+'Avg Week Matugga-Kasangati'!K68</f>
        <v>0</v>
      </c>
      <c r="L68" s="49">
        <f>'Avg Week Kaasangati-Matugga'!L68+'Avg Week Matugga-Kasangati'!L68</f>
        <v>0</v>
      </c>
      <c r="M68" s="49">
        <f>'Avg Week Kaasangati-Matugga'!M68+'Avg Week Matugga-Kasangati'!M68</f>
        <v>84</v>
      </c>
      <c r="N68" s="49">
        <f>'Avg Week Kaasangati-Matugga'!N68+'Avg Week Matugga-Kasangati'!N68</f>
        <v>0</v>
      </c>
      <c r="O68" s="116">
        <f t="shared" si="35"/>
        <v>48.5</v>
      </c>
      <c r="P68" s="116">
        <f t="shared" si="36"/>
        <v>132.5</v>
      </c>
      <c r="R68" s="109"/>
      <c r="S68" s="109"/>
    </row>
    <row r="69" spans="2:19" s="101" customFormat="1" ht="23.1" customHeight="1" x14ac:dyDescent="0.25">
      <c r="B69" s="123" t="s">
        <v>106</v>
      </c>
      <c r="C69" s="49">
        <f>'Avg Week Kaasangati-Matugga'!C69+'Avg Week Matugga-Kasangati'!C69</f>
        <v>33.5</v>
      </c>
      <c r="D69" s="49">
        <f>'Avg Week Kaasangati-Matugga'!D69+'Avg Week Matugga-Kasangati'!D69</f>
        <v>2.5</v>
      </c>
      <c r="E69" s="49">
        <f>'Avg Week Kaasangati-Matugga'!E69+'Avg Week Matugga-Kasangati'!E69</f>
        <v>4</v>
      </c>
      <c r="F69" s="49">
        <f>'Avg Week Kaasangati-Matugga'!F69+'Avg Week Matugga-Kasangati'!F69</f>
        <v>5</v>
      </c>
      <c r="G69" s="49">
        <f>'Avg Week Kaasangati-Matugga'!G69+'Avg Week Matugga-Kasangati'!G69</f>
        <v>0</v>
      </c>
      <c r="H69" s="49">
        <f>'Avg Week Kaasangati-Matugga'!H69+'Avg Week Matugga-Kasangati'!H69</f>
        <v>0</v>
      </c>
      <c r="I69" s="49">
        <f>'Avg Week Kaasangati-Matugga'!I69+'Avg Week Matugga-Kasangati'!I69</f>
        <v>3.5</v>
      </c>
      <c r="J69" s="49">
        <f>'Avg Week Kaasangati-Matugga'!J69+'Avg Week Matugga-Kasangati'!J69</f>
        <v>1</v>
      </c>
      <c r="K69" s="49">
        <f>'Avg Week Kaasangati-Matugga'!K69+'Avg Week Matugga-Kasangati'!K69</f>
        <v>0</v>
      </c>
      <c r="L69" s="49">
        <f>'Avg Week Kaasangati-Matugga'!L69+'Avg Week Matugga-Kasangati'!L69</f>
        <v>0</v>
      </c>
      <c r="M69" s="49">
        <f>'Avg Week Kaasangati-Matugga'!M69+'Avg Week Matugga-Kasangati'!M69</f>
        <v>80.5</v>
      </c>
      <c r="N69" s="49">
        <f>'Avg Week Kaasangati-Matugga'!N69+'Avg Week Matugga-Kasangati'!N69</f>
        <v>0.5</v>
      </c>
      <c r="O69" s="116">
        <f t="shared" si="35"/>
        <v>50</v>
      </c>
      <c r="P69" s="116">
        <f t="shared" si="36"/>
        <v>130.5</v>
      </c>
      <c r="R69" s="109"/>
      <c r="S69" s="109"/>
    </row>
    <row r="70" spans="2:19" s="101" customFormat="1" ht="23.1" customHeight="1" x14ac:dyDescent="0.25">
      <c r="B70" s="123" t="s">
        <v>110</v>
      </c>
      <c r="C70" s="49">
        <f>'Avg Week Kaasangati-Matugga'!C70+'Avg Week Matugga-Kasangati'!C70</f>
        <v>34</v>
      </c>
      <c r="D70" s="49">
        <f>'Avg Week Kaasangati-Matugga'!D70+'Avg Week Matugga-Kasangati'!D70</f>
        <v>6</v>
      </c>
      <c r="E70" s="49">
        <f>'Avg Week Kaasangati-Matugga'!E70+'Avg Week Matugga-Kasangati'!E70</f>
        <v>4.5</v>
      </c>
      <c r="F70" s="49">
        <f>'Avg Week Kaasangati-Matugga'!F70+'Avg Week Matugga-Kasangati'!F70</f>
        <v>6</v>
      </c>
      <c r="G70" s="49">
        <f>'Avg Week Kaasangati-Matugga'!G70+'Avg Week Matugga-Kasangati'!G70</f>
        <v>0</v>
      </c>
      <c r="H70" s="49">
        <f>'Avg Week Kaasangati-Matugga'!H70+'Avg Week Matugga-Kasangati'!H70</f>
        <v>0</v>
      </c>
      <c r="I70" s="49">
        <f>'Avg Week Kaasangati-Matugga'!I70+'Avg Week Matugga-Kasangati'!I70</f>
        <v>3.5</v>
      </c>
      <c r="J70" s="49">
        <f>'Avg Week Kaasangati-Matugga'!J70+'Avg Week Matugga-Kasangati'!J70</f>
        <v>0</v>
      </c>
      <c r="K70" s="49">
        <f>'Avg Week Kaasangati-Matugga'!K70+'Avg Week Matugga-Kasangati'!K70</f>
        <v>0.5</v>
      </c>
      <c r="L70" s="49">
        <f>'Avg Week Kaasangati-Matugga'!L70+'Avg Week Matugga-Kasangati'!L70</f>
        <v>0</v>
      </c>
      <c r="M70" s="49">
        <f>'Avg Week Kaasangati-Matugga'!M70+'Avg Week Matugga-Kasangati'!M70</f>
        <v>76.5</v>
      </c>
      <c r="N70" s="49">
        <f>'Avg Week Kaasangati-Matugga'!N70+'Avg Week Matugga-Kasangati'!N70</f>
        <v>0</v>
      </c>
      <c r="O70" s="116">
        <f t="shared" si="35"/>
        <v>54.5</v>
      </c>
      <c r="P70" s="116">
        <f t="shared" si="36"/>
        <v>131</v>
      </c>
      <c r="R70" s="109"/>
      <c r="S70" s="109"/>
    </row>
    <row r="71" spans="2:19" s="101" customFormat="1" ht="23.1" customHeight="1" x14ac:dyDescent="0.25">
      <c r="B71" s="123" t="s">
        <v>111</v>
      </c>
      <c r="C71" s="49">
        <f>'Avg Week Kaasangati-Matugga'!C71+'Avg Week Matugga-Kasangati'!C71</f>
        <v>17</v>
      </c>
      <c r="D71" s="49">
        <f>'Avg Week Kaasangati-Matugga'!D71+'Avg Week Matugga-Kasangati'!D71</f>
        <v>2</v>
      </c>
      <c r="E71" s="49">
        <f>'Avg Week Kaasangati-Matugga'!E71+'Avg Week Matugga-Kasangati'!E71</f>
        <v>4.5</v>
      </c>
      <c r="F71" s="49">
        <f>'Avg Week Kaasangati-Matugga'!F71+'Avg Week Matugga-Kasangati'!F71</f>
        <v>4.5</v>
      </c>
      <c r="G71" s="49">
        <f>'Avg Week Kaasangati-Matugga'!G71+'Avg Week Matugga-Kasangati'!G71</f>
        <v>0</v>
      </c>
      <c r="H71" s="49">
        <f>'Avg Week Kaasangati-Matugga'!H71+'Avg Week Matugga-Kasangati'!H71</f>
        <v>0</v>
      </c>
      <c r="I71" s="49">
        <f>'Avg Week Kaasangati-Matugga'!I71+'Avg Week Matugga-Kasangati'!I71</f>
        <v>5.5</v>
      </c>
      <c r="J71" s="49">
        <f>'Avg Week Kaasangati-Matugga'!J71+'Avg Week Matugga-Kasangati'!J71</f>
        <v>1</v>
      </c>
      <c r="K71" s="49">
        <f>'Avg Week Kaasangati-Matugga'!K71+'Avg Week Matugga-Kasangati'!K71</f>
        <v>0</v>
      </c>
      <c r="L71" s="49">
        <f>'Avg Week Kaasangati-Matugga'!L71+'Avg Week Matugga-Kasangati'!L71</f>
        <v>0</v>
      </c>
      <c r="M71" s="49">
        <f>'Avg Week Kaasangati-Matugga'!M71+'Avg Week Matugga-Kasangati'!M71</f>
        <v>78.5</v>
      </c>
      <c r="N71" s="49">
        <f>'Avg Week Kaasangati-Matugga'!N71+'Avg Week Matugga-Kasangati'!N71</f>
        <v>0</v>
      </c>
      <c r="O71" s="116">
        <f t="shared" si="35"/>
        <v>34.5</v>
      </c>
      <c r="P71" s="116">
        <f t="shared" si="36"/>
        <v>113</v>
      </c>
      <c r="R71" s="109"/>
      <c r="S71" s="109"/>
    </row>
    <row r="72" spans="2:19" s="101" customFormat="1" ht="23.1" customHeight="1" x14ac:dyDescent="0.25">
      <c r="B72" s="123" t="s">
        <v>112</v>
      </c>
      <c r="C72" s="49">
        <f>'Avg Week Kaasangati-Matugga'!C72+'Avg Week Matugga-Kasangati'!C72</f>
        <v>29</v>
      </c>
      <c r="D72" s="49">
        <f>'Avg Week Kaasangati-Matugga'!D72+'Avg Week Matugga-Kasangati'!D72</f>
        <v>1.5</v>
      </c>
      <c r="E72" s="49">
        <f>'Avg Week Kaasangati-Matugga'!E72+'Avg Week Matugga-Kasangati'!E72</f>
        <v>2.5</v>
      </c>
      <c r="F72" s="49">
        <f>'Avg Week Kaasangati-Matugga'!F72+'Avg Week Matugga-Kasangati'!F72</f>
        <v>6</v>
      </c>
      <c r="G72" s="49">
        <f>'Avg Week Kaasangati-Matugga'!G72+'Avg Week Matugga-Kasangati'!G72</f>
        <v>0.5</v>
      </c>
      <c r="H72" s="49">
        <f>'Avg Week Kaasangati-Matugga'!H72+'Avg Week Matugga-Kasangati'!H72</f>
        <v>0</v>
      </c>
      <c r="I72" s="49">
        <f>'Avg Week Kaasangati-Matugga'!I72+'Avg Week Matugga-Kasangati'!I72</f>
        <v>2.5</v>
      </c>
      <c r="J72" s="49">
        <f>'Avg Week Kaasangati-Matugga'!J72+'Avg Week Matugga-Kasangati'!J72</f>
        <v>0.5</v>
      </c>
      <c r="K72" s="49">
        <f>'Avg Week Kaasangati-Matugga'!K72+'Avg Week Matugga-Kasangati'!K72</f>
        <v>0.5</v>
      </c>
      <c r="L72" s="49">
        <f>'Avg Week Kaasangati-Matugga'!L72+'Avg Week Matugga-Kasangati'!L72</f>
        <v>0</v>
      </c>
      <c r="M72" s="49">
        <f>'Avg Week Kaasangati-Matugga'!M72+'Avg Week Matugga-Kasangati'!M72</f>
        <v>86</v>
      </c>
      <c r="N72" s="49">
        <f>'Avg Week Kaasangati-Matugga'!N72+'Avg Week Matugga-Kasangati'!N72</f>
        <v>0</v>
      </c>
      <c r="O72" s="116">
        <f t="shared" si="35"/>
        <v>43</v>
      </c>
      <c r="P72" s="116">
        <f t="shared" si="36"/>
        <v>129</v>
      </c>
      <c r="R72" s="109"/>
      <c r="S72" s="109"/>
    </row>
    <row r="73" spans="2:19" s="101" customFormat="1" ht="23.1" customHeight="1" x14ac:dyDescent="0.25">
      <c r="B73" s="123" t="s">
        <v>113</v>
      </c>
      <c r="C73" s="49">
        <f>'Avg Week Kaasangati-Matugga'!C73+'Avg Week Matugga-Kasangati'!C73</f>
        <v>20</v>
      </c>
      <c r="D73" s="49">
        <f>'Avg Week Kaasangati-Matugga'!D73+'Avg Week Matugga-Kasangati'!D73</f>
        <v>6</v>
      </c>
      <c r="E73" s="49">
        <f>'Avg Week Kaasangati-Matugga'!E73+'Avg Week Matugga-Kasangati'!E73</f>
        <v>1.5</v>
      </c>
      <c r="F73" s="49">
        <f>'Avg Week Kaasangati-Matugga'!F73+'Avg Week Matugga-Kasangati'!F73</f>
        <v>3</v>
      </c>
      <c r="G73" s="49">
        <f>'Avg Week Kaasangati-Matugga'!G73+'Avg Week Matugga-Kasangati'!G73</f>
        <v>0</v>
      </c>
      <c r="H73" s="49">
        <f>'Avg Week Kaasangati-Matugga'!H73+'Avg Week Matugga-Kasangati'!H73</f>
        <v>0</v>
      </c>
      <c r="I73" s="49">
        <f>'Avg Week Kaasangati-Matugga'!I73+'Avg Week Matugga-Kasangati'!I73</f>
        <v>2</v>
      </c>
      <c r="J73" s="49">
        <f>'Avg Week Kaasangati-Matugga'!J73+'Avg Week Matugga-Kasangati'!J73</f>
        <v>0</v>
      </c>
      <c r="K73" s="49">
        <f>'Avg Week Kaasangati-Matugga'!K73+'Avg Week Matugga-Kasangati'!K73</f>
        <v>0.5</v>
      </c>
      <c r="L73" s="49">
        <f>'Avg Week Kaasangati-Matugga'!L73+'Avg Week Matugga-Kasangati'!L73</f>
        <v>0</v>
      </c>
      <c r="M73" s="49">
        <f>'Avg Week Kaasangati-Matugga'!M73+'Avg Week Matugga-Kasangati'!M73</f>
        <v>66.5</v>
      </c>
      <c r="N73" s="49">
        <f>'Avg Week Kaasangati-Matugga'!N73+'Avg Week Matugga-Kasangati'!N73</f>
        <v>0</v>
      </c>
      <c r="O73" s="116">
        <f t="shared" si="35"/>
        <v>33</v>
      </c>
      <c r="P73" s="116">
        <f t="shared" si="36"/>
        <v>99.5</v>
      </c>
      <c r="R73" s="109"/>
      <c r="S73" s="109"/>
    </row>
    <row r="74" spans="2:19" s="101" customFormat="1" ht="23.1" customHeight="1" x14ac:dyDescent="0.25">
      <c r="B74" s="123" t="s">
        <v>114</v>
      </c>
      <c r="C74" s="49">
        <f>'Avg Week Kaasangati-Matugga'!C74+'Avg Week Matugga-Kasangati'!C74</f>
        <v>17</v>
      </c>
      <c r="D74" s="49">
        <f>'Avg Week Kaasangati-Matugga'!D74+'Avg Week Matugga-Kasangati'!D74</f>
        <v>4</v>
      </c>
      <c r="E74" s="49">
        <f>'Avg Week Kaasangati-Matugga'!E74+'Avg Week Matugga-Kasangati'!E74</f>
        <v>2</v>
      </c>
      <c r="F74" s="49">
        <f>'Avg Week Kaasangati-Matugga'!F74+'Avg Week Matugga-Kasangati'!F74</f>
        <v>3</v>
      </c>
      <c r="G74" s="49">
        <f>'Avg Week Kaasangati-Matugga'!G74+'Avg Week Matugga-Kasangati'!G74</f>
        <v>0</v>
      </c>
      <c r="H74" s="49">
        <f>'Avg Week Kaasangati-Matugga'!H74+'Avg Week Matugga-Kasangati'!H74</f>
        <v>0</v>
      </c>
      <c r="I74" s="49">
        <f>'Avg Week Kaasangati-Matugga'!I74+'Avg Week Matugga-Kasangati'!I74</f>
        <v>1</v>
      </c>
      <c r="J74" s="49">
        <f>'Avg Week Kaasangati-Matugga'!J74+'Avg Week Matugga-Kasangati'!J74</f>
        <v>0</v>
      </c>
      <c r="K74" s="49">
        <f>'Avg Week Kaasangati-Matugga'!K74+'Avg Week Matugga-Kasangati'!K74</f>
        <v>1</v>
      </c>
      <c r="L74" s="49">
        <f>'Avg Week Kaasangati-Matugga'!L74+'Avg Week Matugga-Kasangati'!L74</f>
        <v>0</v>
      </c>
      <c r="M74" s="49">
        <f>'Avg Week Kaasangati-Matugga'!M74+'Avg Week Matugga-Kasangati'!M74</f>
        <v>57.5</v>
      </c>
      <c r="N74" s="49">
        <f>'Avg Week Kaasangati-Matugga'!N74+'Avg Week Matugga-Kasangati'!N74</f>
        <v>0</v>
      </c>
      <c r="O74" s="116">
        <f t="shared" si="35"/>
        <v>28</v>
      </c>
      <c r="P74" s="116">
        <f t="shared" si="36"/>
        <v>85.5</v>
      </c>
      <c r="R74" s="109"/>
      <c r="S74" s="109"/>
    </row>
    <row r="75" spans="2:19" s="101" customFormat="1" ht="23.1" customHeight="1" x14ac:dyDescent="0.25">
      <c r="B75" s="123" t="s">
        <v>115</v>
      </c>
      <c r="C75" s="49">
        <f>'Avg Week Kaasangati-Matugga'!C75+'Avg Week Matugga-Kasangati'!C75</f>
        <v>17</v>
      </c>
      <c r="D75" s="49">
        <f>'Avg Week Kaasangati-Matugga'!D75+'Avg Week Matugga-Kasangati'!D75</f>
        <v>2.5</v>
      </c>
      <c r="E75" s="49">
        <f>'Avg Week Kaasangati-Matugga'!E75+'Avg Week Matugga-Kasangati'!E75</f>
        <v>1</v>
      </c>
      <c r="F75" s="49">
        <f>'Avg Week Kaasangati-Matugga'!F75+'Avg Week Matugga-Kasangati'!F75</f>
        <v>1</v>
      </c>
      <c r="G75" s="49">
        <f>'Avg Week Kaasangati-Matugga'!G75+'Avg Week Matugga-Kasangati'!G75</f>
        <v>0</v>
      </c>
      <c r="H75" s="49">
        <f>'Avg Week Kaasangati-Matugga'!H75+'Avg Week Matugga-Kasangati'!H75</f>
        <v>0</v>
      </c>
      <c r="I75" s="49">
        <f>'Avg Week Kaasangati-Matugga'!I75+'Avg Week Matugga-Kasangati'!I75</f>
        <v>3</v>
      </c>
      <c r="J75" s="49">
        <f>'Avg Week Kaasangati-Matugga'!J75+'Avg Week Matugga-Kasangati'!J75</f>
        <v>0.5</v>
      </c>
      <c r="K75" s="49">
        <f>'Avg Week Kaasangati-Matugga'!K75+'Avg Week Matugga-Kasangati'!K75</f>
        <v>0</v>
      </c>
      <c r="L75" s="49">
        <f>'Avg Week Kaasangati-Matugga'!L75+'Avg Week Matugga-Kasangati'!L75</f>
        <v>0</v>
      </c>
      <c r="M75" s="49">
        <f>'Avg Week Kaasangati-Matugga'!M75+'Avg Week Matugga-Kasangati'!M75</f>
        <v>44</v>
      </c>
      <c r="N75" s="49">
        <f>'Avg Week Kaasangati-Matugga'!N75+'Avg Week Matugga-Kasangati'!N75</f>
        <v>0</v>
      </c>
      <c r="O75" s="116">
        <f t="shared" si="35"/>
        <v>25</v>
      </c>
      <c r="P75" s="116">
        <f t="shared" si="36"/>
        <v>69</v>
      </c>
      <c r="R75" s="109"/>
      <c r="S75" s="109"/>
    </row>
    <row r="76" spans="2:19" s="101" customFormat="1" ht="23.1" customHeight="1" x14ac:dyDescent="0.25">
      <c r="B76" s="123" t="s">
        <v>116</v>
      </c>
      <c r="C76" s="49">
        <f>'Avg Week Kaasangati-Matugga'!C76+'Avg Week Matugga-Kasangati'!C76</f>
        <v>9</v>
      </c>
      <c r="D76" s="49">
        <f>'Avg Week Kaasangati-Matugga'!D76+'Avg Week Matugga-Kasangati'!D76</f>
        <v>1</v>
      </c>
      <c r="E76" s="49">
        <f>'Avg Week Kaasangati-Matugga'!E76+'Avg Week Matugga-Kasangati'!E76</f>
        <v>1</v>
      </c>
      <c r="F76" s="49">
        <f>'Avg Week Kaasangati-Matugga'!F76+'Avg Week Matugga-Kasangati'!F76</f>
        <v>1</v>
      </c>
      <c r="G76" s="49">
        <f>'Avg Week Kaasangati-Matugga'!G76+'Avg Week Matugga-Kasangati'!G76</f>
        <v>0</v>
      </c>
      <c r="H76" s="49">
        <f>'Avg Week Kaasangati-Matugga'!H76+'Avg Week Matugga-Kasangati'!H76</f>
        <v>0</v>
      </c>
      <c r="I76" s="49">
        <f>'Avg Week Kaasangati-Matugga'!I76+'Avg Week Matugga-Kasangati'!I76</f>
        <v>1</v>
      </c>
      <c r="J76" s="49">
        <f>'Avg Week Kaasangati-Matugga'!J76+'Avg Week Matugga-Kasangati'!J76</f>
        <v>0</v>
      </c>
      <c r="K76" s="49">
        <f>'Avg Week Kaasangati-Matugga'!K76+'Avg Week Matugga-Kasangati'!K76</f>
        <v>0</v>
      </c>
      <c r="L76" s="49">
        <f>'Avg Week Kaasangati-Matugga'!L76+'Avg Week Matugga-Kasangati'!L76</f>
        <v>0</v>
      </c>
      <c r="M76" s="49">
        <f>'Avg Week Kaasangati-Matugga'!M76+'Avg Week Matugga-Kasangati'!M76</f>
        <v>39</v>
      </c>
      <c r="N76" s="49">
        <f>'Avg Week Kaasangati-Matugga'!N76+'Avg Week Matugga-Kasangati'!N76</f>
        <v>0</v>
      </c>
      <c r="O76" s="116">
        <f t="shared" si="35"/>
        <v>13</v>
      </c>
      <c r="P76" s="116">
        <f t="shared" si="36"/>
        <v>52</v>
      </c>
      <c r="R76" s="109"/>
      <c r="S76" s="109"/>
    </row>
    <row r="77" spans="2:19" s="101" customFormat="1" ht="23.1" customHeight="1" x14ac:dyDescent="0.25">
      <c r="B77" s="123" t="s">
        <v>117</v>
      </c>
      <c r="C77" s="49">
        <f>'Avg Week Kaasangati-Matugga'!C77+'Avg Week Matugga-Kasangati'!C77</f>
        <v>11.5</v>
      </c>
      <c r="D77" s="49">
        <f>'Avg Week Kaasangati-Matugga'!D77+'Avg Week Matugga-Kasangati'!D77</f>
        <v>2.5</v>
      </c>
      <c r="E77" s="49">
        <f>'Avg Week Kaasangati-Matugga'!E77+'Avg Week Matugga-Kasangati'!E77</f>
        <v>1.5</v>
      </c>
      <c r="F77" s="49">
        <f>'Avg Week Kaasangati-Matugga'!F77+'Avg Week Matugga-Kasangati'!F77</f>
        <v>2</v>
      </c>
      <c r="G77" s="49">
        <f>'Avg Week Kaasangati-Matugga'!G77+'Avg Week Matugga-Kasangati'!G77</f>
        <v>0</v>
      </c>
      <c r="H77" s="49">
        <f>'Avg Week Kaasangati-Matugga'!H77+'Avg Week Matugga-Kasangati'!H77</f>
        <v>0</v>
      </c>
      <c r="I77" s="49">
        <f>'Avg Week Kaasangati-Matugga'!I77+'Avg Week Matugga-Kasangati'!I77</f>
        <v>1</v>
      </c>
      <c r="J77" s="49">
        <f>'Avg Week Kaasangati-Matugga'!J77+'Avg Week Matugga-Kasangati'!J77</f>
        <v>0.5</v>
      </c>
      <c r="K77" s="49">
        <f>'Avg Week Kaasangati-Matugga'!K77+'Avg Week Matugga-Kasangati'!K77</f>
        <v>0.5</v>
      </c>
      <c r="L77" s="49">
        <f>'Avg Week Kaasangati-Matugga'!L77+'Avg Week Matugga-Kasangati'!L77</f>
        <v>0</v>
      </c>
      <c r="M77" s="49">
        <f>'Avg Week Kaasangati-Matugga'!M77+'Avg Week Matugga-Kasangati'!M77</f>
        <v>37</v>
      </c>
      <c r="N77" s="49">
        <f>'Avg Week Kaasangati-Matugga'!N77+'Avg Week Matugga-Kasangati'!N77</f>
        <v>0</v>
      </c>
      <c r="O77" s="116">
        <f t="shared" si="35"/>
        <v>19.5</v>
      </c>
      <c r="P77" s="116">
        <f t="shared" si="36"/>
        <v>56.5</v>
      </c>
      <c r="R77" s="109"/>
      <c r="S77" s="109"/>
    </row>
    <row r="78" spans="2:19" s="101" customFormat="1" ht="23.1" customHeight="1" x14ac:dyDescent="0.25">
      <c r="B78" s="124" t="s">
        <v>118</v>
      </c>
      <c r="C78" s="49">
        <f>'Avg Week Kaasangati-Matugga'!C78+'Avg Week Matugga-Kasangati'!C78</f>
        <v>11</v>
      </c>
      <c r="D78" s="49">
        <f>'Avg Week Kaasangati-Matugga'!D78+'Avg Week Matugga-Kasangati'!D78</f>
        <v>1</v>
      </c>
      <c r="E78" s="49">
        <f>'Avg Week Kaasangati-Matugga'!E78+'Avg Week Matugga-Kasangati'!E78</f>
        <v>1.5</v>
      </c>
      <c r="F78" s="49">
        <f>'Avg Week Kaasangati-Matugga'!F78+'Avg Week Matugga-Kasangati'!F78</f>
        <v>1.5</v>
      </c>
      <c r="G78" s="49">
        <f>'Avg Week Kaasangati-Matugga'!G78+'Avg Week Matugga-Kasangati'!G78</f>
        <v>0</v>
      </c>
      <c r="H78" s="49">
        <f>'Avg Week Kaasangati-Matugga'!H78+'Avg Week Matugga-Kasangati'!H78</f>
        <v>0</v>
      </c>
      <c r="I78" s="49">
        <f>'Avg Week Kaasangati-Matugga'!I78+'Avg Week Matugga-Kasangati'!I78</f>
        <v>0.5</v>
      </c>
      <c r="J78" s="49">
        <f>'Avg Week Kaasangati-Matugga'!J78+'Avg Week Matugga-Kasangati'!J78</f>
        <v>0.5</v>
      </c>
      <c r="K78" s="49">
        <f>'Avg Week Kaasangati-Matugga'!K78+'Avg Week Matugga-Kasangati'!K78</f>
        <v>0</v>
      </c>
      <c r="L78" s="49">
        <f>'Avg Week Kaasangati-Matugga'!L78+'Avg Week Matugga-Kasangati'!L78</f>
        <v>0</v>
      </c>
      <c r="M78" s="49">
        <f>'Avg Week Kaasangati-Matugga'!M78+'Avg Week Matugga-Kasangati'!M78</f>
        <v>24</v>
      </c>
      <c r="N78" s="49">
        <f>'Avg Week Kaasangati-Matugga'!N78+'Avg Week Matugga-Kasangati'!N78</f>
        <v>0</v>
      </c>
      <c r="O78" s="116">
        <f t="shared" si="35"/>
        <v>16</v>
      </c>
      <c r="P78" s="116">
        <f t="shared" si="36"/>
        <v>40</v>
      </c>
      <c r="R78" s="109"/>
      <c r="S78" s="109"/>
    </row>
    <row r="79" spans="2:19" s="101" customFormat="1" ht="23.1" customHeight="1" x14ac:dyDescent="0.25">
      <c r="B79" s="123" t="s">
        <v>119</v>
      </c>
      <c r="C79" s="49">
        <f>'Avg Week Kaasangati-Matugga'!C79+'Avg Week Matugga-Kasangati'!C79</f>
        <v>8</v>
      </c>
      <c r="D79" s="49">
        <f>'Avg Week Kaasangati-Matugga'!D79+'Avg Week Matugga-Kasangati'!D79</f>
        <v>1</v>
      </c>
      <c r="E79" s="49">
        <f>'Avg Week Kaasangati-Matugga'!E79+'Avg Week Matugga-Kasangati'!E79</f>
        <v>0.5</v>
      </c>
      <c r="F79" s="49">
        <f>'Avg Week Kaasangati-Matugga'!F79+'Avg Week Matugga-Kasangati'!F79</f>
        <v>1</v>
      </c>
      <c r="G79" s="49">
        <f>'Avg Week Kaasangati-Matugga'!G79+'Avg Week Matugga-Kasangati'!G79</f>
        <v>0</v>
      </c>
      <c r="H79" s="49">
        <f>'Avg Week Kaasangati-Matugga'!H79+'Avg Week Matugga-Kasangati'!H79</f>
        <v>0</v>
      </c>
      <c r="I79" s="49">
        <f>'Avg Week Kaasangati-Matugga'!I79+'Avg Week Matugga-Kasangati'!I79</f>
        <v>0.5</v>
      </c>
      <c r="J79" s="49">
        <f>'Avg Week Kaasangati-Matugga'!J79+'Avg Week Matugga-Kasangati'!J79</f>
        <v>0.5</v>
      </c>
      <c r="K79" s="49">
        <f>'Avg Week Kaasangati-Matugga'!K79+'Avg Week Matugga-Kasangati'!K79</f>
        <v>0</v>
      </c>
      <c r="L79" s="49">
        <f>'Avg Week Kaasangati-Matugga'!L79+'Avg Week Matugga-Kasangati'!L79</f>
        <v>0</v>
      </c>
      <c r="M79" s="49">
        <f>'Avg Week Kaasangati-Matugga'!M79+'Avg Week Matugga-Kasangati'!M79</f>
        <v>22</v>
      </c>
      <c r="N79" s="49">
        <f>'Avg Week Kaasangati-Matugga'!N79+'Avg Week Matugga-Kasangati'!N79</f>
        <v>0</v>
      </c>
      <c r="O79" s="116">
        <f t="shared" si="35"/>
        <v>11.5</v>
      </c>
      <c r="P79" s="116">
        <f t="shared" si="36"/>
        <v>33.5</v>
      </c>
      <c r="R79" s="109"/>
      <c r="S79" s="109"/>
    </row>
    <row r="80" spans="2:19" s="101" customFormat="1" ht="23.1" customHeight="1" x14ac:dyDescent="0.25">
      <c r="B80" s="125" t="s">
        <v>120</v>
      </c>
      <c r="C80" s="49">
        <f>'Avg Week Kaasangati-Matugga'!C80+'Avg Week Matugga-Kasangati'!C80</f>
        <v>8.5</v>
      </c>
      <c r="D80" s="49">
        <f>'Avg Week Kaasangati-Matugga'!D80+'Avg Week Matugga-Kasangati'!D80</f>
        <v>1</v>
      </c>
      <c r="E80" s="49">
        <f>'Avg Week Kaasangati-Matugga'!E80+'Avg Week Matugga-Kasangati'!E80</f>
        <v>0.5</v>
      </c>
      <c r="F80" s="49">
        <f>'Avg Week Kaasangati-Matugga'!F80+'Avg Week Matugga-Kasangati'!F80</f>
        <v>0</v>
      </c>
      <c r="G80" s="49">
        <f>'Avg Week Kaasangati-Matugga'!G80+'Avg Week Matugga-Kasangati'!G80</f>
        <v>0</v>
      </c>
      <c r="H80" s="49">
        <f>'Avg Week Kaasangati-Matugga'!H80+'Avg Week Matugga-Kasangati'!H80</f>
        <v>0</v>
      </c>
      <c r="I80" s="49">
        <f>'Avg Week Kaasangati-Matugga'!I80+'Avg Week Matugga-Kasangati'!I80</f>
        <v>0</v>
      </c>
      <c r="J80" s="49">
        <f>'Avg Week Kaasangati-Matugga'!J80+'Avg Week Matugga-Kasangati'!J80</f>
        <v>0</v>
      </c>
      <c r="K80" s="49">
        <f>'Avg Week Kaasangati-Matugga'!K80+'Avg Week Matugga-Kasangati'!K80</f>
        <v>1</v>
      </c>
      <c r="L80" s="49">
        <f>'Avg Week Kaasangati-Matugga'!L80+'Avg Week Matugga-Kasangati'!L80</f>
        <v>0</v>
      </c>
      <c r="M80" s="49">
        <f>'Avg Week Kaasangati-Matugga'!M80+'Avg Week Matugga-Kasangati'!M80</f>
        <v>16.5</v>
      </c>
      <c r="N80" s="49">
        <f>'Avg Week Kaasangati-Matugga'!N80+'Avg Week Matugga-Kasangati'!N80</f>
        <v>0</v>
      </c>
      <c r="O80" s="116">
        <f t="shared" si="35"/>
        <v>11</v>
      </c>
      <c r="P80" s="116">
        <f t="shared" si="36"/>
        <v>27.5</v>
      </c>
      <c r="R80" s="109"/>
      <c r="S80" s="109"/>
    </row>
    <row r="81" spans="2:19" s="101" customFormat="1" ht="23.1" customHeight="1" x14ac:dyDescent="0.25">
      <c r="B81" s="123" t="s">
        <v>121</v>
      </c>
      <c r="C81" s="49">
        <f>'Avg Week Kaasangati-Matugga'!C81+'Avg Week Matugga-Kasangati'!C81</f>
        <v>5.5</v>
      </c>
      <c r="D81" s="49">
        <f>'Avg Week Kaasangati-Matugga'!D81+'Avg Week Matugga-Kasangati'!D81</f>
        <v>1.5</v>
      </c>
      <c r="E81" s="49">
        <f>'Avg Week Kaasangati-Matugga'!E81+'Avg Week Matugga-Kasangati'!E81</f>
        <v>1.5</v>
      </c>
      <c r="F81" s="49">
        <f>'Avg Week Kaasangati-Matugga'!F81+'Avg Week Matugga-Kasangati'!F81</f>
        <v>0</v>
      </c>
      <c r="G81" s="49">
        <f>'Avg Week Kaasangati-Matugga'!G81+'Avg Week Matugga-Kasangati'!G81</f>
        <v>0</v>
      </c>
      <c r="H81" s="49">
        <f>'Avg Week Kaasangati-Matugga'!H81+'Avg Week Matugga-Kasangati'!H81</f>
        <v>0</v>
      </c>
      <c r="I81" s="49">
        <f>'Avg Week Kaasangati-Matugga'!I81+'Avg Week Matugga-Kasangati'!I81</f>
        <v>1</v>
      </c>
      <c r="J81" s="49">
        <f>'Avg Week Kaasangati-Matugga'!J81+'Avg Week Matugga-Kasangati'!J81</f>
        <v>0</v>
      </c>
      <c r="K81" s="49">
        <f>'Avg Week Kaasangati-Matugga'!K81+'Avg Week Matugga-Kasangati'!K81</f>
        <v>0</v>
      </c>
      <c r="L81" s="49">
        <f>'Avg Week Kaasangati-Matugga'!L81+'Avg Week Matugga-Kasangati'!L81</f>
        <v>0</v>
      </c>
      <c r="M81" s="49">
        <f>'Avg Week Kaasangati-Matugga'!M81+'Avg Week Matugga-Kasangati'!M81</f>
        <v>14</v>
      </c>
      <c r="N81" s="49">
        <f>'Avg Week Kaasangati-Matugga'!N81+'Avg Week Matugga-Kasangati'!N81</f>
        <v>0</v>
      </c>
      <c r="O81" s="116">
        <f t="shared" si="35"/>
        <v>9.5</v>
      </c>
      <c r="P81" s="116">
        <f t="shared" si="36"/>
        <v>23.5</v>
      </c>
      <c r="R81" s="109"/>
      <c r="S81" s="109"/>
    </row>
    <row r="82" spans="2:19" s="101" customFormat="1" ht="23.1" customHeight="1" x14ac:dyDescent="0.25">
      <c r="B82" s="124" t="s">
        <v>122</v>
      </c>
      <c r="C82" s="49">
        <f>'Avg Week Kaasangati-Matugga'!C82+'Avg Week Matugga-Kasangati'!C82</f>
        <v>5.5</v>
      </c>
      <c r="D82" s="49">
        <f>'Avg Week Kaasangati-Matugga'!D82+'Avg Week Matugga-Kasangati'!D82</f>
        <v>0</v>
      </c>
      <c r="E82" s="49">
        <f>'Avg Week Kaasangati-Matugga'!E82+'Avg Week Matugga-Kasangati'!E82</f>
        <v>0</v>
      </c>
      <c r="F82" s="49">
        <f>'Avg Week Kaasangati-Matugga'!F82+'Avg Week Matugga-Kasangati'!F82</f>
        <v>2</v>
      </c>
      <c r="G82" s="49">
        <f>'Avg Week Kaasangati-Matugga'!G82+'Avg Week Matugga-Kasangati'!G82</f>
        <v>0</v>
      </c>
      <c r="H82" s="49">
        <f>'Avg Week Kaasangati-Matugga'!H82+'Avg Week Matugga-Kasangati'!H82</f>
        <v>0</v>
      </c>
      <c r="I82" s="49">
        <f>'Avg Week Kaasangati-Matugga'!I82+'Avg Week Matugga-Kasangati'!I82</f>
        <v>0</v>
      </c>
      <c r="J82" s="49">
        <f>'Avg Week Kaasangati-Matugga'!J82+'Avg Week Matugga-Kasangati'!J82</f>
        <v>0</v>
      </c>
      <c r="K82" s="49">
        <f>'Avg Week Kaasangati-Matugga'!K82+'Avg Week Matugga-Kasangati'!K82</f>
        <v>0</v>
      </c>
      <c r="L82" s="49">
        <f>'Avg Week Kaasangati-Matugga'!L82+'Avg Week Matugga-Kasangati'!L82</f>
        <v>0</v>
      </c>
      <c r="M82" s="49">
        <f>'Avg Week Kaasangati-Matugga'!M82+'Avg Week Matugga-Kasangati'!M82</f>
        <v>24</v>
      </c>
      <c r="N82" s="49">
        <f>'Avg Week Kaasangati-Matugga'!N82+'Avg Week Matugga-Kasangati'!N82</f>
        <v>0</v>
      </c>
      <c r="O82" s="116">
        <f t="shared" si="35"/>
        <v>7.5</v>
      </c>
      <c r="P82" s="116">
        <f t="shared" si="36"/>
        <v>31.5</v>
      </c>
      <c r="R82" s="109"/>
      <c r="S82" s="109"/>
    </row>
    <row r="83" spans="2:19" s="101" customFormat="1" ht="23.1" customHeight="1" x14ac:dyDescent="0.25">
      <c r="B83" s="123" t="s">
        <v>123</v>
      </c>
      <c r="C83" s="49">
        <f>'Avg Week Kaasangati-Matugga'!C83+'Avg Week Matugga-Kasangati'!C83</f>
        <v>7.5</v>
      </c>
      <c r="D83" s="49">
        <f>'Avg Week Kaasangati-Matugga'!D83+'Avg Week Matugga-Kasangati'!D83</f>
        <v>0</v>
      </c>
      <c r="E83" s="49">
        <f>'Avg Week Kaasangati-Matugga'!E83+'Avg Week Matugga-Kasangati'!E83</f>
        <v>1.5</v>
      </c>
      <c r="F83" s="49">
        <f>'Avg Week Kaasangati-Matugga'!F83+'Avg Week Matugga-Kasangati'!F83</f>
        <v>1</v>
      </c>
      <c r="G83" s="49">
        <f>'Avg Week Kaasangati-Matugga'!G83+'Avg Week Matugga-Kasangati'!G83</f>
        <v>0</v>
      </c>
      <c r="H83" s="49">
        <f>'Avg Week Kaasangati-Matugga'!H83+'Avg Week Matugga-Kasangati'!H83</f>
        <v>0</v>
      </c>
      <c r="I83" s="49">
        <f>'Avg Week Kaasangati-Matugga'!I83+'Avg Week Matugga-Kasangati'!I83</f>
        <v>0</v>
      </c>
      <c r="J83" s="49">
        <f>'Avg Week Kaasangati-Matugga'!J83+'Avg Week Matugga-Kasangati'!J83</f>
        <v>0</v>
      </c>
      <c r="K83" s="49">
        <f>'Avg Week Kaasangati-Matugga'!K83+'Avg Week Matugga-Kasangati'!K83</f>
        <v>0</v>
      </c>
      <c r="L83" s="49">
        <f>'Avg Week Kaasangati-Matugga'!L83+'Avg Week Matugga-Kasangati'!L83</f>
        <v>0</v>
      </c>
      <c r="M83" s="49">
        <f>'Avg Week Kaasangati-Matugga'!M83+'Avg Week Matugga-Kasangati'!M83</f>
        <v>17</v>
      </c>
      <c r="N83" s="49">
        <f>'Avg Week Kaasangati-Matugga'!N83+'Avg Week Matugga-Kasangati'!N83</f>
        <v>0</v>
      </c>
      <c r="O83" s="116">
        <f t="shared" si="35"/>
        <v>10</v>
      </c>
      <c r="P83" s="116">
        <f t="shared" si="36"/>
        <v>27</v>
      </c>
      <c r="R83" s="109"/>
      <c r="S83" s="109"/>
    </row>
    <row r="84" spans="2:19" s="101" customFormat="1" ht="23.1" customHeight="1" x14ac:dyDescent="0.25">
      <c r="B84" s="125" t="s">
        <v>124</v>
      </c>
      <c r="C84" s="49">
        <f>'Avg Week Kaasangati-Matugga'!C84+'Avg Week Matugga-Kasangati'!C84</f>
        <v>5</v>
      </c>
      <c r="D84" s="49">
        <f>'Avg Week Kaasangati-Matugga'!D84+'Avg Week Matugga-Kasangati'!D84</f>
        <v>1</v>
      </c>
      <c r="E84" s="49">
        <f>'Avg Week Kaasangati-Matugga'!E84+'Avg Week Matugga-Kasangati'!E84</f>
        <v>0.5</v>
      </c>
      <c r="F84" s="49">
        <f>'Avg Week Kaasangati-Matugga'!F84+'Avg Week Matugga-Kasangati'!F84</f>
        <v>0</v>
      </c>
      <c r="G84" s="49">
        <f>'Avg Week Kaasangati-Matugga'!G84+'Avg Week Matugga-Kasangati'!G84</f>
        <v>0</v>
      </c>
      <c r="H84" s="49">
        <f>'Avg Week Kaasangati-Matugga'!H84+'Avg Week Matugga-Kasangati'!H84</f>
        <v>0</v>
      </c>
      <c r="I84" s="49">
        <f>'Avg Week Kaasangati-Matugga'!I84+'Avg Week Matugga-Kasangati'!I84</f>
        <v>1.5</v>
      </c>
      <c r="J84" s="49">
        <f>'Avg Week Kaasangati-Matugga'!J84+'Avg Week Matugga-Kasangati'!J84</f>
        <v>0</v>
      </c>
      <c r="K84" s="49">
        <f>'Avg Week Kaasangati-Matugga'!K84+'Avg Week Matugga-Kasangati'!K84</f>
        <v>0</v>
      </c>
      <c r="L84" s="49">
        <f>'Avg Week Kaasangati-Matugga'!L84+'Avg Week Matugga-Kasangati'!L84</f>
        <v>0</v>
      </c>
      <c r="M84" s="49">
        <f>'Avg Week Kaasangati-Matugga'!M84+'Avg Week Matugga-Kasangati'!M84</f>
        <v>14.5</v>
      </c>
      <c r="N84" s="49">
        <f>'Avg Week Kaasangati-Matugga'!N84+'Avg Week Matugga-Kasangati'!N84</f>
        <v>0</v>
      </c>
      <c r="O84" s="116">
        <f t="shared" si="35"/>
        <v>8</v>
      </c>
      <c r="P84" s="116">
        <f t="shared" si="36"/>
        <v>22.5</v>
      </c>
      <c r="R84" s="109"/>
      <c r="S84" s="109"/>
    </row>
    <row r="85" spans="2:19" s="101" customFormat="1" ht="23.1" customHeight="1" x14ac:dyDescent="0.25">
      <c r="B85" s="123" t="s">
        <v>125</v>
      </c>
      <c r="C85" s="49">
        <f>'Avg Week Kaasangati-Matugga'!C85+'Avg Week Matugga-Kasangati'!C85</f>
        <v>1.5</v>
      </c>
      <c r="D85" s="49">
        <f>'Avg Week Kaasangati-Matugga'!D85+'Avg Week Matugga-Kasangati'!D85</f>
        <v>2</v>
      </c>
      <c r="E85" s="49">
        <f>'Avg Week Kaasangati-Matugga'!E85+'Avg Week Matugga-Kasangati'!E85</f>
        <v>0.5</v>
      </c>
      <c r="F85" s="49">
        <f>'Avg Week Kaasangati-Matugga'!F85+'Avg Week Matugga-Kasangati'!F85</f>
        <v>0</v>
      </c>
      <c r="G85" s="49">
        <f>'Avg Week Kaasangati-Matugga'!G85+'Avg Week Matugga-Kasangati'!G85</f>
        <v>0</v>
      </c>
      <c r="H85" s="49">
        <f>'Avg Week Kaasangati-Matugga'!H85+'Avg Week Matugga-Kasangati'!H85</f>
        <v>0</v>
      </c>
      <c r="I85" s="49">
        <f>'Avg Week Kaasangati-Matugga'!I85+'Avg Week Matugga-Kasangati'!I85</f>
        <v>0</v>
      </c>
      <c r="J85" s="49">
        <f>'Avg Week Kaasangati-Matugga'!J85+'Avg Week Matugga-Kasangati'!J85</f>
        <v>1</v>
      </c>
      <c r="K85" s="49">
        <f>'Avg Week Kaasangati-Matugga'!K85+'Avg Week Matugga-Kasangati'!K85</f>
        <v>0</v>
      </c>
      <c r="L85" s="49">
        <f>'Avg Week Kaasangati-Matugga'!L85+'Avg Week Matugga-Kasangati'!L85</f>
        <v>0</v>
      </c>
      <c r="M85" s="49">
        <f>'Avg Week Kaasangati-Matugga'!M85+'Avg Week Matugga-Kasangati'!M85</f>
        <v>10</v>
      </c>
      <c r="N85" s="49">
        <f>'Avg Week Kaasangati-Matugga'!N85+'Avg Week Matugga-Kasangati'!N85</f>
        <v>0</v>
      </c>
      <c r="O85" s="116">
        <f t="shared" si="35"/>
        <v>5</v>
      </c>
      <c r="P85" s="116">
        <f t="shared" si="36"/>
        <v>15</v>
      </c>
      <c r="R85" s="109"/>
      <c r="S85" s="109"/>
    </row>
    <row r="86" spans="2:19" s="101" customFormat="1" ht="23.1" customHeight="1" x14ac:dyDescent="0.25">
      <c r="B86" s="124" t="s">
        <v>126</v>
      </c>
      <c r="C86" s="49">
        <f>'Avg Week Kaasangati-Matugga'!C86+'Avg Week Matugga-Kasangati'!C86</f>
        <v>1.5</v>
      </c>
      <c r="D86" s="49">
        <f>'Avg Week Kaasangati-Matugga'!D86+'Avg Week Matugga-Kasangati'!D86</f>
        <v>1</v>
      </c>
      <c r="E86" s="49">
        <f>'Avg Week Kaasangati-Matugga'!E86+'Avg Week Matugga-Kasangati'!E86</f>
        <v>0.5</v>
      </c>
      <c r="F86" s="49">
        <f>'Avg Week Kaasangati-Matugga'!F86+'Avg Week Matugga-Kasangati'!F86</f>
        <v>0</v>
      </c>
      <c r="G86" s="49">
        <f>'Avg Week Kaasangati-Matugga'!G86+'Avg Week Matugga-Kasangati'!G86</f>
        <v>0</v>
      </c>
      <c r="H86" s="49">
        <f>'Avg Week Kaasangati-Matugga'!H86+'Avg Week Matugga-Kasangati'!H86</f>
        <v>0</v>
      </c>
      <c r="I86" s="49">
        <f>'Avg Week Kaasangati-Matugga'!I86+'Avg Week Matugga-Kasangati'!I86</f>
        <v>0.5</v>
      </c>
      <c r="J86" s="49">
        <f>'Avg Week Kaasangati-Matugga'!J86+'Avg Week Matugga-Kasangati'!J86</f>
        <v>0.5</v>
      </c>
      <c r="K86" s="49">
        <f>'Avg Week Kaasangati-Matugga'!K86+'Avg Week Matugga-Kasangati'!K86</f>
        <v>0</v>
      </c>
      <c r="L86" s="49">
        <f>'Avg Week Kaasangati-Matugga'!L86+'Avg Week Matugga-Kasangati'!L86</f>
        <v>0</v>
      </c>
      <c r="M86" s="49">
        <f>'Avg Week Kaasangati-Matugga'!M86+'Avg Week Matugga-Kasangati'!M86</f>
        <v>8</v>
      </c>
      <c r="N86" s="49">
        <f>'Avg Week Kaasangati-Matugga'!N86+'Avg Week Matugga-Kasangati'!N86</f>
        <v>0</v>
      </c>
      <c r="O86" s="116">
        <f t="shared" si="35"/>
        <v>4</v>
      </c>
      <c r="P86" s="116">
        <f t="shared" si="36"/>
        <v>12</v>
      </c>
      <c r="R86" s="109"/>
      <c r="S86" s="109"/>
    </row>
    <row r="87" spans="2:19" s="101" customFormat="1" ht="23.1" customHeight="1" x14ac:dyDescent="0.25">
      <c r="B87" s="123" t="s">
        <v>127</v>
      </c>
      <c r="C87" s="49">
        <f>'Avg Week Kaasangati-Matugga'!C87+'Avg Week Matugga-Kasangati'!C87</f>
        <v>1</v>
      </c>
      <c r="D87" s="49">
        <f>'Avg Week Kaasangati-Matugga'!D87+'Avg Week Matugga-Kasangati'!D87</f>
        <v>0</v>
      </c>
      <c r="E87" s="49">
        <f>'Avg Week Kaasangati-Matugga'!E87+'Avg Week Matugga-Kasangati'!E87</f>
        <v>1</v>
      </c>
      <c r="F87" s="49">
        <f>'Avg Week Kaasangati-Matugga'!F87+'Avg Week Matugga-Kasangati'!F87</f>
        <v>0</v>
      </c>
      <c r="G87" s="49">
        <f>'Avg Week Kaasangati-Matugga'!G87+'Avg Week Matugga-Kasangati'!G87</f>
        <v>0</v>
      </c>
      <c r="H87" s="49">
        <f>'Avg Week Kaasangati-Matugga'!H87+'Avg Week Matugga-Kasangati'!H87</f>
        <v>0</v>
      </c>
      <c r="I87" s="49">
        <f>'Avg Week Kaasangati-Matugga'!I87+'Avg Week Matugga-Kasangati'!I87</f>
        <v>0.5</v>
      </c>
      <c r="J87" s="49">
        <f>'Avg Week Kaasangati-Matugga'!J87+'Avg Week Matugga-Kasangati'!J87</f>
        <v>0</v>
      </c>
      <c r="K87" s="49">
        <f>'Avg Week Kaasangati-Matugga'!K87+'Avg Week Matugga-Kasangati'!K87</f>
        <v>0</v>
      </c>
      <c r="L87" s="49">
        <f>'Avg Week Kaasangati-Matugga'!L87+'Avg Week Matugga-Kasangati'!L87</f>
        <v>0</v>
      </c>
      <c r="M87" s="49">
        <f>'Avg Week Kaasangati-Matugga'!M87+'Avg Week Matugga-Kasangati'!M87</f>
        <v>7</v>
      </c>
      <c r="N87" s="49">
        <f>'Avg Week Kaasangati-Matugga'!N87+'Avg Week Matugga-Kasangati'!N87</f>
        <v>0</v>
      </c>
      <c r="O87" s="116">
        <f t="shared" si="35"/>
        <v>2.5</v>
      </c>
      <c r="P87" s="116">
        <f t="shared" si="36"/>
        <v>9.5</v>
      </c>
      <c r="R87" s="109"/>
      <c r="S87" s="109"/>
    </row>
    <row r="88" spans="2:19" s="101" customFormat="1" ht="23.1" customHeight="1" x14ac:dyDescent="0.25">
      <c r="B88" s="125" t="s">
        <v>128</v>
      </c>
      <c r="C88" s="49">
        <f>'Avg Week Kaasangati-Matugga'!C88+'Avg Week Matugga-Kasangati'!C88</f>
        <v>1.5</v>
      </c>
      <c r="D88" s="49">
        <f>'Avg Week Kaasangati-Matugga'!D88+'Avg Week Matugga-Kasangati'!D88</f>
        <v>0.5</v>
      </c>
      <c r="E88" s="49">
        <f>'Avg Week Kaasangati-Matugga'!E88+'Avg Week Matugga-Kasangati'!E88</f>
        <v>0</v>
      </c>
      <c r="F88" s="49">
        <f>'Avg Week Kaasangati-Matugga'!F88+'Avg Week Matugga-Kasangati'!F88</f>
        <v>0.5</v>
      </c>
      <c r="G88" s="49">
        <f>'Avg Week Kaasangati-Matugga'!G88+'Avg Week Matugga-Kasangati'!G88</f>
        <v>0</v>
      </c>
      <c r="H88" s="49">
        <f>'Avg Week Kaasangati-Matugga'!H88+'Avg Week Matugga-Kasangati'!H88</f>
        <v>0</v>
      </c>
      <c r="I88" s="49">
        <f>'Avg Week Kaasangati-Matugga'!I88+'Avg Week Matugga-Kasangati'!I88</f>
        <v>1</v>
      </c>
      <c r="J88" s="49">
        <f>'Avg Week Kaasangati-Matugga'!J88+'Avg Week Matugga-Kasangati'!J88</f>
        <v>0</v>
      </c>
      <c r="K88" s="49">
        <f>'Avg Week Kaasangati-Matugga'!K88+'Avg Week Matugga-Kasangati'!K88</f>
        <v>0</v>
      </c>
      <c r="L88" s="49">
        <f>'Avg Week Kaasangati-Matugga'!L88+'Avg Week Matugga-Kasangati'!L88</f>
        <v>0</v>
      </c>
      <c r="M88" s="49">
        <f>'Avg Week Kaasangati-Matugga'!M88+'Avg Week Matugga-Kasangati'!M88</f>
        <v>7</v>
      </c>
      <c r="N88" s="49">
        <f>'Avg Week Kaasangati-Matugga'!N88+'Avg Week Matugga-Kasangati'!N88</f>
        <v>0</v>
      </c>
      <c r="O88" s="116">
        <f t="shared" si="35"/>
        <v>3.5</v>
      </c>
      <c r="P88" s="116">
        <f t="shared" si="36"/>
        <v>10.5</v>
      </c>
      <c r="R88" s="109"/>
      <c r="S88" s="109"/>
    </row>
    <row r="89" spans="2:19" s="101" customFormat="1" ht="23.1" customHeight="1" x14ac:dyDescent="0.25">
      <c r="B89" s="123" t="s">
        <v>129</v>
      </c>
      <c r="C89" s="49">
        <f>'Avg Week Kaasangati-Matugga'!C89+'Avg Week Matugga-Kasangati'!C89</f>
        <v>3.5</v>
      </c>
      <c r="D89" s="49">
        <f>'Avg Week Kaasangati-Matugga'!D89+'Avg Week Matugga-Kasangati'!D89</f>
        <v>1</v>
      </c>
      <c r="E89" s="49">
        <f>'Avg Week Kaasangati-Matugga'!E89+'Avg Week Matugga-Kasangati'!E89</f>
        <v>0.5</v>
      </c>
      <c r="F89" s="49">
        <f>'Avg Week Kaasangati-Matugga'!F89+'Avg Week Matugga-Kasangati'!F89</f>
        <v>0</v>
      </c>
      <c r="G89" s="49">
        <f>'Avg Week Kaasangati-Matugga'!G89+'Avg Week Matugga-Kasangati'!G89</f>
        <v>0</v>
      </c>
      <c r="H89" s="49">
        <f>'Avg Week Kaasangati-Matugga'!H89+'Avg Week Matugga-Kasangati'!H89</f>
        <v>0</v>
      </c>
      <c r="I89" s="49">
        <f>'Avg Week Kaasangati-Matugga'!I89+'Avg Week Matugga-Kasangati'!I89</f>
        <v>0.5</v>
      </c>
      <c r="J89" s="49">
        <f>'Avg Week Kaasangati-Matugga'!J89+'Avg Week Matugga-Kasangati'!J89</f>
        <v>0</v>
      </c>
      <c r="K89" s="49">
        <f>'Avg Week Kaasangati-Matugga'!K89+'Avg Week Matugga-Kasangati'!K89</f>
        <v>0</v>
      </c>
      <c r="L89" s="49">
        <f>'Avg Week Kaasangati-Matugga'!L89+'Avg Week Matugga-Kasangati'!L89</f>
        <v>0</v>
      </c>
      <c r="M89" s="49">
        <f>'Avg Week Kaasangati-Matugga'!M89+'Avg Week Matugga-Kasangati'!M89</f>
        <v>7</v>
      </c>
      <c r="N89" s="49">
        <f>'Avg Week Kaasangati-Matugga'!N89+'Avg Week Matugga-Kasangati'!N89</f>
        <v>0</v>
      </c>
      <c r="O89" s="116">
        <f t="shared" si="35"/>
        <v>5.5</v>
      </c>
      <c r="P89" s="116">
        <f t="shared" si="36"/>
        <v>12.5</v>
      </c>
      <c r="R89" s="109"/>
      <c r="S89" s="109"/>
    </row>
    <row r="90" spans="2:19" s="101" customFormat="1" ht="23.1" customHeight="1" x14ac:dyDescent="0.25">
      <c r="B90" s="124" t="s">
        <v>130</v>
      </c>
      <c r="C90" s="49">
        <f>'Avg Week Kaasangati-Matugga'!C90+'Avg Week Matugga-Kasangati'!C90</f>
        <v>2.5</v>
      </c>
      <c r="D90" s="49">
        <f>'Avg Week Kaasangati-Matugga'!D90+'Avg Week Matugga-Kasangati'!D90</f>
        <v>1</v>
      </c>
      <c r="E90" s="49">
        <f>'Avg Week Kaasangati-Matugga'!E90+'Avg Week Matugga-Kasangati'!E90</f>
        <v>0.5</v>
      </c>
      <c r="F90" s="49">
        <f>'Avg Week Kaasangati-Matugga'!F90+'Avg Week Matugga-Kasangati'!F90</f>
        <v>0</v>
      </c>
      <c r="G90" s="49">
        <f>'Avg Week Kaasangati-Matugga'!G90+'Avg Week Matugga-Kasangati'!G90</f>
        <v>0</v>
      </c>
      <c r="H90" s="49">
        <f>'Avg Week Kaasangati-Matugga'!H90+'Avg Week Matugga-Kasangati'!H90</f>
        <v>0</v>
      </c>
      <c r="I90" s="49">
        <f>'Avg Week Kaasangati-Matugga'!I90+'Avg Week Matugga-Kasangati'!I90</f>
        <v>0</v>
      </c>
      <c r="J90" s="49">
        <f>'Avg Week Kaasangati-Matugga'!J90+'Avg Week Matugga-Kasangati'!J90</f>
        <v>0</v>
      </c>
      <c r="K90" s="49">
        <f>'Avg Week Kaasangati-Matugga'!K90+'Avg Week Matugga-Kasangati'!K90</f>
        <v>0</v>
      </c>
      <c r="L90" s="49">
        <f>'Avg Week Kaasangati-Matugga'!L90+'Avg Week Matugga-Kasangati'!L90</f>
        <v>0</v>
      </c>
      <c r="M90" s="49">
        <f>'Avg Week Kaasangati-Matugga'!M90+'Avg Week Matugga-Kasangati'!M90</f>
        <v>8.5</v>
      </c>
      <c r="N90" s="49">
        <f>'Avg Week Kaasangati-Matugga'!N90+'Avg Week Matugga-Kasangati'!N90</f>
        <v>0</v>
      </c>
      <c r="O90" s="116">
        <f t="shared" si="35"/>
        <v>4</v>
      </c>
      <c r="P90" s="116">
        <f t="shared" si="36"/>
        <v>12.5</v>
      </c>
      <c r="R90" s="109"/>
      <c r="S90" s="109"/>
    </row>
    <row r="91" spans="2:19" s="101" customFormat="1" ht="23.1" customHeight="1" x14ac:dyDescent="0.25">
      <c r="B91" s="123" t="s">
        <v>131</v>
      </c>
      <c r="C91" s="49">
        <f>'Avg Week Kaasangati-Matugga'!C91+'Avg Week Matugga-Kasangati'!C91</f>
        <v>2.5</v>
      </c>
      <c r="D91" s="49">
        <f>'Avg Week Kaasangati-Matugga'!D91+'Avg Week Matugga-Kasangati'!D91</f>
        <v>0</v>
      </c>
      <c r="E91" s="49">
        <f>'Avg Week Kaasangati-Matugga'!E91+'Avg Week Matugga-Kasangati'!E91</f>
        <v>0.5</v>
      </c>
      <c r="F91" s="49">
        <f>'Avg Week Kaasangati-Matugga'!F91+'Avg Week Matugga-Kasangati'!F91</f>
        <v>0</v>
      </c>
      <c r="G91" s="49">
        <f>'Avg Week Kaasangati-Matugga'!G91+'Avg Week Matugga-Kasangati'!G91</f>
        <v>0</v>
      </c>
      <c r="H91" s="49">
        <f>'Avg Week Kaasangati-Matugga'!H91+'Avg Week Matugga-Kasangati'!H91</f>
        <v>0</v>
      </c>
      <c r="I91" s="49">
        <f>'Avg Week Kaasangati-Matugga'!I91+'Avg Week Matugga-Kasangati'!I91</f>
        <v>0</v>
      </c>
      <c r="J91" s="49">
        <f>'Avg Week Kaasangati-Matugga'!J91+'Avg Week Matugga-Kasangati'!J91</f>
        <v>0</v>
      </c>
      <c r="K91" s="49">
        <f>'Avg Week Kaasangati-Matugga'!K91+'Avg Week Matugga-Kasangati'!K91</f>
        <v>0</v>
      </c>
      <c r="L91" s="49">
        <f>'Avg Week Kaasangati-Matugga'!L91+'Avg Week Matugga-Kasangati'!L91</f>
        <v>0</v>
      </c>
      <c r="M91" s="49">
        <f>'Avg Week Kaasangati-Matugga'!M91+'Avg Week Matugga-Kasangati'!M91</f>
        <v>9.5</v>
      </c>
      <c r="N91" s="49">
        <f>'Avg Week Kaasangati-Matugga'!N91+'Avg Week Matugga-Kasangati'!N91</f>
        <v>0</v>
      </c>
      <c r="O91" s="116">
        <f t="shared" si="35"/>
        <v>3</v>
      </c>
      <c r="P91" s="116">
        <f t="shared" si="36"/>
        <v>12.5</v>
      </c>
      <c r="R91" s="109"/>
      <c r="S91" s="109"/>
    </row>
    <row r="92" spans="2:19" s="101" customFormat="1" ht="23.1" customHeight="1" x14ac:dyDescent="0.25">
      <c r="B92" s="125" t="s">
        <v>132</v>
      </c>
      <c r="C92" s="49">
        <f>'Avg Week Kaasangati-Matugga'!C92+'Avg Week Matugga-Kasangati'!C92</f>
        <v>2.5</v>
      </c>
      <c r="D92" s="49">
        <f>'Avg Week Kaasangati-Matugga'!D92+'Avg Week Matugga-Kasangati'!D92</f>
        <v>0</v>
      </c>
      <c r="E92" s="49">
        <f>'Avg Week Kaasangati-Matugga'!E92+'Avg Week Matugga-Kasangati'!E92</f>
        <v>0</v>
      </c>
      <c r="F92" s="49">
        <f>'Avg Week Kaasangati-Matugga'!F92+'Avg Week Matugga-Kasangati'!F92</f>
        <v>0.5</v>
      </c>
      <c r="G92" s="49">
        <f>'Avg Week Kaasangati-Matugga'!G92+'Avg Week Matugga-Kasangati'!G92</f>
        <v>0</v>
      </c>
      <c r="H92" s="49">
        <f>'Avg Week Kaasangati-Matugga'!H92+'Avg Week Matugga-Kasangati'!H92</f>
        <v>0</v>
      </c>
      <c r="I92" s="49">
        <f>'Avg Week Kaasangati-Matugga'!I92+'Avg Week Matugga-Kasangati'!I92</f>
        <v>1</v>
      </c>
      <c r="J92" s="49">
        <f>'Avg Week Kaasangati-Matugga'!J92+'Avg Week Matugga-Kasangati'!J92</f>
        <v>0.5</v>
      </c>
      <c r="K92" s="49">
        <f>'Avg Week Kaasangati-Matugga'!K92+'Avg Week Matugga-Kasangati'!K92</f>
        <v>0</v>
      </c>
      <c r="L92" s="49">
        <f>'Avg Week Kaasangati-Matugga'!L92+'Avg Week Matugga-Kasangati'!L92</f>
        <v>0</v>
      </c>
      <c r="M92" s="49">
        <f>'Avg Week Kaasangati-Matugga'!M92+'Avg Week Matugga-Kasangati'!M92</f>
        <v>6</v>
      </c>
      <c r="N92" s="49">
        <f>'Avg Week Kaasangati-Matugga'!N92+'Avg Week Matugga-Kasangati'!N92</f>
        <v>0</v>
      </c>
      <c r="O92" s="116">
        <f t="shared" si="35"/>
        <v>4.5</v>
      </c>
      <c r="P92" s="116">
        <f t="shared" si="36"/>
        <v>10.5</v>
      </c>
      <c r="R92" s="109"/>
      <c r="S92" s="109"/>
    </row>
    <row r="93" spans="2:19" s="101" customFormat="1" ht="23.1" customHeight="1" x14ac:dyDescent="0.25">
      <c r="B93" s="123" t="s">
        <v>133</v>
      </c>
      <c r="C93" s="49">
        <f>'Avg Week Kaasangati-Matugga'!C93+'Avg Week Matugga-Kasangati'!C93</f>
        <v>2</v>
      </c>
      <c r="D93" s="49">
        <f>'Avg Week Kaasangati-Matugga'!D93+'Avg Week Matugga-Kasangati'!D93</f>
        <v>0</v>
      </c>
      <c r="E93" s="49">
        <f>'Avg Week Kaasangati-Matugga'!E93+'Avg Week Matugga-Kasangati'!E93</f>
        <v>0</v>
      </c>
      <c r="F93" s="49">
        <f>'Avg Week Kaasangati-Matugga'!F93+'Avg Week Matugga-Kasangati'!F93</f>
        <v>0.5</v>
      </c>
      <c r="G93" s="49">
        <f>'Avg Week Kaasangati-Matugga'!G93+'Avg Week Matugga-Kasangati'!G93</f>
        <v>0</v>
      </c>
      <c r="H93" s="49">
        <f>'Avg Week Kaasangati-Matugga'!H93+'Avg Week Matugga-Kasangati'!H93</f>
        <v>0</v>
      </c>
      <c r="I93" s="49">
        <f>'Avg Week Kaasangati-Matugga'!I93+'Avg Week Matugga-Kasangati'!I93</f>
        <v>0</v>
      </c>
      <c r="J93" s="49">
        <f>'Avg Week Kaasangati-Matugga'!J93+'Avg Week Matugga-Kasangati'!J93</f>
        <v>0.5</v>
      </c>
      <c r="K93" s="49">
        <f>'Avg Week Kaasangati-Matugga'!K93+'Avg Week Matugga-Kasangati'!K93</f>
        <v>0</v>
      </c>
      <c r="L93" s="49">
        <f>'Avg Week Kaasangati-Matugga'!L93+'Avg Week Matugga-Kasangati'!L93</f>
        <v>0</v>
      </c>
      <c r="M93" s="49">
        <f>'Avg Week Kaasangati-Matugga'!M93+'Avg Week Matugga-Kasangati'!M93</f>
        <v>2</v>
      </c>
      <c r="N93" s="49">
        <f>'Avg Week Kaasangati-Matugga'!N93+'Avg Week Matugga-Kasangati'!N93</f>
        <v>0.5</v>
      </c>
      <c r="O93" s="116">
        <f t="shared" si="35"/>
        <v>3.5</v>
      </c>
      <c r="P93" s="116">
        <f t="shared" si="36"/>
        <v>5.5</v>
      </c>
      <c r="R93" s="109"/>
      <c r="S93" s="109"/>
    </row>
    <row r="94" spans="2:19" s="101" customFormat="1" ht="23.1" customHeight="1" x14ac:dyDescent="0.25">
      <c r="B94" s="124" t="s">
        <v>134</v>
      </c>
      <c r="C94" s="49">
        <f>'Avg Week Kaasangati-Matugga'!C94+'Avg Week Matugga-Kasangati'!C94</f>
        <v>0.5</v>
      </c>
      <c r="D94" s="49">
        <f>'Avg Week Kaasangati-Matugga'!D94+'Avg Week Matugga-Kasangati'!D94</f>
        <v>0</v>
      </c>
      <c r="E94" s="49">
        <f>'Avg Week Kaasangati-Matugga'!E94+'Avg Week Matugga-Kasangati'!E94</f>
        <v>0</v>
      </c>
      <c r="F94" s="49">
        <f>'Avg Week Kaasangati-Matugga'!F94+'Avg Week Matugga-Kasangati'!F94</f>
        <v>0.5</v>
      </c>
      <c r="G94" s="49">
        <f>'Avg Week Kaasangati-Matugga'!G94+'Avg Week Matugga-Kasangati'!G94</f>
        <v>0</v>
      </c>
      <c r="H94" s="49">
        <f>'Avg Week Kaasangati-Matugga'!H94+'Avg Week Matugga-Kasangati'!H94</f>
        <v>0</v>
      </c>
      <c r="I94" s="49">
        <f>'Avg Week Kaasangati-Matugga'!I94+'Avg Week Matugga-Kasangati'!I94</f>
        <v>1</v>
      </c>
      <c r="J94" s="49">
        <f>'Avg Week Kaasangati-Matugga'!J94+'Avg Week Matugga-Kasangati'!J94</f>
        <v>0</v>
      </c>
      <c r="K94" s="49">
        <f>'Avg Week Kaasangati-Matugga'!K94+'Avg Week Matugga-Kasangati'!K94</f>
        <v>0.5</v>
      </c>
      <c r="L94" s="49">
        <f>'Avg Week Kaasangati-Matugga'!L94+'Avg Week Matugga-Kasangati'!L94</f>
        <v>0</v>
      </c>
      <c r="M94" s="49">
        <f>'Avg Week Kaasangati-Matugga'!M94+'Avg Week Matugga-Kasangati'!M94</f>
        <v>4</v>
      </c>
      <c r="N94" s="49">
        <f>'Avg Week Kaasangati-Matugga'!N94+'Avg Week Matugga-Kasangati'!N94</f>
        <v>0</v>
      </c>
      <c r="O94" s="116">
        <f t="shared" si="35"/>
        <v>2.5</v>
      </c>
      <c r="P94" s="116">
        <f t="shared" si="36"/>
        <v>6.5</v>
      </c>
      <c r="R94" s="109"/>
      <c r="S94" s="109"/>
    </row>
    <row r="95" spans="2:19" s="101" customFormat="1" ht="23.1" customHeight="1" x14ac:dyDescent="0.25">
      <c r="B95" s="123" t="s">
        <v>135</v>
      </c>
      <c r="C95" s="49">
        <f>'Avg Week Kaasangati-Matugga'!C95+'Avg Week Matugga-Kasangati'!C95</f>
        <v>2</v>
      </c>
      <c r="D95" s="49">
        <f>'Avg Week Kaasangati-Matugga'!D95+'Avg Week Matugga-Kasangati'!D95</f>
        <v>0.5</v>
      </c>
      <c r="E95" s="49">
        <f>'Avg Week Kaasangati-Matugga'!E95+'Avg Week Matugga-Kasangati'!E95</f>
        <v>0.5</v>
      </c>
      <c r="F95" s="49">
        <f>'Avg Week Kaasangati-Matugga'!F95+'Avg Week Matugga-Kasangati'!F95</f>
        <v>1</v>
      </c>
      <c r="G95" s="49">
        <f>'Avg Week Kaasangati-Matugga'!G95+'Avg Week Matugga-Kasangati'!G95</f>
        <v>0</v>
      </c>
      <c r="H95" s="49">
        <f>'Avg Week Kaasangati-Matugga'!H95+'Avg Week Matugga-Kasangati'!H95</f>
        <v>0</v>
      </c>
      <c r="I95" s="49">
        <f>'Avg Week Kaasangati-Matugga'!I95+'Avg Week Matugga-Kasangati'!I95</f>
        <v>0</v>
      </c>
      <c r="J95" s="49">
        <f>'Avg Week Kaasangati-Matugga'!J95+'Avg Week Matugga-Kasangati'!J95</f>
        <v>0</v>
      </c>
      <c r="K95" s="49">
        <f>'Avg Week Kaasangati-Matugga'!K95+'Avg Week Matugga-Kasangati'!K95</f>
        <v>0</v>
      </c>
      <c r="L95" s="49">
        <f>'Avg Week Kaasangati-Matugga'!L95+'Avg Week Matugga-Kasangati'!L95</f>
        <v>0</v>
      </c>
      <c r="M95" s="49">
        <f>'Avg Week Kaasangati-Matugga'!M95+'Avg Week Matugga-Kasangati'!M95</f>
        <v>9</v>
      </c>
      <c r="N95" s="49">
        <f>'Avg Week Kaasangati-Matugga'!N95+'Avg Week Matugga-Kasangati'!N95</f>
        <v>0</v>
      </c>
      <c r="O95" s="116">
        <f t="shared" si="35"/>
        <v>4</v>
      </c>
      <c r="P95" s="116">
        <f t="shared" si="36"/>
        <v>13</v>
      </c>
      <c r="R95" s="109"/>
      <c r="S95" s="109"/>
    </row>
    <row r="96" spans="2:19" s="101" customFormat="1" ht="23.1" customHeight="1" x14ac:dyDescent="0.25">
      <c r="B96" s="125" t="s">
        <v>136</v>
      </c>
      <c r="C96" s="49">
        <f>'Avg Week Kaasangati-Matugga'!C96+'Avg Week Matugga-Kasangati'!C96</f>
        <v>0.5</v>
      </c>
      <c r="D96" s="49">
        <f>'Avg Week Kaasangati-Matugga'!D96+'Avg Week Matugga-Kasangati'!D96</f>
        <v>0</v>
      </c>
      <c r="E96" s="49">
        <f>'Avg Week Kaasangati-Matugga'!E96+'Avg Week Matugga-Kasangati'!E96</f>
        <v>0</v>
      </c>
      <c r="F96" s="49">
        <f>'Avg Week Kaasangati-Matugga'!F96+'Avg Week Matugga-Kasangati'!F96</f>
        <v>0.5</v>
      </c>
      <c r="G96" s="49">
        <f>'Avg Week Kaasangati-Matugga'!G96+'Avg Week Matugga-Kasangati'!G96</f>
        <v>0</v>
      </c>
      <c r="H96" s="49">
        <f>'Avg Week Kaasangati-Matugga'!H96+'Avg Week Matugga-Kasangati'!H96</f>
        <v>0</v>
      </c>
      <c r="I96" s="49">
        <f>'Avg Week Kaasangati-Matugga'!I96+'Avg Week Matugga-Kasangati'!I96</f>
        <v>0</v>
      </c>
      <c r="J96" s="49">
        <f>'Avg Week Kaasangati-Matugga'!J96+'Avg Week Matugga-Kasangati'!J96</f>
        <v>0</v>
      </c>
      <c r="K96" s="49">
        <f>'Avg Week Kaasangati-Matugga'!K96+'Avg Week Matugga-Kasangati'!K96</f>
        <v>0</v>
      </c>
      <c r="L96" s="49">
        <f>'Avg Week Kaasangati-Matugga'!L96+'Avg Week Matugga-Kasangati'!L96</f>
        <v>0</v>
      </c>
      <c r="M96" s="49">
        <f>'Avg Week Kaasangati-Matugga'!M96+'Avg Week Matugga-Kasangati'!M96</f>
        <v>8</v>
      </c>
      <c r="N96" s="49">
        <f>'Avg Week Kaasangati-Matugga'!N96+'Avg Week Matugga-Kasangati'!N96</f>
        <v>0</v>
      </c>
      <c r="O96" s="116">
        <f t="shared" si="35"/>
        <v>1</v>
      </c>
      <c r="P96" s="116">
        <f t="shared" si="36"/>
        <v>9</v>
      </c>
      <c r="R96" s="109"/>
      <c r="S96" s="109"/>
    </row>
    <row r="97" spans="2:20" s="101" customFormat="1" ht="23.1" customHeight="1" x14ac:dyDescent="0.25">
      <c r="B97" s="123" t="s">
        <v>137</v>
      </c>
      <c r="C97" s="49">
        <f>'Avg Week Kaasangati-Matugga'!C97+'Avg Week Matugga-Kasangati'!C97</f>
        <v>2.5</v>
      </c>
      <c r="D97" s="49">
        <f>'Avg Week Kaasangati-Matugga'!D97+'Avg Week Matugga-Kasangati'!D97</f>
        <v>0</v>
      </c>
      <c r="E97" s="49">
        <f>'Avg Week Kaasangati-Matugga'!E97+'Avg Week Matugga-Kasangati'!E97</f>
        <v>0.5</v>
      </c>
      <c r="F97" s="49">
        <f>'Avg Week Kaasangati-Matugga'!F97+'Avg Week Matugga-Kasangati'!F97</f>
        <v>0</v>
      </c>
      <c r="G97" s="49">
        <f>'Avg Week Kaasangati-Matugga'!G97+'Avg Week Matugga-Kasangati'!G97</f>
        <v>0</v>
      </c>
      <c r="H97" s="49">
        <f>'Avg Week Kaasangati-Matugga'!H97+'Avg Week Matugga-Kasangati'!H97</f>
        <v>0</v>
      </c>
      <c r="I97" s="49">
        <f>'Avg Week Kaasangati-Matugga'!I97+'Avg Week Matugga-Kasangati'!I97</f>
        <v>0.5</v>
      </c>
      <c r="J97" s="49">
        <f>'Avg Week Kaasangati-Matugga'!J97+'Avg Week Matugga-Kasangati'!J97</f>
        <v>0.5</v>
      </c>
      <c r="K97" s="49">
        <f>'Avg Week Kaasangati-Matugga'!K97+'Avg Week Matugga-Kasangati'!K97</f>
        <v>0</v>
      </c>
      <c r="L97" s="49">
        <f>'Avg Week Kaasangati-Matugga'!L97+'Avg Week Matugga-Kasangati'!L97</f>
        <v>0</v>
      </c>
      <c r="M97" s="49">
        <f>'Avg Week Kaasangati-Matugga'!M97+'Avg Week Matugga-Kasangati'!M97</f>
        <v>4.5</v>
      </c>
      <c r="N97" s="49">
        <f>'Avg Week Kaasangati-Matugga'!N97+'Avg Week Matugga-Kasangati'!N97</f>
        <v>0</v>
      </c>
      <c r="O97" s="116">
        <f t="shared" si="35"/>
        <v>4</v>
      </c>
      <c r="P97" s="116">
        <f t="shared" si="36"/>
        <v>8.5</v>
      </c>
      <c r="R97" s="109"/>
      <c r="S97" s="109"/>
    </row>
    <row r="98" spans="2:20" s="101" customFormat="1" ht="23.1" customHeight="1" x14ac:dyDescent="0.25">
      <c r="B98" s="124" t="s">
        <v>138</v>
      </c>
      <c r="C98" s="49">
        <f>'Avg Week Kaasangati-Matugga'!C98+'Avg Week Matugga-Kasangati'!C98</f>
        <v>0.5</v>
      </c>
      <c r="D98" s="49">
        <f>'Avg Week Kaasangati-Matugga'!D98+'Avg Week Matugga-Kasangati'!D98</f>
        <v>0.5</v>
      </c>
      <c r="E98" s="49">
        <f>'Avg Week Kaasangati-Matugga'!E98+'Avg Week Matugga-Kasangati'!E98</f>
        <v>1.5</v>
      </c>
      <c r="F98" s="49">
        <f>'Avg Week Kaasangati-Matugga'!F98+'Avg Week Matugga-Kasangati'!F98</f>
        <v>0.5</v>
      </c>
      <c r="G98" s="49">
        <f>'Avg Week Kaasangati-Matugga'!G98+'Avg Week Matugga-Kasangati'!G98</f>
        <v>0</v>
      </c>
      <c r="H98" s="49">
        <f>'Avg Week Kaasangati-Matugga'!H98+'Avg Week Matugga-Kasangati'!H98</f>
        <v>0</v>
      </c>
      <c r="I98" s="49">
        <f>'Avg Week Kaasangati-Matugga'!I98+'Avg Week Matugga-Kasangati'!I98</f>
        <v>0</v>
      </c>
      <c r="J98" s="49">
        <f>'Avg Week Kaasangati-Matugga'!J98+'Avg Week Matugga-Kasangati'!J98</f>
        <v>0.5</v>
      </c>
      <c r="K98" s="49">
        <f>'Avg Week Kaasangati-Matugga'!K98+'Avg Week Matugga-Kasangati'!K98</f>
        <v>0</v>
      </c>
      <c r="L98" s="49">
        <f>'Avg Week Kaasangati-Matugga'!L98+'Avg Week Matugga-Kasangati'!L98</f>
        <v>0</v>
      </c>
      <c r="M98" s="49">
        <f>'Avg Week Kaasangati-Matugga'!M98+'Avg Week Matugga-Kasangati'!M98</f>
        <v>6</v>
      </c>
      <c r="N98" s="49">
        <f>'Avg Week Kaasangati-Matugga'!N98+'Avg Week Matugga-Kasangati'!N98</f>
        <v>0</v>
      </c>
      <c r="O98" s="116">
        <f t="shared" si="35"/>
        <v>3.5</v>
      </c>
      <c r="P98" s="116">
        <f t="shared" si="36"/>
        <v>9.5</v>
      </c>
      <c r="R98" s="109"/>
      <c r="S98" s="109"/>
    </row>
    <row r="99" spans="2:20" s="101" customFormat="1" ht="23.1" customHeight="1" x14ac:dyDescent="0.25">
      <c r="B99" s="123" t="s">
        <v>139</v>
      </c>
      <c r="C99" s="49">
        <f>'Avg Week Kaasangati-Matugga'!C99+'Avg Week Matugga-Kasangati'!C99</f>
        <v>4</v>
      </c>
      <c r="D99" s="49">
        <f>'Avg Week Kaasangati-Matugga'!D99+'Avg Week Matugga-Kasangati'!D99</f>
        <v>0</v>
      </c>
      <c r="E99" s="49">
        <f>'Avg Week Kaasangati-Matugga'!E99+'Avg Week Matugga-Kasangati'!E99</f>
        <v>0.5</v>
      </c>
      <c r="F99" s="49">
        <f>'Avg Week Kaasangati-Matugga'!F99+'Avg Week Matugga-Kasangati'!F99</f>
        <v>3</v>
      </c>
      <c r="G99" s="49">
        <f>'Avg Week Kaasangati-Matugga'!G99+'Avg Week Matugga-Kasangati'!G99</f>
        <v>0</v>
      </c>
      <c r="H99" s="49">
        <f>'Avg Week Kaasangati-Matugga'!H99+'Avg Week Matugga-Kasangati'!H99</f>
        <v>0</v>
      </c>
      <c r="I99" s="49">
        <f>'Avg Week Kaasangati-Matugga'!I99+'Avg Week Matugga-Kasangati'!I99</f>
        <v>0</v>
      </c>
      <c r="J99" s="49">
        <f>'Avg Week Kaasangati-Matugga'!J99+'Avg Week Matugga-Kasangati'!J99</f>
        <v>1</v>
      </c>
      <c r="K99" s="49">
        <f>'Avg Week Kaasangati-Matugga'!K99+'Avg Week Matugga-Kasangati'!K99</f>
        <v>0</v>
      </c>
      <c r="L99" s="49">
        <f>'Avg Week Kaasangati-Matugga'!L99+'Avg Week Matugga-Kasangati'!L99</f>
        <v>0</v>
      </c>
      <c r="M99" s="49">
        <f>'Avg Week Kaasangati-Matugga'!M99+'Avg Week Matugga-Kasangati'!M99</f>
        <v>6</v>
      </c>
      <c r="N99" s="49">
        <f>'Avg Week Kaasangati-Matugga'!N99+'Avg Week Matugga-Kasangati'!N99</f>
        <v>0</v>
      </c>
      <c r="O99" s="116">
        <f t="shared" si="35"/>
        <v>8.5</v>
      </c>
      <c r="P99" s="116">
        <f t="shared" si="36"/>
        <v>14.5</v>
      </c>
      <c r="R99" s="109"/>
      <c r="S99" s="109"/>
    </row>
    <row r="100" spans="2:20" s="101" customFormat="1" ht="23.1" customHeight="1" x14ac:dyDescent="0.25">
      <c r="B100" s="125" t="s">
        <v>140</v>
      </c>
      <c r="C100" s="49">
        <f>'Avg Week Kaasangati-Matugga'!C100+'Avg Week Matugga-Kasangati'!C100</f>
        <v>6</v>
      </c>
      <c r="D100" s="49">
        <f>'Avg Week Kaasangati-Matugga'!D100+'Avg Week Matugga-Kasangati'!D100</f>
        <v>0.5</v>
      </c>
      <c r="E100" s="49">
        <f>'Avg Week Kaasangati-Matugga'!E100+'Avg Week Matugga-Kasangati'!E100</f>
        <v>1</v>
      </c>
      <c r="F100" s="49">
        <f>'Avg Week Kaasangati-Matugga'!F100+'Avg Week Matugga-Kasangati'!F100</f>
        <v>3.5</v>
      </c>
      <c r="G100" s="49">
        <f>'Avg Week Kaasangati-Matugga'!G100+'Avg Week Matugga-Kasangati'!G100</f>
        <v>0</v>
      </c>
      <c r="H100" s="49">
        <f>'Avg Week Kaasangati-Matugga'!H100+'Avg Week Matugga-Kasangati'!H100</f>
        <v>0</v>
      </c>
      <c r="I100" s="49">
        <f>'Avg Week Kaasangati-Matugga'!I100+'Avg Week Matugga-Kasangati'!I100</f>
        <v>1</v>
      </c>
      <c r="J100" s="49">
        <f>'Avg Week Kaasangati-Matugga'!J100+'Avg Week Matugga-Kasangati'!J100</f>
        <v>1</v>
      </c>
      <c r="K100" s="49">
        <f>'Avg Week Kaasangati-Matugga'!K100+'Avg Week Matugga-Kasangati'!K100</f>
        <v>0</v>
      </c>
      <c r="L100" s="49">
        <f>'Avg Week Kaasangati-Matugga'!L100+'Avg Week Matugga-Kasangati'!L100</f>
        <v>0</v>
      </c>
      <c r="M100" s="49">
        <f>'Avg Week Kaasangati-Matugga'!M100+'Avg Week Matugga-Kasangati'!M100</f>
        <v>12</v>
      </c>
      <c r="N100" s="49">
        <f>'Avg Week Kaasangati-Matugga'!N100+'Avg Week Matugga-Kasangati'!N100</f>
        <v>0</v>
      </c>
      <c r="O100" s="116">
        <f t="shared" si="35"/>
        <v>13</v>
      </c>
      <c r="P100" s="116">
        <f t="shared" si="36"/>
        <v>25</v>
      </c>
      <c r="R100" s="109"/>
      <c r="S100" s="109"/>
    </row>
    <row r="101" spans="2:20" s="101" customFormat="1" ht="23.1" customHeight="1" x14ac:dyDescent="0.25">
      <c r="B101" s="123" t="s">
        <v>141</v>
      </c>
      <c r="C101" s="49">
        <f>'Avg Week Kaasangati-Matugga'!C101+'Avg Week Matugga-Kasangati'!C101</f>
        <v>8.5</v>
      </c>
      <c r="D101" s="49">
        <f>'Avg Week Kaasangati-Matugga'!D101+'Avg Week Matugga-Kasangati'!D101</f>
        <v>1.5</v>
      </c>
      <c r="E101" s="49">
        <f>'Avg Week Kaasangati-Matugga'!E101+'Avg Week Matugga-Kasangati'!E101</f>
        <v>1.5</v>
      </c>
      <c r="F101" s="49">
        <f>'Avg Week Kaasangati-Matugga'!F101+'Avg Week Matugga-Kasangati'!F101</f>
        <v>4.5</v>
      </c>
      <c r="G101" s="49">
        <f>'Avg Week Kaasangati-Matugga'!G101+'Avg Week Matugga-Kasangati'!G101</f>
        <v>1</v>
      </c>
      <c r="H101" s="49">
        <f>'Avg Week Kaasangati-Matugga'!H101+'Avg Week Matugga-Kasangati'!H101</f>
        <v>0</v>
      </c>
      <c r="I101" s="49">
        <f>'Avg Week Kaasangati-Matugga'!I101+'Avg Week Matugga-Kasangati'!I101</f>
        <v>1</v>
      </c>
      <c r="J101" s="49">
        <f>'Avg Week Kaasangati-Matugga'!J101+'Avg Week Matugga-Kasangati'!J101</f>
        <v>0</v>
      </c>
      <c r="K101" s="49">
        <f>'Avg Week Kaasangati-Matugga'!K101+'Avg Week Matugga-Kasangati'!K101</f>
        <v>0</v>
      </c>
      <c r="L101" s="49">
        <f>'Avg Week Kaasangati-Matugga'!L101+'Avg Week Matugga-Kasangati'!L101</f>
        <v>0</v>
      </c>
      <c r="M101" s="49">
        <f>'Avg Week Kaasangati-Matugga'!M101+'Avg Week Matugga-Kasangati'!M101</f>
        <v>17.5</v>
      </c>
      <c r="N101" s="49">
        <f>'Avg Week Kaasangati-Matugga'!N101+'Avg Week Matugga-Kasangati'!N101</f>
        <v>0</v>
      </c>
      <c r="O101" s="116">
        <f t="shared" si="35"/>
        <v>18</v>
      </c>
      <c r="P101" s="116">
        <f t="shared" si="36"/>
        <v>35.5</v>
      </c>
      <c r="R101" s="109"/>
      <c r="S101" s="109"/>
    </row>
    <row r="102" spans="2:20" s="101" customFormat="1" ht="23.1" customHeight="1" x14ac:dyDescent="0.25">
      <c r="B102" s="124" t="s">
        <v>142</v>
      </c>
      <c r="C102" s="49">
        <f>'Avg Week Kaasangati-Matugga'!C102+'Avg Week Matugga-Kasangati'!C102</f>
        <v>17.5</v>
      </c>
      <c r="D102" s="49">
        <f>'Avg Week Kaasangati-Matugga'!D102+'Avg Week Matugga-Kasangati'!D102</f>
        <v>0.5</v>
      </c>
      <c r="E102" s="49">
        <f>'Avg Week Kaasangati-Matugga'!E102+'Avg Week Matugga-Kasangati'!E102</f>
        <v>2.5</v>
      </c>
      <c r="F102" s="49">
        <f>'Avg Week Kaasangati-Matugga'!F102+'Avg Week Matugga-Kasangati'!F102</f>
        <v>6.5</v>
      </c>
      <c r="G102" s="49">
        <f>'Avg Week Kaasangati-Matugga'!G102+'Avg Week Matugga-Kasangati'!G102</f>
        <v>1.5</v>
      </c>
      <c r="H102" s="49">
        <f>'Avg Week Kaasangati-Matugga'!H102+'Avg Week Matugga-Kasangati'!H102</f>
        <v>0</v>
      </c>
      <c r="I102" s="49">
        <f>'Avg Week Kaasangati-Matugga'!I102+'Avg Week Matugga-Kasangati'!I102</f>
        <v>2.5</v>
      </c>
      <c r="J102" s="49">
        <f>'Avg Week Kaasangati-Matugga'!J102+'Avg Week Matugga-Kasangati'!J102</f>
        <v>0</v>
      </c>
      <c r="K102" s="49">
        <f>'Avg Week Kaasangati-Matugga'!K102+'Avg Week Matugga-Kasangati'!K102</f>
        <v>0</v>
      </c>
      <c r="L102" s="49">
        <f>'Avg Week Kaasangati-Matugga'!L102+'Avg Week Matugga-Kasangati'!L102</f>
        <v>0</v>
      </c>
      <c r="M102" s="49">
        <f>'Avg Week Kaasangati-Matugga'!M102+'Avg Week Matugga-Kasangati'!M102</f>
        <v>20.5</v>
      </c>
      <c r="N102" s="49">
        <f>'Avg Week Kaasangati-Matugga'!N102+'Avg Week Matugga-Kasangati'!N102</f>
        <v>0</v>
      </c>
      <c r="O102" s="116">
        <f t="shared" si="35"/>
        <v>31</v>
      </c>
      <c r="P102" s="116">
        <f t="shared" si="36"/>
        <v>51.5</v>
      </c>
      <c r="R102" s="109"/>
      <c r="S102" s="109"/>
    </row>
    <row r="103" spans="2:20" s="101" customFormat="1" ht="23.1" customHeight="1" x14ac:dyDescent="0.25">
      <c r="B103" s="123" t="s">
        <v>143</v>
      </c>
      <c r="C103" s="49">
        <f>'Avg Week Kaasangati-Matugga'!C103+'Avg Week Matugga-Kasangati'!C103</f>
        <v>26</v>
      </c>
      <c r="D103" s="49">
        <f>'Avg Week Kaasangati-Matugga'!D103+'Avg Week Matugga-Kasangati'!D103</f>
        <v>4</v>
      </c>
      <c r="E103" s="49">
        <f>'Avg Week Kaasangati-Matugga'!E103+'Avg Week Matugga-Kasangati'!E103</f>
        <v>2.5</v>
      </c>
      <c r="F103" s="49">
        <f>'Avg Week Kaasangati-Matugga'!F103+'Avg Week Matugga-Kasangati'!F103</f>
        <v>4.5</v>
      </c>
      <c r="G103" s="49">
        <f>'Avg Week Kaasangati-Matugga'!G103+'Avg Week Matugga-Kasangati'!G103</f>
        <v>0.5</v>
      </c>
      <c r="H103" s="49">
        <f>'Avg Week Kaasangati-Matugga'!H103+'Avg Week Matugga-Kasangati'!H103</f>
        <v>0</v>
      </c>
      <c r="I103" s="49">
        <f>'Avg Week Kaasangati-Matugga'!I103+'Avg Week Matugga-Kasangati'!I103</f>
        <v>2</v>
      </c>
      <c r="J103" s="49">
        <f>'Avg Week Kaasangati-Matugga'!J103+'Avg Week Matugga-Kasangati'!J103</f>
        <v>1</v>
      </c>
      <c r="K103" s="49">
        <f>'Avg Week Kaasangati-Matugga'!K103+'Avg Week Matugga-Kasangati'!K103</f>
        <v>0</v>
      </c>
      <c r="L103" s="49">
        <f>'Avg Week Kaasangati-Matugga'!L103+'Avg Week Matugga-Kasangati'!L103</f>
        <v>0</v>
      </c>
      <c r="M103" s="49">
        <f>'Avg Week Kaasangati-Matugga'!M103+'Avg Week Matugga-Kasangati'!M103</f>
        <v>27</v>
      </c>
      <c r="N103" s="49">
        <f>'Avg Week Kaasangati-Matugga'!N103+'Avg Week Matugga-Kasangati'!N103</f>
        <v>0</v>
      </c>
      <c r="O103" s="116">
        <f t="shared" si="35"/>
        <v>40.5</v>
      </c>
      <c r="P103" s="116">
        <f t="shared" si="36"/>
        <v>67.5</v>
      </c>
      <c r="R103" s="109"/>
      <c r="S103" s="109"/>
    </row>
    <row r="104" spans="2:20" s="101" customFormat="1" ht="23.1" customHeight="1" x14ac:dyDescent="0.25">
      <c r="B104" s="125" t="s">
        <v>144</v>
      </c>
      <c r="C104" s="49">
        <f>'Avg Week Kaasangati-Matugga'!C104+'Avg Week Matugga-Kasangati'!C104</f>
        <v>16.5</v>
      </c>
      <c r="D104" s="49">
        <f>'Avg Week Kaasangati-Matugga'!D104+'Avg Week Matugga-Kasangati'!D104</f>
        <v>9</v>
      </c>
      <c r="E104" s="49">
        <f>'Avg Week Kaasangati-Matugga'!E104+'Avg Week Matugga-Kasangati'!E104</f>
        <v>3</v>
      </c>
      <c r="F104" s="49">
        <f>'Avg Week Kaasangati-Matugga'!F104+'Avg Week Matugga-Kasangati'!F104</f>
        <v>6</v>
      </c>
      <c r="G104" s="49">
        <f>'Avg Week Kaasangati-Matugga'!G104+'Avg Week Matugga-Kasangati'!G104</f>
        <v>0.5</v>
      </c>
      <c r="H104" s="49">
        <f>'Avg Week Kaasangati-Matugga'!H104+'Avg Week Matugga-Kasangati'!H104</f>
        <v>0</v>
      </c>
      <c r="I104" s="49">
        <f>'Avg Week Kaasangati-Matugga'!I104+'Avg Week Matugga-Kasangati'!I104</f>
        <v>3</v>
      </c>
      <c r="J104" s="49">
        <f>'Avg Week Kaasangati-Matugga'!J104+'Avg Week Matugga-Kasangati'!J104</f>
        <v>0</v>
      </c>
      <c r="K104" s="49">
        <f>'Avg Week Kaasangati-Matugga'!K104+'Avg Week Matugga-Kasangati'!K104</f>
        <v>0</v>
      </c>
      <c r="L104" s="49">
        <f>'Avg Week Kaasangati-Matugga'!L104+'Avg Week Matugga-Kasangati'!L104</f>
        <v>0.5</v>
      </c>
      <c r="M104" s="49">
        <f>'Avg Week Kaasangati-Matugga'!M104+'Avg Week Matugga-Kasangati'!M104</f>
        <v>35.5</v>
      </c>
      <c r="N104" s="49">
        <f>'Avg Week Kaasangati-Matugga'!N104+'Avg Week Matugga-Kasangati'!N104</f>
        <v>0</v>
      </c>
      <c r="O104" s="116">
        <f t="shared" si="35"/>
        <v>38.5</v>
      </c>
      <c r="P104" s="116">
        <f t="shared" si="36"/>
        <v>74</v>
      </c>
      <c r="R104" s="109"/>
      <c r="S104" s="109"/>
    </row>
    <row r="105" spans="2:20" s="101" customFormat="1" ht="23.1" customHeight="1" x14ac:dyDescent="0.25">
      <c r="B105" s="123" t="s">
        <v>145</v>
      </c>
      <c r="C105" s="49">
        <f>'Avg Week Kaasangati-Matugga'!C105+'Avg Week Matugga-Kasangati'!C105</f>
        <v>23</v>
      </c>
      <c r="D105" s="49">
        <f>'Avg Week Kaasangati-Matugga'!D105+'Avg Week Matugga-Kasangati'!D105</f>
        <v>2</v>
      </c>
      <c r="E105" s="49">
        <f>'Avg Week Kaasangati-Matugga'!E105+'Avg Week Matugga-Kasangati'!E105</f>
        <v>1</v>
      </c>
      <c r="F105" s="49">
        <f>'Avg Week Kaasangati-Matugga'!F105+'Avg Week Matugga-Kasangati'!F105</f>
        <v>7</v>
      </c>
      <c r="G105" s="49">
        <f>'Avg Week Kaasangati-Matugga'!G105+'Avg Week Matugga-Kasangati'!G105</f>
        <v>0</v>
      </c>
      <c r="H105" s="49">
        <f>'Avg Week Kaasangati-Matugga'!H105+'Avg Week Matugga-Kasangati'!H105</f>
        <v>0</v>
      </c>
      <c r="I105" s="49">
        <f>'Avg Week Kaasangati-Matugga'!I105+'Avg Week Matugga-Kasangati'!I105</f>
        <v>3</v>
      </c>
      <c r="J105" s="49">
        <f>'Avg Week Kaasangati-Matugga'!J105+'Avg Week Matugga-Kasangati'!J105</f>
        <v>0.5</v>
      </c>
      <c r="K105" s="49">
        <f>'Avg Week Kaasangati-Matugga'!K105+'Avg Week Matugga-Kasangati'!K105</f>
        <v>0.5</v>
      </c>
      <c r="L105" s="49">
        <f>'Avg Week Kaasangati-Matugga'!L105+'Avg Week Matugga-Kasangati'!L105</f>
        <v>0</v>
      </c>
      <c r="M105" s="49">
        <f>'Avg Week Kaasangati-Matugga'!M105+'Avg Week Matugga-Kasangati'!M105</f>
        <v>54</v>
      </c>
      <c r="N105" s="49">
        <f>'Avg Week Kaasangati-Matugga'!N105+'Avg Week Matugga-Kasangati'!N105</f>
        <v>0</v>
      </c>
      <c r="O105" s="116">
        <f t="shared" si="35"/>
        <v>37</v>
      </c>
      <c r="P105" s="116">
        <f t="shared" si="36"/>
        <v>91</v>
      </c>
      <c r="R105" s="109"/>
      <c r="S105" s="109"/>
    </row>
    <row r="106" spans="2:20" ht="23.1" customHeight="1" x14ac:dyDescent="0.25">
      <c r="B106" s="126" t="s">
        <v>18</v>
      </c>
      <c r="C106" s="117">
        <f>SUM(C10:C105)</f>
        <v>1865.6428571428573</v>
      </c>
      <c r="D106" s="117">
        <f t="shared" ref="D106:P106" si="37">SUM(D10:D105)</f>
        <v>457.35714285714266</v>
      </c>
      <c r="E106" s="117">
        <f t="shared" si="37"/>
        <v>331.28571428571422</v>
      </c>
      <c r="F106" s="117">
        <f t="shared" si="37"/>
        <v>442.21428571428572</v>
      </c>
      <c r="G106" s="117">
        <f t="shared" si="37"/>
        <v>18.571428571428577</v>
      </c>
      <c r="H106" s="117">
        <f t="shared" si="37"/>
        <v>2.7857142857142856</v>
      </c>
      <c r="I106" s="117">
        <f t="shared" si="37"/>
        <v>315.78571428571433</v>
      </c>
      <c r="J106" s="117">
        <f t="shared" si="37"/>
        <v>78.785714285714278</v>
      </c>
      <c r="K106" s="117">
        <f t="shared" si="37"/>
        <v>27.999999999999993</v>
      </c>
      <c r="L106" s="117">
        <f t="shared" si="37"/>
        <v>11.28571428571429</v>
      </c>
      <c r="M106" s="117">
        <f t="shared" si="37"/>
        <v>5847.0714285714294</v>
      </c>
      <c r="N106" s="117">
        <f t="shared" si="37"/>
        <v>9.7142857142857135</v>
      </c>
      <c r="O106" s="117">
        <f t="shared" si="37"/>
        <v>3561.4285714285716</v>
      </c>
      <c r="P106" s="117">
        <f t="shared" si="37"/>
        <v>9408.5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0.19829333657255219</v>
      </c>
      <c r="D107" s="43">
        <f t="shared" si="38"/>
        <v>4.8611058389450248E-2</v>
      </c>
      <c r="E107" s="43">
        <f t="shared" si="38"/>
        <v>3.5211321069853238E-2</v>
      </c>
      <c r="F107" s="43">
        <f t="shared" si="38"/>
        <v>4.7001571527266375E-2</v>
      </c>
      <c r="G107" s="43">
        <f t="shared" si="38"/>
        <v>1.9738989819236409E-3</v>
      </c>
      <c r="H107" s="43">
        <f t="shared" si="38"/>
        <v>2.9608484728854608E-4</v>
      </c>
      <c r="I107" s="43">
        <f t="shared" si="38"/>
        <v>3.3563874611863137E-2</v>
      </c>
      <c r="J107" s="43">
        <f t="shared" si="38"/>
        <v>8.3738868348529824E-3</v>
      </c>
      <c r="K107" s="43">
        <f t="shared" si="38"/>
        <v>2.9760323112079496E-3</v>
      </c>
      <c r="L107" s="43">
        <f t="shared" si="38"/>
        <v>1.1995232274766743E-3</v>
      </c>
      <c r="M107" s="43">
        <f t="shared" si="38"/>
        <v>0.62146691062033577</v>
      </c>
      <c r="N107" s="43">
        <f t="shared" si="38"/>
        <v>1.0325010059292889E-3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0.52384677095868437</v>
      </c>
      <c r="D108" s="44">
        <f t="shared" ref="D108:N108" si="39">D106/$O$106</f>
        <v>0.12841957480946645</v>
      </c>
      <c r="E108" s="44">
        <f t="shared" si="39"/>
        <v>9.3020457280385063E-2</v>
      </c>
      <c r="F108" s="44">
        <f t="shared" si="39"/>
        <v>0.12416766947452867</v>
      </c>
      <c r="G108" s="44">
        <f t="shared" si="39"/>
        <v>5.2146008824709199E-3</v>
      </c>
      <c r="H108" s="44">
        <f t="shared" si="39"/>
        <v>7.8219013237063777E-4</v>
      </c>
      <c r="I108" s="44">
        <f t="shared" si="39"/>
        <v>8.8668271159245901E-2</v>
      </c>
      <c r="J108" s="44">
        <f t="shared" si="39"/>
        <v>2.2121941436020854E-2</v>
      </c>
      <c r="K108" s="44">
        <f t="shared" si="39"/>
        <v>7.862013638186921E-3</v>
      </c>
      <c r="L108" s="44">
        <f t="shared" si="39"/>
        <v>3.1688728439630979E-3</v>
      </c>
      <c r="M108" s="44"/>
      <c r="N108" s="44">
        <f t="shared" si="39"/>
        <v>2.7276373846770955E-3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23.09- Kasangati-Matuga</vt:lpstr>
      <vt:lpstr>23.09- Matuga -Kasangati</vt:lpstr>
      <vt:lpstr>24.09 Kasangati-Matugga</vt:lpstr>
      <vt:lpstr>24.09 Matugga-Kasangati</vt:lpstr>
      <vt:lpstr>25.09 Kasangati-Matugga</vt:lpstr>
      <vt:lpstr>25.09 Matugga-Kasangati</vt:lpstr>
      <vt:lpstr>26.09 Kasangati-Matugga-24h</vt:lpstr>
      <vt:lpstr>26.09 Matugga-Kasangati-24h</vt:lpstr>
      <vt:lpstr>27.09 Kasangati-Matugga</vt:lpstr>
      <vt:lpstr>27.09 Matugga-Kasangati</vt:lpstr>
      <vt:lpstr>28.09 Kasangati-Matugga-24h</vt:lpstr>
      <vt:lpstr>28.09 Matugga-Kasangati-24h</vt:lpstr>
      <vt:lpstr>29.09 Kasangati-Matugga</vt:lpstr>
      <vt:lpstr>29.09 Matugga-Kasangati</vt:lpstr>
      <vt:lpstr>Avg Week Kaasangati-Matugga</vt:lpstr>
      <vt:lpstr>Avg Week Matugga-Kasangati</vt:lpstr>
      <vt:lpstr>Avg Week Kasangati-Matugga-2Dir</vt:lpstr>
      <vt:lpstr>'23.09- Kasangati-Matuga'!Print_Area</vt:lpstr>
      <vt:lpstr>'23.09- Matuga -Kasangati'!Print_Area</vt:lpstr>
      <vt:lpstr>'24.09 Kasangati-Matugga'!Print_Area</vt:lpstr>
      <vt:lpstr>'24.09 Matugga-Kasangati'!Print_Area</vt:lpstr>
      <vt:lpstr>'25.09 Kasangati-Matugga'!Print_Area</vt:lpstr>
      <vt:lpstr>'25.09 Matugga-Kasangati'!Print_Area</vt:lpstr>
      <vt:lpstr>'26.09 Kasangati-Matugga-24h'!Print_Area</vt:lpstr>
      <vt:lpstr>'26.09 Matugga-Kasangati-24h'!Print_Area</vt:lpstr>
      <vt:lpstr>'27.09 Kasangati-Matugga'!Print_Area</vt:lpstr>
      <vt:lpstr>'27.09 Matugga-Kasangati'!Print_Area</vt:lpstr>
      <vt:lpstr>'28.09 Kasangati-Matugga-24h'!Print_Area</vt:lpstr>
      <vt:lpstr>'28.09 Matugga-Kasangati-24h'!Print_Area</vt:lpstr>
      <vt:lpstr>'29.09 Kasangati-Matugga'!Print_Area</vt:lpstr>
      <vt:lpstr>'29.09 Matugga-Kasangati'!Print_Area</vt:lpstr>
      <vt:lpstr>'Avg Week Kaasangati-Matugga'!Print_Area</vt:lpstr>
      <vt:lpstr>'Avg Week Kasangati-Matugga-2Dir'!Print_Area</vt:lpstr>
      <vt:lpstr>'Avg Week Matugga-Kasangati'!Print_Area</vt:lpstr>
      <vt:lpstr>'23.09- Kasangati-Matuga'!Print_Titles</vt:lpstr>
      <vt:lpstr>'23.09- Matuga -Kasangati'!Print_Titles</vt:lpstr>
      <vt:lpstr>'24.09 Kasangati-Matugga'!Print_Titles</vt:lpstr>
      <vt:lpstr>'24.09 Matugga-Kasangati'!Print_Titles</vt:lpstr>
      <vt:lpstr>'25.09 Kasangati-Matugga'!Print_Titles</vt:lpstr>
      <vt:lpstr>'25.09 Matugga-Kasangati'!Print_Titles</vt:lpstr>
      <vt:lpstr>'26.09 Kasangati-Matugga-24h'!Print_Titles</vt:lpstr>
      <vt:lpstr>'26.09 Matugga-Kasangati-24h'!Print_Titles</vt:lpstr>
      <vt:lpstr>'27.09 Kasangati-Matugga'!Print_Titles</vt:lpstr>
      <vt:lpstr>'27.09 Matugga-Kasangati'!Print_Titles</vt:lpstr>
      <vt:lpstr>'28.09 Kasangati-Matugga-24h'!Print_Titles</vt:lpstr>
      <vt:lpstr>'28.09 Matugga-Kasangati-24h'!Print_Titles</vt:lpstr>
      <vt:lpstr>'29.09 Kasangati-Matugga'!Print_Titles</vt:lpstr>
      <vt:lpstr>'29.09 Matugga-Kasangati'!Print_Titles</vt:lpstr>
      <vt:lpstr>'Avg Week Kaasangati-Matugga'!Print_Titles</vt:lpstr>
      <vt:lpstr>'Avg Week Kasangati-Matugga-2Dir'!Print_Titles</vt:lpstr>
      <vt:lpstr>'Avg Week Matugga-Kasangati'!Print_Titles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2020-01-16T11:48:35Z</dcterms:modified>
</cp:coreProperties>
</file>